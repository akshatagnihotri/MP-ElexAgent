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B8E8C7C-8F4F-4A15-A7F0-6FC294E85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 (210 RAU)" sheetId="2" r:id="rId1"/>
    <sheet name="Sheet1" sheetId="3" r:id="rId2"/>
  </sheets>
  <externalReferences>
    <externalReference r:id="rId3"/>
  </externalReferences>
  <definedNames>
    <definedName name="_xlnm._FilterDatabase" localSheetId="0" hidden="1">'2023 (210 RAU)'!$A$1:$X$323</definedName>
  </definedNames>
  <calcPr calcId="191029"/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2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2" i="3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295" i="2"/>
  <c r="W294" i="2"/>
  <c r="W17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8" i="2"/>
  <c r="W19" i="2"/>
  <c r="W20" i="2"/>
  <c r="W21" i="2"/>
  <c r="W22" i="2"/>
  <c r="W23" i="2"/>
  <c r="W24" i="2"/>
  <c r="W293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2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93" i="2"/>
  <c r="V25" i="2"/>
  <c r="V26" i="2"/>
  <c r="V27" i="2"/>
  <c r="V28" i="2"/>
  <c r="V29" i="2"/>
  <c r="V30" i="2"/>
  <c r="V31" i="2"/>
  <c r="V32" i="2"/>
  <c r="V33" i="2"/>
  <c r="V34" i="2"/>
  <c r="V35" i="2"/>
  <c r="V36" i="2"/>
  <c r="V316" i="2"/>
  <c r="V37" i="2"/>
  <c r="V38" i="2"/>
  <c r="V39" i="2"/>
  <c r="V40" i="2"/>
  <c r="V41" i="2"/>
  <c r="V42" i="2"/>
  <c r="V317" i="2"/>
  <c r="V43" i="2"/>
  <c r="V318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319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320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294" i="2"/>
  <c r="V101" i="2"/>
  <c r="V102" i="2"/>
  <c r="V103" i="2"/>
  <c r="V295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296" i="2"/>
  <c r="V128" i="2"/>
  <c r="V297" i="2"/>
  <c r="V129" i="2"/>
  <c r="V130" i="2"/>
  <c r="V131" i="2"/>
  <c r="V132" i="2"/>
  <c r="V133" i="2"/>
  <c r="V134" i="2"/>
  <c r="V135" i="2"/>
  <c r="V136" i="2"/>
  <c r="V298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29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300" i="2"/>
  <c r="V163" i="2"/>
  <c r="V301" i="2"/>
  <c r="V164" i="2"/>
  <c r="V165" i="2"/>
  <c r="V166" i="2"/>
  <c r="V167" i="2"/>
  <c r="V168" i="2"/>
  <c r="V169" i="2"/>
  <c r="V170" i="2"/>
  <c r="V171" i="2"/>
  <c r="V172" i="2"/>
  <c r="V173" i="2"/>
  <c r="V302" i="2"/>
  <c r="V174" i="2"/>
  <c r="V175" i="2"/>
  <c r="V176" i="2"/>
  <c r="V177" i="2"/>
  <c r="V178" i="2"/>
  <c r="V179" i="2"/>
  <c r="V180" i="2"/>
  <c r="V303" i="2"/>
  <c r="V181" i="2"/>
  <c r="V304" i="2"/>
  <c r="V182" i="2"/>
  <c r="V183" i="2"/>
  <c r="V184" i="2"/>
  <c r="V305" i="2"/>
  <c r="V185" i="2"/>
  <c r="V186" i="2"/>
  <c r="V187" i="2"/>
  <c r="V188" i="2"/>
  <c r="V306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307" i="2"/>
  <c r="V218" i="2"/>
  <c r="V219" i="2"/>
  <c r="V220" i="2"/>
  <c r="V221" i="2"/>
  <c r="V222" i="2"/>
  <c r="V223" i="2"/>
  <c r="V308" i="2"/>
  <c r="V224" i="2"/>
  <c r="V225" i="2"/>
  <c r="V226" i="2"/>
  <c r="V227" i="2"/>
  <c r="V228" i="2"/>
  <c r="V229" i="2"/>
  <c r="V309" i="2"/>
  <c r="V230" i="2"/>
  <c r="V231" i="2"/>
  <c r="V232" i="2"/>
  <c r="V233" i="2"/>
  <c r="V234" i="2"/>
  <c r="V235" i="2"/>
  <c r="V236" i="2"/>
  <c r="V310" i="2"/>
  <c r="V237" i="2"/>
  <c r="V238" i="2"/>
  <c r="V239" i="2"/>
  <c r="V240" i="2"/>
  <c r="V241" i="2"/>
  <c r="V242" i="2"/>
  <c r="V243" i="2"/>
  <c r="V244" i="2"/>
  <c r="V245" i="2"/>
  <c r="V311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312" i="2"/>
  <c r="V270" i="2"/>
  <c r="V313" i="2"/>
  <c r="V271" i="2"/>
  <c r="V314" i="2"/>
  <c r="V272" i="2"/>
  <c r="V273" i="2"/>
  <c r="V274" i="2"/>
  <c r="V275" i="2"/>
  <c r="V276" i="2"/>
  <c r="V277" i="2"/>
  <c r="V278" i="2"/>
  <c r="V279" i="2"/>
  <c r="V280" i="2"/>
  <c r="V315" i="2"/>
  <c r="V281" i="2"/>
  <c r="V282" i="2"/>
  <c r="V283" i="2"/>
  <c r="V284" i="2"/>
  <c r="V285" i="2"/>
  <c r="V286" i="2"/>
  <c r="V287" i="2"/>
  <c r="V288" i="2"/>
  <c r="V289" i="2"/>
  <c r="V290" i="2"/>
  <c r="V292" i="2"/>
  <c r="V321" i="2"/>
  <c r="V322" i="2"/>
  <c r="V323" i="2"/>
  <c r="V2" i="2"/>
</calcChain>
</file>

<file path=xl/sharedStrings.xml><?xml version="1.0" encoding="utf-8"?>
<sst xmlns="http://schemas.openxmlformats.org/spreadsheetml/2006/main" count="408" uniqueCount="377">
  <si>
    <t>36A</t>
  </si>
  <si>
    <t>42A</t>
  </si>
  <si>
    <t>43A</t>
  </si>
  <si>
    <t>56A</t>
  </si>
  <si>
    <t>77A</t>
  </si>
  <si>
    <t>100A</t>
  </si>
  <si>
    <t>103A</t>
  </si>
  <si>
    <t xml:space="preserve"> Serial Of Polling Station</t>
  </si>
  <si>
    <t xml:space="preserve"> DEVKI PATWARIMANDLOI</t>
  </si>
  <si>
    <t xml:space="preserve"> MADHU VERMA</t>
  </si>
  <si>
    <t xml:space="preserve"> AAKASH BODADE No</t>
  </si>
  <si>
    <t xml:space="preserve"> RAVI SIRWAIYA</t>
  </si>
  <si>
    <t xml:space="preserve"> HEMANT RATHORE</t>
  </si>
  <si>
    <t xml:space="preserve"> Total of Valid Votes</t>
  </si>
  <si>
    <t xml:space="preserve"> No. Of Rejected Votes</t>
  </si>
  <si>
    <t xml:space="preserve"> NOTA</t>
  </si>
  <si>
    <t xml:space="preserve"> Total</t>
  </si>
  <si>
    <t xml:space="preserve"> Tendered Votes No. Of</t>
  </si>
  <si>
    <t xml:space="preserve"> PRADEEP MADHUKAR (Manjhi)</t>
  </si>
  <si>
    <t xml:space="preserve"> ASHIF PATEL</t>
  </si>
  <si>
    <t>MOHAN SONGARA GOLU</t>
  </si>
  <si>
    <t>BHANU PRATAP ATERIA</t>
  </si>
  <si>
    <t>127A</t>
  </si>
  <si>
    <t>128A</t>
  </si>
  <si>
    <t>136A</t>
  </si>
  <si>
    <t>149A</t>
  </si>
  <si>
    <t>162A</t>
  </si>
  <si>
    <t>163A</t>
  </si>
  <si>
    <t>173A</t>
  </si>
  <si>
    <t>180A</t>
  </si>
  <si>
    <t>181A</t>
  </si>
  <si>
    <t>184A</t>
  </si>
  <si>
    <t>188A</t>
  </si>
  <si>
    <t>217A</t>
  </si>
  <si>
    <t>223A</t>
  </si>
  <si>
    <t>229A</t>
  </si>
  <si>
    <t>236A</t>
  </si>
  <si>
    <t>245A</t>
  </si>
  <si>
    <t>269A</t>
  </si>
  <si>
    <t>270A</t>
  </si>
  <si>
    <t>271A</t>
  </si>
  <si>
    <t>280A</t>
  </si>
  <si>
    <t>Total Valid Votes</t>
  </si>
  <si>
    <t xml:space="preserve">   </t>
  </si>
  <si>
    <t>Delta Positive</t>
  </si>
  <si>
    <t>Voter turnout</t>
  </si>
  <si>
    <t xml:space="preserve"> JITU(INC)</t>
  </si>
  <si>
    <t xml:space="preserve"> MADHU VERMA(BJP)</t>
  </si>
  <si>
    <t xml:space="preserve">  </t>
  </si>
  <si>
    <t xml:space="preserve">           </t>
  </si>
  <si>
    <t>INC</t>
  </si>
  <si>
    <t>BJP</t>
  </si>
  <si>
    <t>मतदान केन्द्र का परिक्षेत्र</t>
  </si>
  <si>
    <t>भवन जिसमें यह अवस्थित होगा</t>
  </si>
  <si>
    <t>Total EVM Votes</t>
  </si>
  <si>
    <t>TotL Postal Ballot Votes</t>
  </si>
  <si>
    <t>Total Votes Polled</t>
  </si>
  <si>
    <t>1 - KRANTI KRIPALANI NAGAR</t>
  </si>
  <si>
    <t>2 - KRANTI KRIPALANI NAGAR</t>
  </si>
  <si>
    <t>3 - KRANTI KRIPALANI NAGAR</t>
  </si>
  <si>
    <t>4 - ANNAPURNA ROAD</t>
  </si>
  <si>
    <t>5 - NARMADA NAGAR</t>
  </si>
  <si>
    <t>6 - PRIKANKO COLONY</t>
  </si>
  <si>
    <t>7 - PRIKANKO COLONY</t>
  </si>
  <si>
    <t>8 - PRIKANKO COLONY</t>
  </si>
  <si>
    <t>9 - VAISHALI NAGAR</t>
  </si>
  <si>
    <t>10 - AHILYA NAGAR</t>
  </si>
  <si>
    <t>11 - AHILYA NAGAR</t>
  </si>
  <si>
    <t>12 - SURYA DEV NAGAR</t>
  </si>
  <si>
    <t>13 - SUTYA DEV NAGAR</t>
  </si>
  <si>
    <t>14 - AHILYA  NAGAR</t>
  </si>
  <si>
    <t>15 - SURYADEV NAGAR</t>
  </si>
  <si>
    <t>16 - SURYADEV NAGAR</t>
  </si>
  <si>
    <t>17 - SURYADEV NAGAR</t>
  </si>
  <si>
    <t>18 - SURYADEV NAGAR</t>
  </si>
  <si>
    <t>19 - SURYADEV NAGAR</t>
  </si>
  <si>
    <t>20 - NARMADA NAGAR</t>
  </si>
  <si>
    <t>21 - BHAWANIPUR COLONY</t>
  </si>
  <si>
    <t>22 - ANNAPURNA NAGAR</t>
  </si>
  <si>
    <t>23 - ANNAPURNA NAGAR</t>
  </si>
  <si>
    <t>24 - RAJENDRA NAGAR</t>
  </si>
  <si>
    <t>25 - RAJENDRA NAGAR</t>
  </si>
  <si>
    <t>26 - RAJENDRA NAGAR</t>
  </si>
  <si>
    <t>27 - RAJENDRA NAGAR</t>
  </si>
  <si>
    <t>28 - RAJENDRA NAGAR</t>
  </si>
  <si>
    <t>29 - RAJENDRA NAGAR</t>
  </si>
  <si>
    <t>30 - RAJENDRA NAGAR</t>
  </si>
  <si>
    <t>31 - RAJENDRA NAGAR</t>
  </si>
  <si>
    <t>32 - RAJENDRA NAGAR</t>
  </si>
  <si>
    <t>33 - RAJENDRA NAGAR</t>
  </si>
  <si>
    <t>34 - DHANVANTARI NAGAR</t>
  </si>
  <si>
    <t>35 - DHANAVANTARI NAGAR</t>
  </si>
  <si>
    <t>36 - DHANAVANTARI NAGAR</t>
  </si>
  <si>
    <t>37 - V I P PARASPAR NAGAR</t>
  </si>
  <si>
    <t>38 - V I P PARASPAR NAGAR</t>
  </si>
  <si>
    <t>39 - RAJENDRA NAGAR A B ROAD</t>
  </si>
  <si>
    <t>40 - RAJENDRANAGAR</t>
  </si>
  <si>
    <t>41 - RAJENDRA NAGAR A B ROAD</t>
  </si>
  <si>
    <t>42 - CHOITRAM ASPTAL PARISAR</t>
  </si>
  <si>
    <t>43 - TEJPURGADVADI</t>
  </si>
  <si>
    <t>44 - TEJPURGADVADI</t>
  </si>
  <si>
    <t>45 - TEJPUR GADBADI</t>
  </si>
  <si>
    <t>46 - TEJPURGADVADI</t>
  </si>
  <si>
    <t>47 - TEJPUR GADBADI</t>
  </si>
  <si>
    <t>48 - TEJPUR GADBADI A.B. ROAD</t>
  </si>
  <si>
    <t>49 - TEJPUR GADBADI A B ROAD</t>
  </si>
  <si>
    <t>50 - TEJPUR GADBADI A B ROAD</t>
  </si>
  <si>
    <t>51 - MAHADEV  NAGAR</t>
  </si>
  <si>
    <t>52 - MAHADEV  NAGAR</t>
  </si>
  <si>
    <t>53 - TEJPURGADBADI</t>
  </si>
  <si>
    <t>54 - TEJPURGADVADI</t>
  </si>
  <si>
    <t>55 - KHANDWA NAKA</t>
  </si>
  <si>
    <t>56 - PIPALYARAV A B ROAD</t>
  </si>
  <si>
    <t>57 - PIPALYARAV A B ROAD</t>
  </si>
  <si>
    <t>58 - PIPALYARAV A B ROAD</t>
  </si>
  <si>
    <t>59 - PIPALYARAO</t>
  </si>
  <si>
    <t>60 - PIPALYARAO</t>
  </si>
  <si>
    <t>61 - PIPALYARAV</t>
  </si>
  <si>
    <t>62 - PIPALYARAO</t>
  </si>
  <si>
    <t>63 - SONIYA GANDHI  NAGAR</t>
  </si>
  <si>
    <t>64 - PIPLYAPALA</t>
  </si>
  <si>
    <t>65 - PIPLYAPALA</t>
  </si>
  <si>
    <t>66 - A.B. ROAD</t>
  </si>
  <si>
    <t>67 - RAHUL GANDHI NAGAR</t>
  </si>
  <si>
    <t>68 - EKTA NAGAR</t>
  </si>
  <si>
    <t>69 - PIPALYARAO</t>
  </si>
  <si>
    <t>70 - B K SINDHI COLONY</t>
  </si>
  <si>
    <t>71 - B K SINDHI COLONY</t>
  </si>
  <si>
    <t>72 - B K SINDHI COLONY</t>
  </si>
  <si>
    <t>73 - INDRAPURI  COLONY A B ROAD</t>
  </si>
  <si>
    <t>74 - INDRAPURI  COLONY A B ROAD</t>
  </si>
  <si>
    <t>75 - INDRAPURI  COLONY A B ROAD</t>
  </si>
  <si>
    <t>76 - A B ROAD</t>
  </si>
  <si>
    <t>77 - INDRAPURI COLONY A B ROAD</t>
  </si>
  <si>
    <t>78 - KESHAR BAGH ROAD</t>
  </si>
  <si>
    <t>79 - KESAR BAG RAOD</t>
  </si>
  <si>
    <t>80 - KESAR BAG ROAD</t>
  </si>
  <si>
    <t>81 - KESARBAG ROAD</t>
  </si>
  <si>
    <t>82 - KESAR BAAG ROAD</t>
  </si>
  <si>
    <t>83 - KESARBAG ROAD</t>
  </si>
  <si>
    <t>84 - KESARBAG ROAD</t>
  </si>
  <si>
    <t>85 - TEJPURGADBADI</t>
  </si>
  <si>
    <t>86 - TEJPURGADBADI</t>
  </si>
  <si>
    <t>87 - TEJPURGADBADI</t>
  </si>
  <si>
    <t>88 - BIJALPUR</t>
  </si>
  <si>
    <t>89 - BIJALPUR MALIPURA</t>
  </si>
  <si>
    <t>90 - BIJALPUR</t>
  </si>
  <si>
    <t>91 - BIJALPUR</t>
  </si>
  <si>
    <t>92 - BIJALPUR</t>
  </si>
  <si>
    <t>93 - BIJALPUR</t>
  </si>
  <si>
    <t>94 - BIJALPUR</t>
  </si>
  <si>
    <t>95 - A B ROAD BIJALPUR</t>
  </si>
  <si>
    <t>96 - HUKMA KHEDI BIJALPUR</t>
  </si>
  <si>
    <t>97 - A B ROAD BIJALPUR</t>
  </si>
  <si>
    <t>98 - CAT CHOURAHA RETIMANDI  ROAD</t>
  </si>
  <si>
    <t>99 - BIJALPUR</t>
  </si>
  <si>
    <t>100 - A B ROAD RAJENDRA NAGAR</t>
  </si>
  <si>
    <t>101 - BIJALPUR A.B ROAD</t>
  </si>
  <si>
    <t>102 - BIJALPUR A B ROAD</t>
  </si>
  <si>
    <t>103 - NAINOD</t>
  </si>
  <si>
    <t>104 - NAINOD</t>
  </si>
  <si>
    <t>105 - NAINOD</t>
  </si>
  <si>
    <t>106 - NAINOD</t>
  </si>
  <si>
    <t>107 - SAMARTH DREAM CITY NAINOD</t>
  </si>
  <si>
    <t>108 - NAINOD</t>
  </si>
  <si>
    <t>109 - NAINOD</t>
  </si>
  <si>
    <t>110 - NAINOD</t>
  </si>
  <si>
    <t>111 - RIJLAY</t>
  </si>
  <si>
    <t>112 - BISANAVADA</t>
  </si>
  <si>
    <t>113 - BISNAWADA</t>
  </si>
  <si>
    <t>114 - DHARNAVAD</t>
  </si>
  <si>
    <t>115 - KALARIYA</t>
  </si>
  <si>
    <t>116 - KALARIYA</t>
  </si>
  <si>
    <t>117 - NARLAY</t>
  </si>
  <si>
    <t>118 - SINDODA</t>
  </si>
  <si>
    <t>119 - SINDODA</t>
  </si>
  <si>
    <t>120 - NAVADA PANTH</t>
  </si>
  <si>
    <t>121 - SHRIRAM TALAWALI</t>
  </si>
  <si>
    <t>122 - SINHASA</t>
  </si>
  <si>
    <t>123 - SINHASA</t>
  </si>
  <si>
    <t>124 - SINHASA</t>
  </si>
  <si>
    <t>125 - BANK</t>
  </si>
  <si>
    <t>126 - BANK</t>
  </si>
  <si>
    <t>127 - BANK</t>
  </si>
  <si>
    <t>128 - BANK</t>
  </si>
  <si>
    <t>129 - BANK</t>
  </si>
  <si>
    <t>130 - BAANK</t>
  </si>
  <si>
    <t>131 - NOORANI NAGAR BAAK</t>
  </si>
  <si>
    <t>132 - NOORANI NAGAR BAAK</t>
  </si>
  <si>
    <t>133 - GREENPARK COLONY BAANK</t>
  </si>
  <si>
    <t>134 - GREENPARK COLONY BAANK</t>
  </si>
  <si>
    <t>135 - GREENPARK COLONY BAANK</t>
  </si>
  <si>
    <t>136 - GREENPARK COLONY BANK</t>
  </si>
  <si>
    <t>137 - GREENPARK KAULONEE BANK</t>
  </si>
  <si>
    <t>138 - GREENPARK COLONYBANK</t>
  </si>
  <si>
    <t>139 - GREEN PARK COLONY BAAK</t>
  </si>
  <si>
    <t>140 - NOORANI NAGAR BAAK</t>
  </si>
  <si>
    <t>141 - AHIRKHEDI</t>
  </si>
  <si>
    <t>142 - AHIRKHEDI</t>
  </si>
  <si>
    <t>143 - AHIRKHEDI</t>
  </si>
  <si>
    <t>144 - AHIRKHEDI</t>
  </si>
  <si>
    <t>145 - AHIRKHEDI</t>
  </si>
  <si>
    <t>146 - VIDUR NAGAR</t>
  </si>
  <si>
    <t>147 - VIDUR NAGAR</t>
  </si>
  <si>
    <t>148 - VIDUR NAGAR</t>
  </si>
  <si>
    <t>149 - VIDUR NAGAR</t>
  </si>
  <si>
    <t>150 - VIDUR NAGAR</t>
  </si>
  <si>
    <t>151 - KUNDAN NAGAR</t>
  </si>
  <si>
    <t>152 - AHIRKHEDI</t>
  </si>
  <si>
    <t>153 - KUNDAN NAGAR</t>
  </si>
  <si>
    <t>154 - KUNDAN NAGAR</t>
  </si>
  <si>
    <t>155 - AHIRKHEDI</t>
  </si>
  <si>
    <t>156 - SUKHNIWAS</t>
  </si>
  <si>
    <t>157 - SUKHNIWAS CAT PARISAR</t>
  </si>
  <si>
    <t>158 - SUKHNIWAS CAT PARISAR</t>
  </si>
  <si>
    <t>159 - RANGAVASA</t>
  </si>
  <si>
    <t>160 - RANGAVASA</t>
  </si>
  <si>
    <t>161 - TREASURE FENTACY RANGWASA</t>
  </si>
  <si>
    <t>162 - TREASURE FANTACY RANGWASA</t>
  </si>
  <si>
    <t>163 - TREASURE FANTACY RANGWASA</t>
  </si>
  <si>
    <t>164 - RANGAVASA</t>
  </si>
  <si>
    <t>165 - RANGAVASA</t>
  </si>
  <si>
    <t>166 - RANGAVASA</t>
  </si>
  <si>
    <t>167 - RANGAVASA</t>
  </si>
  <si>
    <t>168 - RAU</t>
  </si>
  <si>
    <t>169 - RAU</t>
  </si>
  <si>
    <t>170 - RAU</t>
  </si>
  <si>
    <t>171 - RAU</t>
  </si>
  <si>
    <t>172 - RAU</t>
  </si>
  <si>
    <t>173 - RAU</t>
  </si>
  <si>
    <t>174 - RAU</t>
  </si>
  <si>
    <t>175 - RAU</t>
  </si>
  <si>
    <t>176 - RAU</t>
  </si>
  <si>
    <t>177 - RAU</t>
  </si>
  <si>
    <t>178 - RAU</t>
  </si>
  <si>
    <t>179 - RAU</t>
  </si>
  <si>
    <t>180 - RAU</t>
  </si>
  <si>
    <t>181 - RAU</t>
  </si>
  <si>
    <t>182 - RAU</t>
  </si>
  <si>
    <t>183 - RAU</t>
  </si>
  <si>
    <t>184 - RAU</t>
  </si>
  <si>
    <t>185 - RAU</t>
  </si>
  <si>
    <t>186 - RAU</t>
  </si>
  <si>
    <t>187 - RAU</t>
  </si>
  <si>
    <t>188 - RAU</t>
  </si>
  <si>
    <t>189 - RAU</t>
  </si>
  <si>
    <t>190 - RAU</t>
  </si>
  <si>
    <t>191 - RAU</t>
  </si>
  <si>
    <t>192 - RAU</t>
  </si>
  <si>
    <t>193 - RAU</t>
  </si>
  <si>
    <t>194 - RAU</t>
  </si>
  <si>
    <t>195 - RAU</t>
  </si>
  <si>
    <t>196 - RAU</t>
  </si>
  <si>
    <t>197 - RAU</t>
  </si>
  <si>
    <t>198 - NIHALPUR MUNDI</t>
  </si>
  <si>
    <t>199 - NIHALPUR MANDI</t>
  </si>
  <si>
    <t>200 - NIHALPUR MANDI</t>
  </si>
  <si>
    <t>201 - NIHALPUR MANDI</t>
  </si>
  <si>
    <t>202 - NIHALPUR MANDI</t>
  </si>
  <si>
    <t>203 - NIHALPUR MUNDI</t>
  </si>
  <si>
    <t>204 - NIHALPUR MANDI</t>
  </si>
  <si>
    <t>205 - NIHALPUR MANDI</t>
  </si>
  <si>
    <t>206 - NIHALPUR MUNDI</t>
  </si>
  <si>
    <t>207 - NIHALPUR MUNDI</t>
  </si>
  <si>
    <t>208 - NIHALPUR MUNDI</t>
  </si>
  <si>
    <t>209 - NIHALPUR MUNDI</t>
  </si>
  <si>
    <t>210 - NIHALPUR MUNDI</t>
  </si>
  <si>
    <t>211 - NIHALPUR MUNDI</t>
  </si>
  <si>
    <t>212 - MACHLA</t>
  </si>
  <si>
    <t>213 - MOROD</t>
  </si>
  <si>
    <t>214 - MOROD</t>
  </si>
  <si>
    <t>215 - UMRIKHEDA</t>
  </si>
  <si>
    <t>216 - UMRIKHEDA</t>
  </si>
  <si>
    <t>217 - ASARAVAD KHURD</t>
  </si>
  <si>
    <t>218 - ASARAVADKHURD</t>
  </si>
  <si>
    <t>219 - ASARAVADKHURD</t>
  </si>
  <si>
    <t>220 - ASRAWAD KHURD</t>
  </si>
  <si>
    <t>221 - MIRJAPUR</t>
  </si>
  <si>
    <t>222 - MIRJAPUR</t>
  </si>
  <si>
    <t>223 - KAILODKARTAL</t>
  </si>
  <si>
    <t>224 - KAILODKARTAL</t>
  </si>
  <si>
    <t>225 - TEJAJI NAGAR</t>
  </si>
  <si>
    <t>226 - TEJAJI NAGAR</t>
  </si>
  <si>
    <t>227 - TEJAJI NAGAR</t>
  </si>
  <si>
    <t>228 - BILAVALI</t>
  </si>
  <si>
    <t>229 - BILAVALI</t>
  </si>
  <si>
    <t>230 - BILAWALI</t>
  </si>
  <si>
    <t>231 - BILAWALI</t>
  </si>
  <si>
    <t>232 - BILAWALI</t>
  </si>
  <si>
    <t>233 - LIMBODI</t>
  </si>
  <si>
    <t>234 - LIMBODI</t>
  </si>
  <si>
    <t>235 - LIMBODI</t>
  </si>
  <si>
    <t>236 - LIMBODI</t>
  </si>
  <si>
    <t>237 - LIMBODI KHANDWA ROAD</t>
  </si>
  <si>
    <t>238 - LIMBODI</t>
  </si>
  <si>
    <t>239 - LIMBODI KHANDWA ROAD</t>
  </si>
  <si>
    <t>240 - LIMBODI KHANDWA ROAD</t>
  </si>
  <si>
    <t>241 - LIMBODI KHANDWA ROAD</t>
  </si>
  <si>
    <t>242 - LIMBODI KHANDWA ROAD</t>
  </si>
  <si>
    <t>243 - LIMBODI KHANDWA ROAD</t>
  </si>
  <si>
    <t>244 - RALAMANDAL</t>
  </si>
  <si>
    <t>245 - RALAMANDAL</t>
  </si>
  <si>
    <t>246 - MUNDLANAYATAA</t>
  </si>
  <si>
    <t>247 - MUNDLANAYATAA</t>
  </si>
  <si>
    <t>248 - MUNDLANAYATAA</t>
  </si>
  <si>
    <t>249 - MUNDLA NAYATA</t>
  </si>
  <si>
    <t>250 - MUNDLANAYATA</t>
  </si>
  <si>
    <t>251 - MANUDALA NAYATA</t>
  </si>
  <si>
    <t>252 - MANUDALA NAYATA</t>
  </si>
  <si>
    <t>253 - PALDA</t>
  </si>
  <si>
    <t>254 - PALDA</t>
  </si>
  <si>
    <t>255 - PALDA</t>
  </si>
  <si>
    <t>256 - PALDA</t>
  </si>
  <si>
    <t>257 - PALDA</t>
  </si>
  <si>
    <t>258 - PALDA</t>
  </si>
  <si>
    <t>259 - PALDA</t>
  </si>
  <si>
    <t>260 - KHANDWA ROAD PALADA</t>
  </si>
  <si>
    <t>261 - PALDA</t>
  </si>
  <si>
    <t>262 - PALDA</t>
  </si>
  <si>
    <t>263 - PALDA</t>
  </si>
  <si>
    <t>264 - PALDA VADHY NAGAR</t>
  </si>
  <si>
    <t>265 - PALDA VADHY NAGAR</t>
  </si>
  <si>
    <t>266 - KHANDWA ROAD PALDA</t>
  </si>
  <si>
    <t>267 - DUDHIYA</t>
  </si>
  <si>
    <t>268 - DHUDIYA</t>
  </si>
  <si>
    <t>269 - DUDHIYA</t>
  </si>
  <si>
    <t>270 - DUDHIYA</t>
  </si>
  <si>
    <t>271 - DEVGURADIYA</t>
  </si>
  <si>
    <t>272 - DEVGURADIYA</t>
  </si>
  <si>
    <t>273 - DEVGURADIYA</t>
  </si>
  <si>
    <t>274 - DEVGURADIYA</t>
  </si>
  <si>
    <t>275 - BICHOUILIMARDANA</t>
  </si>
  <si>
    <t>276 - BICHOUILI MARDANA</t>
  </si>
  <si>
    <t>277 - BICHOULI MARDANA</t>
  </si>
  <si>
    <t>278 - BICHOULI MARDANA</t>
  </si>
  <si>
    <t>279 - BICHOULI MARDANA</t>
  </si>
  <si>
    <t>280 - BICHOULI MARDANA</t>
  </si>
  <si>
    <t>281 - BICHOULI MARDANA</t>
  </si>
  <si>
    <t>282 - BICHOULI MARDANA</t>
  </si>
  <si>
    <t>283 - BICHOULI MARDANA</t>
  </si>
  <si>
    <t>284 - BICHOULI MARDANA</t>
  </si>
  <si>
    <t>285 - BICHOULI  MARDANA</t>
  </si>
  <si>
    <t>286 - BICHOULI  MARDANA</t>
  </si>
  <si>
    <t>287 - BICHOULI  MARDANA</t>
  </si>
  <si>
    <t>288 - BICHOUILI HAPSI ROAD</t>
  </si>
  <si>
    <t>289 - BICHOUILI  HAPSI ROAD</t>
  </si>
  <si>
    <t>290 - BICHOUILI  HAPSI ROAD</t>
  </si>
  <si>
    <t>291 - BICHOUILI  HAPSI ROAD</t>
  </si>
  <si>
    <t>292 - BICHOUILI  HAPSI ROAD</t>
  </si>
  <si>
    <t>293 - BICHOUILI  HAPSI ROAD</t>
  </si>
  <si>
    <t>294 - BICHOUILI  HAPSI ROAD</t>
  </si>
  <si>
    <t>295 - BICHOUILI  HAPSI ROAD</t>
  </si>
  <si>
    <t>296 - BICHOULI HUPPSY</t>
  </si>
  <si>
    <t>297 - BICHOULI HUPPSY</t>
  </si>
  <si>
    <t>298 - BADIYA KIMA</t>
  </si>
  <si>
    <t>299 - BADIYA KEEMA</t>
  </si>
  <si>
    <t>300 - BADIYA KIMA</t>
  </si>
  <si>
    <t>301 - SANAVADIA</t>
  </si>
  <si>
    <t>302 - SANAVADIA</t>
  </si>
  <si>
    <t>303 - SANAVADIYA</t>
  </si>
  <si>
    <t>304 - BIHADIYA</t>
  </si>
  <si>
    <t>305 - BIHADIYA</t>
  </si>
  <si>
    <t>306 - UMRIYA KHURD</t>
  </si>
  <si>
    <t>307 - UMRIYA KHURD</t>
  </si>
  <si>
    <t>308 - SONGURADIYA</t>
  </si>
  <si>
    <t>309 - DHAMANAY</t>
  </si>
  <si>
    <t>310 - DHAMANAY</t>
  </si>
  <si>
    <t>311 - SONVAY</t>
  </si>
  <si>
    <t>312 - MUNDALA DOSTDAR</t>
  </si>
  <si>
    <t>313 - RAJDHARA</t>
  </si>
  <si>
    <t>314 - JAMNIYA KHURD</t>
  </si>
  <si>
    <t>315 - JAMNIYA KHURD</t>
  </si>
  <si>
    <t>316 - TILLOUR KHURD</t>
  </si>
  <si>
    <t>317 - TILLOUR KHURD</t>
  </si>
  <si>
    <t>318 - TILLOUR KHURD</t>
  </si>
  <si>
    <t>319 - TILLOUR KHURD</t>
  </si>
  <si>
    <t>Polling Station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</si>
</sst>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1" fontId="0" fillId="3" borderId="0" xfId="0" applyNumberFormat="1" applyFill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right" vertical="top"/>
    </xf>
    <xf numFmtId="1" fontId="0" fillId="2" borderId="1" xfId="0" applyNumberFormat="1" applyFill="1" applyBorder="1"/>
    <xf numFmtId="0" fontId="0" fillId="0" borderId="1" xfId="0" applyBorder="1"/>
    <xf numFmtId="0" fontId="0" fillId="3" borderId="1" xfId="0" applyFill="1" applyBorder="1"/>
    <xf numFmtId="1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4" borderId="0" xfId="0" applyFill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2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</dxfs>
  <tableStyles count="1" defaultTableStyle="TableStyleMedium9" defaultPivotStyle="PivotStyleLight16">
    <tableStyle name="Invisible" pivot="0" table="0" count="0" xr9:uid="{C3528F44-DF1A-4B69-B017-D1191C7F9F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(210 RAU)'!$W$1</c:f>
              <c:strCache>
                <c:ptCount val="1"/>
                <c:pt idx="0">
                  <c:v>Voter turnout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'2023 (210 RAU)'!$V$2:$V$320</c:f>
              <c:numCache>
                <c:formatCode>General</c:formatCode>
                <c:ptCount val="319"/>
                <c:pt idx="0">
                  <c:v>495</c:v>
                </c:pt>
                <c:pt idx="1">
                  <c:v>389</c:v>
                </c:pt>
                <c:pt idx="2">
                  <c:v>41</c:v>
                </c:pt>
                <c:pt idx="3">
                  <c:v>444</c:v>
                </c:pt>
                <c:pt idx="4">
                  <c:v>482</c:v>
                </c:pt>
                <c:pt idx="5">
                  <c:v>495</c:v>
                </c:pt>
                <c:pt idx="6">
                  <c:v>386</c:v>
                </c:pt>
                <c:pt idx="7">
                  <c:v>592</c:v>
                </c:pt>
                <c:pt idx="8">
                  <c:v>456</c:v>
                </c:pt>
                <c:pt idx="9">
                  <c:v>318</c:v>
                </c:pt>
                <c:pt idx="10">
                  <c:v>366</c:v>
                </c:pt>
                <c:pt idx="11">
                  <c:v>98</c:v>
                </c:pt>
                <c:pt idx="12">
                  <c:v>383</c:v>
                </c:pt>
                <c:pt idx="13">
                  <c:v>358</c:v>
                </c:pt>
                <c:pt idx="14">
                  <c:v>419</c:v>
                </c:pt>
                <c:pt idx="15">
                  <c:v>373</c:v>
                </c:pt>
                <c:pt idx="16">
                  <c:v>360</c:v>
                </c:pt>
                <c:pt idx="17">
                  <c:v>439</c:v>
                </c:pt>
                <c:pt idx="18">
                  <c:v>326</c:v>
                </c:pt>
                <c:pt idx="19">
                  <c:v>515</c:v>
                </c:pt>
                <c:pt idx="20">
                  <c:v>469</c:v>
                </c:pt>
                <c:pt idx="21">
                  <c:v>339</c:v>
                </c:pt>
                <c:pt idx="22">
                  <c:v>415</c:v>
                </c:pt>
                <c:pt idx="23">
                  <c:v>225</c:v>
                </c:pt>
                <c:pt idx="24">
                  <c:v>300</c:v>
                </c:pt>
                <c:pt idx="25">
                  <c:v>322</c:v>
                </c:pt>
                <c:pt idx="26">
                  <c:v>367</c:v>
                </c:pt>
                <c:pt idx="27">
                  <c:v>344</c:v>
                </c:pt>
                <c:pt idx="28">
                  <c:v>298</c:v>
                </c:pt>
                <c:pt idx="29">
                  <c:v>312</c:v>
                </c:pt>
                <c:pt idx="30">
                  <c:v>268</c:v>
                </c:pt>
                <c:pt idx="31">
                  <c:v>411</c:v>
                </c:pt>
                <c:pt idx="32">
                  <c:v>366</c:v>
                </c:pt>
                <c:pt idx="33">
                  <c:v>534</c:v>
                </c:pt>
                <c:pt idx="34">
                  <c:v>291</c:v>
                </c:pt>
                <c:pt idx="35">
                  <c:v>379</c:v>
                </c:pt>
                <c:pt idx="36">
                  <c:v>84</c:v>
                </c:pt>
                <c:pt idx="37">
                  <c:v>36</c:v>
                </c:pt>
                <c:pt idx="38">
                  <c:v>176</c:v>
                </c:pt>
                <c:pt idx="39">
                  <c:v>169</c:v>
                </c:pt>
                <c:pt idx="40">
                  <c:v>442</c:v>
                </c:pt>
                <c:pt idx="41">
                  <c:v>214</c:v>
                </c:pt>
                <c:pt idx="42">
                  <c:v>153</c:v>
                </c:pt>
                <c:pt idx="43">
                  <c:v>68</c:v>
                </c:pt>
                <c:pt idx="44">
                  <c:v>205</c:v>
                </c:pt>
                <c:pt idx="45">
                  <c:v>13</c:v>
                </c:pt>
                <c:pt idx="46">
                  <c:v>50</c:v>
                </c:pt>
                <c:pt idx="47">
                  <c:v>176</c:v>
                </c:pt>
                <c:pt idx="48">
                  <c:v>165</c:v>
                </c:pt>
                <c:pt idx="49">
                  <c:v>5</c:v>
                </c:pt>
                <c:pt idx="50">
                  <c:v>363</c:v>
                </c:pt>
                <c:pt idx="51">
                  <c:v>271</c:v>
                </c:pt>
                <c:pt idx="52">
                  <c:v>197</c:v>
                </c:pt>
                <c:pt idx="53">
                  <c:v>246</c:v>
                </c:pt>
                <c:pt idx="54">
                  <c:v>212</c:v>
                </c:pt>
                <c:pt idx="55">
                  <c:v>292</c:v>
                </c:pt>
                <c:pt idx="56">
                  <c:v>320</c:v>
                </c:pt>
                <c:pt idx="57">
                  <c:v>62</c:v>
                </c:pt>
                <c:pt idx="58">
                  <c:v>295</c:v>
                </c:pt>
                <c:pt idx="59">
                  <c:v>172</c:v>
                </c:pt>
                <c:pt idx="60">
                  <c:v>433</c:v>
                </c:pt>
                <c:pt idx="61">
                  <c:v>32</c:v>
                </c:pt>
                <c:pt idx="62">
                  <c:v>96</c:v>
                </c:pt>
                <c:pt idx="63">
                  <c:v>171</c:v>
                </c:pt>
                <c:pt idx="64">
                  <c:v>183</c:v>
                </c:pt>
                <c:pt idx="65">
                  <c:v>326</c:v>
                </c:pt>
                <c:pt idx="66">
                  <c:v>168</c:v>
                </c:pt>
                <c:pt idx="67">
                  <c:v>342</c:v>
                </c:pt>
                <c:pt idx="68">
                  <c:v>94</c:v>
                </c:pt>
                <c:pt idx="69">
                  <c:v>42</c:v>
                </c:pt>
                <c:pt idx="70">
                  <c:v>401</c:v>
                </c:pt>
                <c:pt idx="71">
                  <c:v>435</c:v>
                </c:pt>
                <c:pt idx="72">
                  <c:v>206</c:v>
                </c:pt>
                <c:pt idx="73">
                  <c:v>364</c:v>
                </c:pt>
                <c:pt idx="74">
                  <c:v>279</c:v>
                </c:pt>
                <c:pt idx="75">
                  <c:v>211</c:v>
                </c:pt>
                <c:pt idx="76">
                  <c:v>337</c:v>
                </c:pt>
                <c:pt idx="77">
                  <c:v>347</c:v>
                </c:pt>
                <c:pt idx="78">
                  <c:v>108</c:v>
                </c:pt>
                <c:pt idx="79">
                  <c:v>88</c:v>
                </c:pt>
                <c:pt idx="80">
                  <c:v>42</c:v>
                </c:pt>
                <c:pt idx="81">
                  <c:v>463</c:v>
                </c:pt>
                <c:pt idx="82">
                  <c:v>187</c:v>
                </c:pt>
                <c:pt idx="83">
                  <c:v>605</c:v>
                </c:pt>
                <c:pt idx="84">
                  <c:v>374</c:v>
                </c:pt>
                <c:pt idx="85">
                  <c:v>227</c:v>
                </c:pt>
                <c:pt idx="86">
                  <c:v>514</c:v>
                </c:pt>
                <c:pt idx="87">
                  <c:v>71</c:v>
                </c:pt>
                <c:pt idx="88">
                  <c:v>72</c:v>
                </c:pt>
                <c:pt idx="89">
                  <c:v>289</c:v>
                </c:pt>
                <c:pt idx="90">
                  <c:v>318</c:v>
                </c:pt>
                <c:pt idx="91">
                  <c:v>363</c:v>
                </c:pt>
                <c:pt idx="92">
                  <c:v>297</c:v>
                </c:pt>
                <c:pt idx="93">
                  <c:v>380</c:v>
                </c:pt>
                <c:pt idx="94">
                  <c:v>294</c:v>
                </c:pt>
                <c:pt idx="95">
                  <c:v>256</c:v>
                </c:pt>
                <c:pt idx="96">
                  <c:v>86</c:v>
                </c:pt>
                <c:pt idx="97">
                  <c:v>184</c:v>
                </c:pt>
                <c:pt idx="98">
                  <c:v>174</c:v>
                </c:pt>
                <c:pt idx="99">
                  <c:v>193</c:v>
                </c:pt>
                <c:pt idx="100">
                  <c:v>284</c:v>
                </c:pt>
                <c:pt idx="101">
                  <c:v>142</c:v>
                </c:pt>
                <c:pt idx="102">
                  <c:v>154</c:v>
                </c:pt>
                <c:pt idx="103">
                  <c:v>120</c:v>
                </c:pt>
                <c:pt idx="104">
                  <c:v>152</c:v>
                </c:pt>
                <c:pt idx="105">
                  <c:v>244</c:v>
                </c:pt>
                <c:pt idx="106">
                  <c:v>155</c:v>
                </c:pt>
                <c:pt idx="107">
                  <c:v>126</c:v>
                </c:pt>
                <c:pt idx="108">
                  <c:v>293</c:v>
                </c:pt>
                <c:pt idx="109">
                  <c:v>246</c:v>
                </c:pt>
                <c:pt idx="110">
                  <c:v>307</c:v>
                </c:pt>
                <c:pt idx="111">
                  <c:v>126</c:v>
                </c:pt>
                <c:pt idx="112">
                  <c:v>96</c:v>
                </c:pt>
                <c:pt idx="113">
                  <c:v>783</c:v>
                </c:pt>
                <c:pt idx="114">
                  <c:v>543</c:v>
                </c:pt>
                <c:pt idx="115">
                  <c:v>513</c:v>
                </c:pt>
                <c:pt idx="116">
                  <c:v>777</c:v>
                </c:pt>
                <c:pt idx="117">
                  <c:v>688</c:v>
                </c:pt>
                <c:pt idx="118">
                  <c:v>232</c:v>
                </c:pt>
                <c:pt idx="119">
                  <c:v>434</c:v>
                </c:pt>
                <c:pt idx="120">
                  <c:v>464</c:v>
                </c:pt>
                <c:pt idx="121">
                  <c:v>780</c:v>
                </c:pt>
                <c:pt idx="122">
                  <c:v>778</c:v>
                </c:pt>
                <c:pt idx="123">
                  <c:v>802</c:v>
                </c:pt>
                <c:pt idx="124">
                  <c:v>734</c:v>
                </c:pt>
                <c:pt idx="125">
                  <c:v>502</c:v>
                </c:pt>
                <c:pt idx="126">
                  <c:v>560</c:v>
                </c:pt>
                <c:pt idx="127">
                  <c:v>492</c:v>
                </c:pt>
                <c:pt idx="128">
                  <c:v>6</c:v>
                </c:pt>
                <c:pt idx="129">
                  <c:v>71</c:v>
                </c:pt>
                <c:pt idx="130">
                  <c:v>154</c:v>
                </c:pt>
                <c:pt idx="131">
                  <c:v>77</c:v>
                </c:pt>
                <c:pt idx="132">
                  <c:v>210</c:v>
                </c:pt>
                <c:pt idx="133">
                  <c:v>568</c:v>
                </c:pt>
                <c:pt idx="134">
                  <c:v>318</c:v>
                </c:pt>
                <c:pt idx="135">
                  <c:v>477</c:v>
                </c:pt>
                <c:pt idx="136">
                  <c:v>342</c:v>
                </c:pt>
                <c:pt idx="137">
                  <c:v>265</c:v>
                </c:pt>
                <c:pt idx="138">
                  <c:v>266</c:v>
                </c:pt>
                <c:pt idx="139">
                  <c:v>332</c:v>
                </c:pt>
                <c:pt idx="140">
                  <c:v>382</c:v>
                </c:pt>
                <c:pt idx="141">
                  <c:v>84</c:v>
                </c:pt>
                <c:pt idx="142">
                  <c:v>106</c:v>
                </c:pt>
                <c:pt idx="143">
                  <c:v>116</c:v>
                </c:pt>
                <c:pt idx="144">
                  <c:v>93</c:v>
                </c:pt>
                <c:pt idx="145">
                  <c:v>58</c:v>
                </c:pt>
                <c:pt idx="146">
                  <c:v>188</c:v>
                </c:pt>
                <c:pt idx="147">
                  <c:v>231</c:v>
                </c:pt>
                <c:pt idx="148">
                  <c:v>229</c:v>
                </c:pt>
                <c:pt idx="149">
                  <c:v>68</c:v>
                </c:pt>
                <c:pt idx="150">
                  <c:v>245</c:v>
                </c:pt>
                <c:pt idx="151">
                  <c:v>252</c:v>
                </c:pt>
                <c:pt idx="152">
                  <c:v>22</c:v>
                </c:pt>
                <c:pt idx="153">
                  <c:v>86</c:v>
                </c:pt>
                <c:pt idx="154">
                  <c:v>329</c:v>
                </c:pt>
                <c:pt idx="155">
                  <c:v>453</c:v>
                </c:pt>
                <c:pt idx="156">
                  <c:v>232</c:v>
                </c:pt>
                <c:pt idx="157">
                  <c:v>297</c:v>
                </c:pt>
                <c:pt idx="158">
                  <c:v>9</c:v>
                </c:pt>
                <c:pt idx="159">
                  <c:v>117</c:v>
                </c:pt>
                <c:pt idx="160">
                  <c:v>5</c:v>
                </c:pt>
                <c:pt idx="161">
                  <c:v>474</c:v>
                </c:pt>
                <c:pt idx="162">
                  <c:v>311</c:v>
                </c:pt>
                <c:pt idx="163">
                  <c:v>41</c:v>
                </c:pt>
                <c:pt idx="164">
                  <c:v>87</c:v>
                </c:pt>
                <c:pt idx="165">
                  <c:v>294</c:v>
                </c:pt>
                <c:pt idx="166">
                  <c:v>22</c:v>
                </c:pt>
                <c:pt idx="167">
                  <c:v>183</c:v>
                </c:pt>
                <c:pt idx="168">
                  <c:v>350</c:v>
                </c:pt>
                <c:pt idx="169">
                  <c:v>4</c:v>
                </c:pt>
                <c:pt idx="170">
                  <c:v>153</c:v>
                </c:pt>
                <c:pt idx="171">
                  <c:v>251</c:v>
                </c:pt>
                <c:pt idx="172">
                  <c:v>226</c:v>
                </c:pt>
                <c:pt idx="173">
                  <c:v>416</c:v>
                </c:pt>
                <c:pt idx="174">
                  <c:v>288</c:v>
                </c:pt>
                <c:pt idx="175">
                  <c:v>205</c:v>
                </c:pt>
                <c:pt idx="176">
                  <c:v>438</c:v>
                </c:pt>
                <c:pt idx="177">
                  <c:v>27</c:v>
                </c:pt>
                <c:pt idx="178">
                  <c:v>217</c:v>
                </c:pt>
                <c:pt idx="179">
                  <c:v>208</c:v>
                </c:pt>
                <c:pt idx="180">
                  <c:v>277</c:v>
                </c:pt>
                <c:pt idx="181">
                  <c:v>199</c:v>
                </c:pt>
                <c:pt idx="182">
                  <c:v>169</c:v>
                </c:pt>
                <c:pt idx="183">
                  <c:v>276</c:v>
                </c:pt>
                <c:pt idx="184">
                  <c:v>212</c:v>
                </c:pt>
                <c:pt idx="185">
                  <c:v>421</c:v>
                </c:pt>
                <c:pt idx="186">
                  <c:v>438</c:v>
                </c:pt>
                <c:pt idx="187">
                  <c:v>391</c:v>
                </c:pt>
                <c:pt idx="188">
                  <c:v>195</c:v>
                </c:pt>
                <c:pt idx="189">
                  <c:v>50</c:v>
                </c:pt>
                <c:pt idx="190">
                  <c:v>103</c:v>
                </c:pt>
                <c:pt idx="191">
                  <c:v>40</c:v>
                </c:pt>
                <c:pt idx="192">
                  <c:v>205</c:v>
                </c:pt>
                <c:pt idx="193">
                  <c:v>60</c:v>
                </c:pt>
                <c:pt idx="194">
                  <c:v>242</c:v>
                </c:pt>
                <c:pt idx="195">
                  <c:v>315</c:v>
                </c:pt>
                <c:pt idx="196">
                  <c:v>42</c:v>
                </c:pt>
                <c:pt idx="197">
                  <c:v>157</c:v>
                </c:pt>
                <c:pt idx="198">
                  <c:v>124</c:v>
                </c:pt>
                <c:pt idx="199">
                  <c:v>199</c:v>
                </c:pt>
                <c:pt idx="200">
                  <c:v>294</c:v>
                </c:pt>
                <c:pt idx="201">
                  <c:v>192</c:v>
                </c:pt>
                <c:pt idx="202">
                  <c:v>109</c:v>
                </c:pt>
                <c:pt idx="203">
                  <c:v>66</c:v>
                </c:pt>
                <c:pt idx="204">
                  <c:v>224</c:v>
                </c:pt>
                <c:pt idx="205">
                  <c:v>207</c:v>
                </c:pt>
                <c:pt idx="206">
                  <c:v>1</c:v>
                </c:pt>
                <c:pt idx="207">
                  <c:v>244</c:v>
                </c:pt>
                <c:pt idx="208">
                  <c:v>171</c:v>
                </c:pt>
                <c:pt idx="209">
                  <c:v>204</c:v>
                </c:pt>
                <c:pt idx="210">
                  <c:v>336</c:v>
                </c:pt>
                <c:pt idx="211">
                  <c:v>442</c:v>
                </c:pt>
                <c:pt idx="212">
                  <c:v>214</c:v>
                </c:pt>
                <c:pt idx="213">
                  <c:v>250</c:v>
                </c:pt>
                <c:pt idx="214">
                  <c:v>225</c:v>
                </c:pt>
                <c:pt idx="215">
                  <c:v>138</c:v>
                </c:pt>
                <c:pt idx="216">
                  <c:v>392</c:v>
                </c:pt>
                <c:pt idx="217">
                  <c:v>141</c:v>
                </c:pt>
                <c:pt idx="218">
                  <c:v>203</c:v>
                </c:pt>
                <c:pt idx="219">
                  <c:v>520</c:v>
                </c:pt>
                <c:pt idx="220">
                  <c:v>336</c:v>
                </c:pt>
                <c:pt idx="221">
                  <c:v>231</c:v>
                </c:pt>
                <c:pt idx="222">
                  <c:v>546</c:v>
                </c:pt>
                <c:pt idx="223">
                  <c:v>434</c:v>
                </c:pt>
                <c:pt idx="224">
                  <c:v>756</c:v>
                </c:pt>
                <c:pt idx="225">
                  <c:v>142</c:v>
                </c:pt>
                <c:pt idx="226">
                  <c:v>100</c:v>
                </c:pt>
                <c:pt idx="227">
                  <c:v>327</c:v>
                </c:pt>
                <c:pt idx="228">
                  <c:v>510</c:v>
                </c:pt>
                <c:pt idx="229">
                  <c:v>152</c:v>
                </c:pt>
                <c:pt idx="230">
                  <c:v>325</c:v>
                </c:pt>
                <c:pt idx="231">
                  <c:v>305</c:v>
                </c:pt>
                <c:pt idx="232">
                  <c:v>163</c:v>
                </c:pt>
                <c:pt idx="233">
                  <c:v>79</c:v>
                </c:pt>
                <c:pt idx="234">
                  <c:v>330</c:v>
                </c:pt>
                <c:pt idx="235">
                  <c:v>416</c:v>
                </c:pt>
                <c:pt idx="236">
                  <c:v>348</c:v>
                </c:pt>
                <c:pt idx="237">
                  <c:v>152</c:v>
                </c:pt>
                <c:pt idx="238">
                  <c:v>352</c:v>
                </c:pt>
                <c:pt idx="239">
                  <c:v>251</c:v>
                </c:pt>
                <c:pt idx="240">
                  <c:v>191</c:v>
                </c:pt>
                <c:pt idx="241">
                  <c:v>95</c:v>
                </c:pt>
                <c:pt idx="242">
                  <c:v>470</c:v>
                </c:pt>
                <c:pt idx="243">
                  <c:v>123</c:v>
                </c:pt>
                <c:pt idx="244">
                  <c:v>63</c:v>
                </c:pt>
                <c:pt idx="245">
                  <c:v>22</c:v>
                </c:pt>
                <c:pt idx="246">
                  <c:v>27</c:v>
                </c:pt>
                <c:pt idx="247">
                  <c:v>568</c:v>
                </c:pt>
                <c:pt idx="248">
                  <c:v>379</c:v>
                </c:pt>
                <c:pt idx="249">
                  <c:v>528</c:v>
                </c:pt>
                <c:pt idx="250">
                  <c:v>457</c:v>
                </c:pt>
                <c:pt idx="251">
                  <c:v>53</c:v>
                </c:pt>
                <c:pt idx="252">
                  <c:v>117</c:v>
                </c:pt>
                <c:pt idx="253">
                  <c:v>396</c:v>
                </c:pt>
                <c:pt idx="254">
                  <c:v>276</c:v>
                </c:pt>
                <c:pt idx="255">
                  <c:v>410</c:v>
                </c:pt>
                <c:pt idx="256">
                  <c:v>480</c:v>
                </c:pt>
                <c:pt idx="257">
                  <c:v>203</c:v>
                </c:pt>
                <c:pt idx="258">
                  <c:v>138</c:v>
                </c:pt>
                <c:pt idx="259">
                  <c:v>9</c:v>
                </c:pt>
                <c:pt idx="260">
                  <c:v>103</c:v>
                </c:pt>
                <c:pt idx="261">
                  <c:v>189</c:v>
                </c:pt>
                <c:pt idx="262">
                  <c:v>100</c:v>
                </c:pt>
                <c:pt idx="263">
                  <c:v>115</c:v>
                </c:pt>
                <c:pt idx="264">
                  <c:v>62</c:v>
                </c:pt>
                <c:pt idx="265">
                  <c:v>312</c:v>
                </c:pt>
                <c:pt idx="266">
                  <c:v>160</c:v>
                </c:pt>
                <c:pt idx="267">
                  <c:v>75</c:v>
                </c:pt>
                <c:pt idx="268">
                  <c:v>191</c:v>
                </c:pt>
                <c:pt idx="269">
                  <c:v>28</c:v>
                </c:pt>
                <c:pt idx="270">
                  <c:v>129</c:v>
                </c:pt>
                <c:pt idx="271">
                  <c:v>115</c:v>
                </c:pt>
                <c:pt idx="272">
                  <c:v>121</c:v>
                </c:pt>
                <c:pt idx="273">
                  <c:v>274</c:v>
                </c:pt>
                <c:pt idx="274">
                  <c:v>41</c:v>
                </c:pt>
                <c:pt idx="275">
                  <c:v>170</c:v>
                </c:pt>
                <c:pt idx="276">
                  <c:v>171</c:v>
                </c:pt>
                <c:pt idx="277">
                  <c:v>258</c:v>
                </c:pt>
                <c:pt idx="278">
                  <c:v>142</c:v>
                </c:pt>
                <c:pt idx="279">
                  <c:v>14</c:v>
                </c:pt>
                <c:pt idx="280">
                  <c:v>483</c:v>
                </c:pt>
                <c:pt idx="281">
                  <c:v>687</c:v>
                </c:pt>
                <c:pt idx="282">
                  <c:v>67</c:v>
                </c:pt>
                <c:pt idx="283">
                  <c:v>93</c:v>
                </c:pt>
                <c:pt idx="284">
                  <c:v>43</c:v>
                </c:pt>
                <c:pt idx="285">
                  <c:v>47</c:v>
                </c:pt>
                <c:pt idx="286">
                  <c:v>123</c:v>
                </c:pt>
                <c:pt idx="287">
                  <c:v>71</c:v>
                </c:pt>
                <c:pt idx="288">
                  <c:v>235</c:v>
                </c:pt>
                <c:pt idx="290">
                  <c:v>99</c:v>
                </c:pt>
                <c:pt idx="291">
                  <c:v>235</c:v>
                </c:pt>
                <c:pt idx="292">
                  <c:v>273</c:v>
                </c:pt>
                <c:pt idx="293">
                  <c:v>48</c:v>
                </c:pt>
                <c:pt idx="294">
                  <c:v>627</c:v>
                </c:pt>
                <c:pt idx="295">
                  <c:v>545</c:v>
                </c:pt>
                <c:pt idx="296">
                  <c:v>396</c:v>
                </c:pt>
                <c:pt idx="297">
                  <c:v>184</c:v>
                </c:pt>
                <c:pt idx="298">
                  <c:v>208</c:v>
                </c:pt>
                <c:pt idx="299">
                  <c:v>59</c:v>
                </c:pt>
                <c:pt idx="300">
                  <c:v>187</c:v>
                </c:pt>
                <c:pt idx="301">
                  <c:v>185</c:v>
                </c:pt>
                <c:pt idx="302">
                  <c:v>239</c:v>
                </c:pt>
                <c:pt idx="303">
                  <c:v>99</c:v>
                </c:pt>
                <c:pt idx="304">
                  <c:v>324</c:v>
                </c:pt>
                <c:pt idx="305">
                  <c:v>64</c:v>
                </c:pt>
                <c:pt idx="306">
                  <c:v>126</c:v>
                </c:pt>
                <c:pt idx="307">
                  <c:v>385</c:v>
                </c:pt>
                <c:pt idx="308">
                  <c:v>305</c:v>
                </c:pt>
                <c:pt idx="309">
                  <c:v>156</c:v>
                </c:pt>
                <c:pt idx="310">
                  <c:v>29</c:v>
                </c:pt>
                <c:pt idx="311">
                  <c:v>175</c:v>
                </c:pt>
                <c:pt idx="312">
                  <c:v>127</c:v>
                </c:pt>
                <c:pt idx="313">
                  <c:v>131</c:v>
                </c:pt>
                <c:pt idx="314">
                  <c:v>228</c:v>
                </c:pt>
                <c:pt idx="315">
                  <c:v>365</c:v>
                </c:pt>
                <c:pt idx="316">
                  <c:v>66</c:v>
                </c:pt>
                <c:pt idx="317">
                  <c:v>276</c:v>
                </c:pt>
                <c:pt idx="318">
                  <c:v>310</c:v>
                </c:pt>
              </c:numCache>
            </c:numRef>
          </c:xVal>
          <c:yVal>
            <c:numRef>
              <c:f>'2023 (210 RAU)'!$W$2:$W$320</c:f>
              <c:numCache>
                <c:formatCode>0</c:formatCode>
                <c:ptCount val="319"/>
                <c:pt idx="0">
                  <c:v>78.847884788478851</c:v>
                </c:pt>
                <c:pt idx="1">
                  <c:v>69.188767550702025</c:v>
                </c:pt>
                <c:pt idx="2">
                  <c:v>73.423423423423429</c:v>
                </c:pt>
                <c:pt idx="3">
                  <c:v>69.236311239193085</c:v>
                </c:pt>
                <c:pt idx="4">
                  <c:v>71.380471380471377</c:v>
                </c:pt>
                <c:pt idx="5">
                  <c:v>73.666666666666671</c:v>
                </c:pt>
                <c:pt idx="6">
                  <c:v>72.971014492753625</c:v>
                </c:pt>
                <c:pt idx="7">
                  <c:v>74.321641297154201</c:v>
                </c:pt>
                <c:pt idx="8">
                  <c:v>68.601798855273927</c:v>
                </c:pt>
                <c:pt idx="9">
                  <c:v>70.086035737921904</c:v>
                </c:pt>
                <c:pt idx="10">
                  <c:v>69.105691056910572</c:v>
                </c:pt>
                <c:pt idx="11">
                  <c:v>78.230500582072182</c:v>
                </c:pt>
                <c:pt idx="12">
                  <c:v>78.588612670408992</c:v>
                </c:pt>
                <c:pt idx="13">
                  <c:v>60.428231562252179</c:v>
                </c:pt>
                <c:pt idx="14">
                  <c:v>72.314347512617161</c:v>
                </c:pt>
                <c:pt idx="15">
                  <c:v>72.025495750708217</c:v>
                </c:pt>
                <c:pt idx="16">
                  <c:v>72.618207480592801</c:v>
                </c:pt>
                <c:pt idx="17">
                  <c:v>77</c:v>
                </c:pt>
                <c:pt idx="18">
                  <c:v>74.591381872213972</c:v>
                </c:pt>
                <c:pt idx="19">
                  <c:v>64.872139973082099</c:v>
                </c:pt>
                <c:pt idx="20">
                  <c:v>72.484952708512466</c:v>
                </c:pt>
                <c:pt idx="21">
                  <c:v>74.12587412587412</c:v>
                </c:pt>
                <c:pt idx="22">
                  <c:v>76.568265682656829</c:v>
                </c:pt>
                <c:pt idx="23">
                  <c:v>78.066612510154343</c:v>
                </c:pt>
                <c:pt idx="24">
                  <c:v>70.697995853489985</c:v>
                </c:pt>
                <c:pt idx="25">
                  <c:v>67.694463910301323</c:v>
                </c:pt>
                <c:pt idx="26">
                  <c:v>73.408769448373405</c:v>
                </c:pt>
                <c:pt idx="27">
                  <c:v>70.78804347826086</c:v>
                </c:pt>
                <c:pt idx="28">
                  <c:v>84.664031620553359</c:v>
                </c:pt>
                <c:pt idx="29">
                  <c:v>84.072398190045249</c:v>
                </c:pt>
                <c:pt idx="30">
                  <c:v>51.63747143945163</c:v>
                </c:pt>
                <c:pt idx="31">
                  <c:v>53.142076502732237</c:v>
                </c:pt>
                <c:pt idx="32">
                  <c:v>67.361740707162284</c:v>
                </c:pt>
                <c:pt idx="33">
                  <c:v>85.094637223974772</c:v>
                </c:pt>
                <c:pt idx="34">
                  <c:v>52.136006974716651</c:v>
                </c:pt>
                <c:pt idx="35">
                  <c:v>69.682386910490862</c:v>
                </c:pt>
                <c:pt idx="36">
                  <c:v>55.724417426545081</c:v>
                </c:pt>
                <c:pt idx="37">
                  <c:v>36.638338054768646</c:v>
                </c:pt>
                <c:pt idx="38">
                  <c:v>72.435897435897431</c:v>
                </c:pt>
                <c:pt idx="39">
                  <c:v>82.274881516587669</c:v>
                </c:pt>
                <c:pt idx="40">
                  <c:v>80.609756097560975</c:v>
                </c:pt>
                <c:pt idx="41">
                  <c:v>54.176804541768043</c:v>
                </c:pt>
                <c:pt idx="42">
                  <c:v>69.938107869142357</c:v>
                </c:pt>
                <c:pt idx="43">
                  <c:v>51.788756388415671</c:v>
                </c:pt>
                <c:pt idx="44">
                  <c:v>68.096514745308312</c:v>
                </c:pt>
                <c:pt idx="45">
                  <c:v>63.270336894001645</c:v>
                </c:pt>
                <c:pt idx="46">
                  <c:v>43.156199677938808</c:v>
                </c:pt>
                <c:pt idx="47">
                  <c:v>64.640883977900558</c:v>
                </c:pt>
                <c:pt idx="48">
                  <c:v>87.256637168141594</c:v>
                </c:pt>
                <c:pt idx="49">
                  <c:v>83.368421052631575</c:v>
                </c:pt>
                <c:pt idx="50">
                  <c:v>88.509316770186331</c:v>
                </c:pt>
                <c:pt idx="51">
                  <c:v>87.717601547388782</c:v>
                </c:pt>
                <c:pt idx="52">
                  <c:v>70.057424118129617</c:v>
                </c:pt>
                <c:pt idx="53">
                  <c:v>81.574539363484092</c:v>
                </c:pt>
                <c:pt idx="54">
                  <c:v>39.315642458100555</c:v>
                </c:pt>
                <c:pt idx="55">
                  <c:v>72.632311977715887</c:v>
                </c:pt>
                <c:pt idx="56">
                  <c:v>70.576735092864126</c:v>
                </c:pt>
                <c:pt idx="57">
                  <c:v>53.198127925116999</c:v>
                </c:pt>
                <c:pt idx="58">
                  <c:v>83.546325878594246</c:v>
                </c:pt>
                <c:pt idx="59">
                  <c:v>58.078291814946617</c:v>
                </c:pt>
                <c:pt idx="60">
                  <c:v>70.177165354330711</c:v>
                </c:pt>
                <c:pt idx="61">
                  <c:v>90.047393364928908</c:v>
                </c:pt>
                <c:pt idx="62">
                  <c:v>40.722379603399432</c:v>
                </c:pt>
                <c:pt idx="63">
                  <c:v>71.940298507462686</c:v>
                </c:pt>
                <c:pt idx="64">
                  <c:v>93.373493975903614</c:v>
                </c:pt>
                <c:pt idx="65">
                  <c:v>89.958592132505174</c:v>
                </c:pt>
                <c:pt idx="66">
                  <c:v>60.853008377760851</c:v>
                </c:pt>
                <c:pt idx="67">
                  <c:v>70.967741935483872</c:v>
                </c:pt>
                <c:pt idx="68">
                  <c:v>51.13725490196078</c:v>
                </c:pt>
                <c:pt idx="69">
                  <c:v>67.220902612826606</c:v>
                </c:pt>
                <c:pt idx="70">
                  <c:v>66.607773851590096</c:v>
                </c:pt>
                <c:pt idx="71">
                  <c:v>49.964209019327129</c:v>
                </c:pt>
                <c:pt idx="72">
                  <c:v>90.150753768844211</c:v>
                </c:pt>
                <c:pt idx="73">
                  <c:v>84.602368866328263</c:v>
                </c:pt>
                <c:pt idx="74">
                  <c:v>83.586337760910808</c:v>
                </c:pt>
                <c:pt idx="75">
                  <c:v>52.85451197053407</c:v>
                </c:pt>
                <c:pt idx="76">
                  <c:v>58.667676003028014</c:v>
                </c:pt>
                <c:pt idx="77">
                  <c:v>52.996005326231689</c:v>
                </c:pt>
                <c:pt idx="78">
                  <c:v>68.223443223443226</c:v>
                </c:pt>
                <c:pt idx="79">
                  <c:v>79.020979020979027</c:v>
                </c:pt>
                <c:pt idx="80">
                  <c:v>84.754990925589837</c:v>
                </c:pt>
                <c:pt idx="81">
                  <c:v>73.765659543109791</c:v>
                </c:pt>
                <c:pt idx="82">
                  <c:v>86.949293433083952</c:v>
                </c:pt>
                <c:pt idx="83">
                  <c:v>87.510407993338873</c:v>
                </c:pt>
                <c:pt idx="84">
                  <c:v>68.561151079136692</c:v>
                </c:pt>
                <c:pt idx="85">
                  <c:v>73.59375</c:v>
                </c:pt>
                <c:pt idx="86">
                  <c:v>81.650750341064111</c:v>
                </c:pt>
                <c:pt idx="87">
                  <c:v>71.79276315789474</c:v>
                </c:pt>
                <c:pt idx="88">
                  <c:v>82.732606873428324</c:v>
                </c:pt>
                <c:pt idx="89">
                  <c:v>91.16719242902208</c:v>
                </c:pt>
                <c:pt idx="90">
                  <c:v>56.871345029239762</c:v>
                </c:pt>
                <c:pt idx="91">
                  <c:v>78.299595141700408</c:v>
                </c:pt>
                <c:pt idx="92">
                  <c:v>85.797342192691033</c:v>
                </c:pt>
                <c:pt idx="93">
                  <c:v>73.983739837398375</c:v>
                </c:pt>
                <c:pt idx="94">
                  <c:v>87.228260869565219</c:v>
                </c:pt>
                <c:pt idx="95">
                  <c:v>66.464646464646464</c:v>
                </c:pt>
                <c:pt idx="96">
                  <c:v>51.308539944903586</c:v>
                </c:pt>
                <c:pt idx="97">
                  <c:v>88.616071428571431</c:v>
                </c:pt>
                <c:pt idx="98">
                  <c:v>42.896742896742893</c:v>
                </c:pt>
                <c:pt idx="99">
                  <c:v>78.031088082901562</c:v>
                </c:pt>
                <c:pt idx="100">
                  <c:v>88.516260162601625</c:v>
                </c:pt>
                <c:pt idx="101">
                  <c:v>49.92795389048991</c:v>
                </c:pt>
                <c:pt idx="102">
                  <c:v>79.231568016614744</c:v>
                </c:pt>
                <c:pt idx="103">
                  <c:v>76.5625</c:v>
                </c:pt>
                <c:pt idx="104">
                  <c:v>76.232741617357007</c:v>
                </c:pt>
                <c:pt idx="105">
                  <c:v>78.063540090771554</c:v>
                </c:pt>
                <c:pt idx="106">
                  <c:v>77.101769911504419</c:v>
                </c:pt>
                <c:pt idx="107">
                  <c:v>69.278350515463913</c:v>
                </c:pt>
                <c:pt idx="108">
                  <c:v>77.540867093105902</c:v>
                </c:pt>
                <c:pt idx="109">
                  <c:v>82.877813504823152</c:v>
                </c:pt>
                <c:pt idx="110">
                  <c:v>82.967836257309941</c:v>
                </c:pt>
                <c:pt idx="111">
                  <c:v>80.361990950226243</c:v>
                </c:pt>
                <c:pt idx="112">
                  <c:v>81.593625498007967</c:v>
                </c:pt>
                <c:pt idx="113">
                  <c:v>85.880527540729247</c:v>
                </c:pt>
                <c:pt idx="114">
                  <c:v>70.370370370370367</c:v>
                </c:pt>
                <c:pt idx="115">
                  <c:v>50.083472454090149</c:v>
                </c:pt>
                <c:pt idx="116">
                  <c:v>96.203796203796202</c:v>
                </c:pt>
                <c:pt idx="117">
                  <c:v>86.333878887070384</c:v>
                </c:pt>
                <c:pt idx="118">
                  <c:v>82.35294117647058</c:v>
                </c:pt>
                <c:pt idx="119">
                  <c:v>62.490087232355272</c:v>
                </c:pt>
                <c:pt idx="120">
                  <c:v>59.587628865979383</c:v>
                </c:pt>
                <c:pt idx="121">
                  <c:v>62.99212598425197</c:v>
                </c:pt>
                <c:pt idx="122">
                  <c:v>57.621082621082621</c:v>
                </c:pt>
                <c:pt idx="123">
                  <c:v>60.835133189344845</c:v>
                </c:pt>
                <c:pt idx="124">
                  <c:v>87.115165336374005</c:v>
                </c:pt>
                <c:pt idx="125">
                  <c:v>67.268351383874844</c:v>
                </c:pt>
                <c:pt idx="126">
                  <c:v>40.955631399317404</c:v>
                </c:pt>
                <c:pt idx="127">
                  <c:v>54.863540937718682</c:v>
                </c:pt>
                <c:pt idx="128">
                  <c:v>73.205741626794264</c:v>
                </c:pt>
                <c:pt idx="129">
                  <c:v>66.214177978883853</c:v>
                </c:pt>
                <c:pt idx="130">
                  <c:v>75.84905660377359</c:v>
                </c:pt>
                <c:pt idx="131">
                  <c:v>66.104417670682736</c:v>
                </c:pt>
                <c:pt idx="132">
                  <c:v>70.205479452054803</c:v>
                </c:pt>
                <c:pt idx="133">
                  <c:v>77.269372693726936</c:v>
                </c:pt>
                <c:pt idx="134">
                  <c:v>45.234375</c:v>
                </c:pt>
                <c:pt idx="135">
                  <c:v>67.909238249594821</c:v>
                </c:pt>
                <c:pt idx="136">
                  <c:v>50.820953870211106</c:v>
                </c:pt>
                <c:pt idx="137">
                  <c:v>85.671191553544489</c:v>
                </c:pt>
                <c:pt idx="138">
                  <c:v>72.826086956521735</c:v>
                </c:pt>
                <c:pt idx="139">
                  <c:v>62.745098039215684</c:v>
                </c:pt>
                <c:pt idx="140">
                  <c:v>66.838487972508588</c:v>
                </c:pt>
                <c:pt idx="141">
                  <c:v>86.077738515901061</c:v>
                </c:pt>
                <c:pt idx="142">
                  <c:v>38.310090237899921</c:v>
                </c:pt>
                <c:pt idx="143">
                  <c:v>49.382716049382715</c:v>
                </c:pt>
                <c:pt idx="144">
                  <c:v>83.129055515501079</c:v>
                </c:pt>
                <c:pt idx="145">
                  <c:v>87.023593466424686</c:v>
                </c:pt>
                <c:pt idx="146">
                  <c:v>87.297921478060047</c:v>
                </c:pt>
                <c:pt idx="147">
                  <c:v>47.818499127399647</c:v>
                </c:pt>
                <c:pt idx="148">
                  <c:v>75.862068965517238</c:v>
                </c:pt>
                <c:pt idx="149">
                  <c:v>93.32333083270818</c:v>
                </c:pt>
                <c:pt idx="150">
                  <c:v>79.120879120879124</c:v>
                </c:pt>
                <c:pt idx="151">
                  <c:v>80.035335689045937</c:v>
                </c:pt>
                <c:pt idx="152">
                  <c:v>81.9023569023569</c:v>
                </c:pt>
                <c:pt idx="153">
                  <c:v>94.07839866555463</c:v>
                </c:pt>
                <c:pt idx="154">
                  <c:v>81.234768480909821</c:v>
                </c:pt>
                <c:pt idx="155">
                  <c:v>86.274509803921575</c:v>
                </c:pt>
                <c:pt idx="156">
                  <c:v>85.593869731800766</c:v>
                </c:pt>
                <c:pt idx="157">
                  <c:v>75.883152173913047</c:v>
                </c:pt>
                <c:pt idx="158">
                  <c:v>69.905040175310447</c:v>
                </c:pt>
                <c:pt idx="159">
                  <c:v>84.35146443514644</c:v>
                </c:pt>
                <c:pt idx="160">
                  <c:v>36.175496688741724</c:v>
                </c:pt>
                <c:pt idx="161">
                  <c:v>44.721529509559431</c:v>
                </c:pt>
                <c:pt idx="162">
                  <c:v>80.23668639053254</c:v>
                </c:pt>
                <c:pt idx="163">
                  <c:v>83.078964830789644</c:v>
                </c:pt>
                <c:pt idx="164">
                  <c:v>52.304316020482808</c:v>
                </c:pt>
                <c:pt idx="165">
                  <c:v>60.310965630114566</c:v>
                </c:pt>
                <c:pt idx="166">
                  <c:v>73.170731707317074</c:v>
                </c:pt>
                <c:pt idx="167">
                  <c:v>56.221198156682028</c:v>
                </c:pt>
                <c:pt idx="168">
                  <c:v>66.880513231756211</c:v>
                </c:pt>
                <c:pt idx="169">
                  <c:v>70.895522388059703</c:v>
                </c:pt>
                <c:pt idx="170">
                  <c:v>78.001387925052043</c:v>
                </c:pt>
                <c:pt idx="171">
                  <c:v>43.25481798715203</c:v>
                </c:pt>
                <c:pt idx="172">
                  <c:v>79.932546374367618</c:v>
                </c:pt>
                <c:pt idx="173">
                  <c:v>84.00297619047619</c:v>
                </c:pt>
                <c:pt idx="174">
                  <c:v>81.72043010752688</c:v>
                </c:pt>
                <c:pt idx="175">
                  <c:v>83.971291866028707</c:v>
                </c:pt>
                <c:pt idx="176">
                  <c:v>93.12080536912751</c:v>
                </c:pt>
                <c:pt idx="177">
                  <c:v>75.713050993949878</c:v>
                </c:pt>
                <c:pt idx="178">
                  <c:v>68.374384236453196</c:v>
                </c:pt>
                <c:pt idx="179">
                  <c:v>45.68403908794788</c:v>
                </c:pt>
                <c:pt idx="180">
                  <c:v>95.027027027027017</c:v>
                </c:pt>
                <c:pt idx="181">
                  <c:v>83.874345549738223</c:v>
                </c:pt>
                <c:pt idx="182">
                  <c:v>65.902293120638092</c:v>
                </c:pt>
                <c:pt idx="183">
                  <c:v>94.171779141104295</c:v>
                </c:pt>
                <c:pt idx="184">
                  <c:v>85.137457044673539</c:v>
                </c:pt>
                <c:pt idx="185">
                  <c:v>93.39055793991416</c:v>
                </c:pt>
                <c:pt idx="186">
                  <c:v>51.365313653136532</c:v>
                </c:pt>
                <c:pt idx="187">
                  <c:v>67.960479887085384</c:v>
                </c:pt>
                <c:pt idx="188">
                  <c:v>86.34482758620689</c:v>
                </c:pt>
                <c:pt idx="189">
                  <c:v>92.407592407592404</c:v>
                </c:pt>
                <c:pt idx="190">
                  <c:v>69.171185127807902</c:v>
                </c:pt>
                <c:pt idx="191">
                  <c:v>39.238845144356951</c:v>
                </c:pt>
                <c:pt idx="192">
                  <c:v>50.817438692098094</c:v>
                </c:pt>
                <c:pt idx="193">
                  <c:v>79.65976331360946</c:v>
                </c:pt>
                <c:pt idx="194">
                  <c:v>81.287726358148888</c:v>
                </c:pt>
                <c:pt idx="195">
                  <c:v>86.329305135951657</c:v>
                </c:pt>
                <c:pt idx="196">
                  <c:v>71.906841339155747</c:v>
                </c:pt>
                <c:pt idx="197">
                  <c:v>42.520775623268698</c:v>
                </c:pt>
                <c:pt idx="198">
                  <c:v>78.55670103092784</c:v>
                </c:pt>
                <c:pt idx="199">
                  <c:v>79.118497109826592</c:v>
                </c:pt>
                <c:pt idx="200">
                  <c:v>88.510301109350237</c:v>
                </c:pt>
                <c:pt idx="201">
                  <c:v>73.162939297124595</c:v>
                </c:pt>
                <c:pt idx="202">
                  <c:v>64.071428571428569</c:v>
                </c:pt>
                <c:pt idx="203">
                  <c:v>71.691436659589527</c:v>
                </c:pt>
                <c:pt idx="204">
                  <c:v>91.097922848664695</c:v>
                </c:pt>
                <c:pt idx="205">
                  <c:v>72.299465240641709</c:v>
                </c:pt>
                <c:pt idx="206">
                  <c:v>62.417994376757271</c:v>
                </c:pt>
                <c:pt idx="207">
                  <c:v>78.828451882845187</c:v>
                </c:pt>
                <c:pt idx="208">
                  <c:v>87.130434782608702</c:v>
                </c:pt>
                <c:pt idx="209">
                  <c:v>84.554140127388536</c:v>
                </c:pt>
                <c:pt idx="210">
                  <c:v>66.144814090019565</c:v>
                </c:pt>
                <c:pt idx="211">
                  <c:v>71.722560975609767</c:v>
                </c:pt>
                <c:pt idx="212">
                  <c:v>82.583333333333329</c:v>
                </c:pt>
                <c:pt idx="213">
                  <c:v>94.230769230769226</c:v>
                </c:pt>
                <c:pt idx="214">
                  <c:v>81.951219512195124</c:v>
                </c:pt>
                <c:pt idx="215">
                  <c:v>41.704035874439462</c:v>
                </c:pt>
                <c:pt idx="216">
                  <c:v>82.838522809558285</c:v>
                </c:pt>
                <c:pt idx="217">
                  <c:v>91.835205992509358</c:v>
                </c:pt>
                <c:pt idx="218">
                  <c:v>94.223107569721122</c:v>
                </c:pt>
                <c:pt idx="219">
                  <c:v>82.333051563820788</c:v>
                </c:pt>
                <c:pt idx="220">
                  <c:v>92.454835281615303</c:v>
                </c:pt>
                <c:pt idx="221">
                  <c:v>41.30747126436782</c:v>
                </c:pt>
                <c:pt idx="222">
                  <c:v>63.609022556390983</c:v>
                </c:pt>
                <c:pt idx="223">
                  <c:v>78.690909090909088</c:v>
                </c:pt>
                <c:pt idx="224">
                  <c:v>75.20775623268699</c:v>
                </c:pt>
                <c:pt idx="225">
                  <c:v>41.05263157894737</c:v>
                </c:pt>
                <c:pt idx="226">
                  <c:v>49.427043544690605</c:v>
                </c:pt>
                <c:pt idx="227">
                  <c:v>50.52395209580839</c:v>
                </c:pt>
                <c:pt idx="228">
                  <c:v>84.141331142152836</c:v>
                </c:pt>
                <c:pt idx="229">
                  <c:v>50.455675227837617</c:v>
                </c:pt>
                <c:pt idx="230">
                  <c:v>47.733711048158639</c:v>
                </c:pt>
                <c:pt idx="231">
                  <c:v>66.066282420749275</c:v>
                </c:pt>
                <c:pt idx="232">
                  <c:v>60.820045558086555</c:v>
                </c:pt>
                <c:pt idx="233">
                  <c:v>74.919268030139946</c:v>
                </c:pt>
                <c:pt idx="234">
                  <c:v>51.637279596977322</c:v>
                </c:pt>
                <c:pt idx="235">
                  <c:v>74.582425562817718</c:v>
                </c:pt>
                <c:pt idx="236">
                  <c:v>59.413369713506135</c:v>
                </c:pt>
                <c:pt idx="237">
                  <c:v>89.875518672199178</c:v>
                </c:pt>
                <c:pt idx="238">
                  <c:v>77.051367578385594</c:v>
                </c:pt>
                <c:pt idx="239">
                  <c:v>92.37588652482269</c:v>
                </c:pt>
                <c:pt idx="240">
                  <c:v>74.819624819624821</c:v>
                </c:pt>
                <c:pt idx="241">
                  <c:v>91.293532338308452</c:v>
                </c:pt>
                <c:pt idx="242">
                  <c:v>62.306136210384352</c:v>
                </c:pt>
                <c:pt idx="243">
                  <c:v>78.828828828828833</c:v>
                </c:pt>
                <c:pt idx="244">
                  <c:v>63.236449332285936</c:v>
                </c:pt>
                <c:pt idx="245">
                  <c:v>52.091254752851711</c:v>
                </c:pt>
                <c:pt idx="246">
                  <c:v>72.814685314685306</c:v>
                </c:pt>
                <c:pt idx="247">
                  <c:v>82.702301410541949</c:v>
                </c:pt>
                <c:pt idx="248">
                  <c:v>62.76849642004774</c:v>
                </c:pt>
                <c:pt idx="249">
                  <c:v>80.170575692963752</c:v>
                </c:pt>
                <c:pt idx="250">
                  <c:v>66.324284666177547</c:v>
                </c:pt>
                <c:pt idx="251">
                  <c:v>88.73096446700508</c:v>
                </c:pt>
                <c:pt idx="252">
                  <c:v>85.727272727272734</c:v>
                </c:pt>
                <c:pt idx="253">
                  <c:v>71.24901806755696</c:v>
                </c:pt>
                <c:pt idx="254">
                  <c:v>36.269786648313833</c:v>
                </c:pt>
                <c:pt idx="255">
                  <c:v>83.236514522821579</c:v>
                </c:pt>
                <c:pt idx="256">
                  <c:v>88.606557377049171</c:v>
                </c:pt>
                <c:pt idx="257">
                  <c:v>39.103690685413007</c:v>
                </c:pt>
                <c:pt idx="258">
                  <c:v>64.625850340136054</c:v>
                </c:pt>
                <c:pt idx="259">
                  <c:v>37.954110898661568</c:v>
                </c:pt>
                <c:pt idx="260">
                  <c:v>66.746794871794862</c:v>
                </c:pt>
                <c:pt idx="261">
                  <c:v>88.213961922030819</c:v>
                </c:pt>
                <c:pt idx="262">
                  <c:v>57.512580877066853</c:v>
                </c:pt>
                <c:pt idx="263">
                  <c:v>83.246527777777786</c:v>
                </c:pt>
                <c:pt idx="264">
                  <c:v>49.860724233983291</c:v>
                </c:pt>
                <c:pt idx="265">
                  <c:v>89.258950874271434</c:v>
                </c:pt>
                <c:pt idx="266">
                  <c:v>84.528301886792462</c:v>
                </c:pt>
                <c:pt idx="267">
                  <c:v>54.38356164383562</c:v>
                </c:pt>
                <c:pt idx="268">
                  <c:v>52.69590222861251</c:v>
                </c:pt>
                <c:pt idx="269">
                  <c:v>52.923310554290047</c:v>
                </c:pt>
                <c:pt idx="270">
                  <c:v>60.86662153012864</c:v>
                </c:pt>
                <c:pt idx="271">
                  <c:v>60.222016651248843</c:v>
                </c:pt>
                <c:pt idx="272">
                  <c:v>56.881533101045299</c:v>
                </c:pt>
                <c:pt idx="273">
                  <c:v>67.827681026581118</c:v>
                </c:pt>
                <c:pt idx="274">
                  <c:v>92.699884125144848</c:v>
                </c:pt>
                <c:pt idx="275">
                  <c:v>51.093613298337701</c:v>
                </c:pt>
                <c:pt idx="276">
                  <c:v>81.081081081081081</c:v>
                </c:pt>
                <c:pt idx="277">
                  <c:v>91.229946524064175</c:v>
                </c:pt>
                <c:pt idx="278">
                  <c:v>53.584905660377359</c:v>
                </c:pt>
                <c:pt idx="279">
                  <c:v>91.86906019007391</c:v>
                </c:pt>
                <c:pt idx="280">
                  <c:v>63.570961412688035</c:v>
                </c:pt>
                <c:pt idx="281">
                  <c:v>93.031875463306164</c:v>
                </c:pt>
                <c:pt idx="282">
                  <c:v>91.316725978647682</c:v>
                </c:pt>
                <c:pt idx="283">
                  <c:v>35.186396337475472</c:v>
                </c:pt>
                <c:pt idx="284">
                  <c:v>67.596081386586278</c:v>
                </c:pt>
                <c:pt idx="285">
                  <c:v>94.090909090909093</c:v>
                </c:pt>
                <c:pt idx="286">
                  <c:v>50.956388676358067</c:v>
                </c:pt>
                <c:pt idx="287">
                  <c:v>78.19397993311037</c:v>
                </c:pt>
                <c:pt idx="288">
                  <c:v>94.173982442138865</c:v>
                </c:pt>
                <c:pt idx="290">
                  <c:v>63.130434782608688</c:v>
                </c:pt>
                <c:pt idx="291">
                  <c:v>64.511595221363322</c:v>
                </c:pt>
                <c:pt idx="292">
                  <c:v>88.652482269503537</c:v>
                </c:pt>
                <c:pt idx="293">
                  <c:v>86.893203883495147</c:v>
                </c:pt>
                <c:pt idx="294">
                  <c:v>86.111111111111114</c:v>
                </c:pt>
                <c:pt idx="295">
                  <c:v>74.731182795698928</c:v>
                </c:pt>
                <c:pt idx="296">
                  <c:v>87.250996015936252</c:v>
                </c:pt>
                <c:pt idx="297">
                  <c:v>72.535211267605632</c:v>
                </c:pt>
                <c:pt idx="298">
                  <c:v>73.578199052132703</c:v>
                </c:pt>
                <c:pt idx="299">
                  <c:v>88</c:v>
                </c:pt>
                <c:pt idx="300">
                  <c:v>74.647887323943664</c:v>
                </c:pt>
                <c:pt idx="301">
                  <c:v>88.251366120218577</c:v>
                </c:pt>
                <c:pt idx="302">
                  <c:v>77.15976331360946</c:v>
                </c:pt>
                <c:pt idx="303">
                  <c:v>81.960227272727266</c:v>
                </c:pt>
                <c:pt idx="304">
                  <c:v>76.616915422885569</c:v>
                </c:pt>
                <c:pt idx="305">
                  <c:v>77.872340425531917</c:v>
                </c:pt>
                <c:pt idx="306">
                  <c:v>76.543209876543202</c:v>
                </c:pt>
                <c:pt idx="307">
                  <c:v>83.774038461538453</c:v>
                </c:pt>
                <c:pt idx="308">
                  <c:v>69.026548672566364</c:v>
                </c:pt>
                <c:pt idx="309">
                  <c:v>76.484560570071253</c:v>
                </c:pt>
                <c:pt idx="310">
                  <c:v>81.092436974789919</c:v>
                </c:pt>
                <c:pt idx="311">
                  <c:v>86.567164179104466</c:v>
                </c:pt>
                <c:pt idx="312">
                  <c:v>73.94957983193278</c:v>
                </c:pt>
                <c:pt idx="313">
                  <c:v>72.385786802030466</c:v>
                </c:pt>
                <c:pt idx="314">
                  <c:v>82.127659574468083</c:v>
                </c:pt>
                <c:pt idx="315">
                  <c:v>73.432155074116295</c:v>
                </c:pt>
                <c:pt idx="316">
                  <c:v>76.86486486486487</c:v>
                </c:pt>
                <c:pt idx="317">
                  <c:v>80.519480519480524</c:v>
                </c:pt>
                <c:pt idx="318">
                  <c:v>86.454183266932276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5-4D33-ACB6-E107688C1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894143"/>
        <c:axId val="1777896063"/>
      </c:scatterChart>
      <c:valAx>
        <c:axId val="177789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896063"/>
        <c:crosses val="autoZero"/>
        <c:crossBetween val="midCat"/>
      </c:valAx>
      <c:valAx>
        <c:axId val="17778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89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BJP vs INC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INC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Sheet1!$T$2:$T$107</c:f>
              <c:numCache>
                <c:formatCode>0</c:formatCode>
                <c:ptCount val="106"/>
                <c:pt idx="0">
                  <c:v>53.142076502732237</c:v>
                </c:pt>
                <c:pt idx="1">
                  <c:v>49.964209019327129</c:v>
                </c:pt>
                <c:pt idx="2">
                  <c:v>50.083472454090149</c:v>
                </c:pt>
                <c:pt idx="3">
                  <c:v>59.587628865979383</c:v>
                </c:pt>
                <c:pt idx="4">
                  <c:v>57.621082621082621</c:v>
                </c:pt>
                <c:pt idx="5">
                  <c:v>40.955631399317404</c:v>
                </c:pt>
                <c:pt idx="6">
                  <c:v>54.863540937718682</c:v>
                </c:pt>
                <c:pt idx="7">
                  <c:v>44.721529509559431</c:v>
                </c:pt>
                <c:pt idx="8">
                  <c:v>51.365313653136532</c:v>
                </c:pt>
                <c:pt idx="9">
                  <c:v>55.724417426545081</c:v>
                </c:pt>
                <c:pt idx="10">
                  <c:v>36.638338054768646</c:v>
                </c:pt>
                <c:pt idx="11">
                  <c:v>51.788756388415671</c:v>
                </c:pt>
                <c:pt idx="12">
                  <c:v>43.156199677938808</c:v>
                </c:pt>
                <c:pt idx="13">
                  <c:v>53.198127925116999</c:v>
                </c:pt>
                <c:pt idx="14">
                  <c:v>58.078291814946617</c:v>
                </c:pt>
                <c:pt idx="15">
                  <c:v>40.722379603399432</c:v>
                </c:pt>
                <c:pt idx="16">
                  <c:v>51.13725490196078</c:v>
                </c:pt>
                <c:pt idx="17">
                  <c:v>51.308539944903586</c:v>
                </c:pt>
                <c:pt idx="18">
                  <c:v>42.896742896742893</c:v>
                </c:pt>
                <c:pt idx="19">
                  <c:v>49.92795389048991</c:v>
                </c:pt>
                <c:pt idx="20">
                  <c:v>38.310090237899921</c:v>
                </c:pt>
                <c:pt idx="21">
                  <c:v>49.382716049382715</c:v>
                </c:pt>
                <c:pt idx="22">
                  <c:v>36.175496688741724</c:v>
                </c:pt>
                <c:pt idx="23">
                  <c:v>52.304316020482808</c:v>
                </c:pt>
                <c:pt idx="24">
                  <c:v>56.221198156682028</c:v>
                </c:pt>
                <c:pt idx="25">
                  <c:v>39.238845144356951</c:v>
                </c:pt>
                <c:pt idx="26">
                  <c:v>42.520775623268698</c:v>
                </c:pt>
                <c:pt idx="27">
                  <c:v>41.704035874439462</c:v>
                </c:pt>
                <c:pt idx="28">
                  <c:v>41.05263157894737</c:v>
                </c:pt>
                <c:pt idx="29">
                  <c:v>49.427043544690605</c:v>
                </c:pt>
                <c:pt idx="30">
                  <c:v>50.455675227837617</c:v>
                </c:pt>
                <c:pt idx="31">
                  <c:v>52.091254752851711</c:v>
                </c:pt>
                <c:pt idx="32">
                  <c:v>37.954110898661568</c:v>
                </c:pt>
                <c:pt idx="33">
                  <c:v>57.512580877066853</c:v>
                </c:pt>
                <c:pt idx="34">
                  <c:v>49.860724233983291</c:v>
                </c:pt>
                <c:pt idx="35">
                  <c:v>54.38356164383562</c:v>
                </c:pt>
                <c:pt idx="36">
                  <c:v>52.923310554290047</c:v>
                </c:pt>
                <c:pt idx="37">
                  <c:v>56.881533101045299</c:v>
                </c:pt>
                <c:pt idx="38">
                  <c:v>51.093613298337701</c:v>
                </c:pt>
                <c:pt idx="39">
                  <c:v>53.584905660377359</c:v>
                </c:pt>
                <c:pt idx="40">
                  <c:v>35.186396337475472</c:v>
                </c:pt>
                <c:pt idx="41">
                  <c:v>50.956388676358067</c:v>
                </c:pt>
                <c:pt idx="42">
                  <c:v>85.094637223974772</c:v>
                </c:pt>
                <c:pt idx="43">
                  <c:v>80.609756097560975</c:v>
                </c:pt>
                <c:pt idx="44">
                  <c:v>87.510407993338873</c:v>
                </c:pt>
                <c:pt idx="45">
                  <c:v>81.650750341064111</c:v>
                </c:pt>
                <c:pt idx="46">
                  <c:v>85.880527540729247</c:v>
                </c:pt>
                <c:pt idx="47">
                  <c:v>96.203796203796202</c:v>
                </c:pt>
                <c:pt idx="48">
                  <c:v>86.333878887070384</c:v>
                </c:pt>
                <c:pt idx="49">
                  <c:v>87.115165336374005</c:v>
                </c:pt>
                <c:pt idx="50">
                  <c:v>86.274509803921575</c:v>
                </c:pt>
                <c:pt idx="51">
                  <c:v>84.00297619047619</c:v>
                </c:pt>
                <c:pt idx="52">
                  <c:v>93.12080536912751</c:v>
                </c:pt>
                <c:pt idx="53">
                  <c:v>93.39055793991416</c:v>
                </c:pt>
                <c:pt idx="54">
                  <c:v>82.838522809558285</c:v>
                </c:pt>
                <c:pt idx="55">
                  <c:v>82.333051563820788</c:v>
                </c:pt>
                <c:pt idx="56">
                  <c:v>84.141331142152836</c:v>
                </c:pt>
                <c:pt idx="57">
                  <c:v>82.702301410541949</c:v>
                </c:pt>
                <c:pt idx="58">
                  <c:v>80.170575692963752</c:v>
                </c:pt>
                <c:pt idx="59">
                  <c:v>83.236514522821579</c:v>
                </c:pt>
                <c:pt idx="60">
                  <c:v>88.606557377049171</c:v>
                </c:pt>
                <c:pt idx="61">
                  <c:v>93.031875463306164</c:v>
                </c:pt>
                <c:pt idx="62">
                  <c:v>86.111111111111114</c:v>
                </c:pt>
                <c:pt idx="63">
                  <c:v>87.250996015936252</c:v>
                </c:pt>
                <c:pt idx="64">
                  <c:v>83.774038461538453</c:v>
                </c:pt>
                <c:pt idx="65">
                  <c:v>82.274881516587669</c:v>
                </c:pt>
                <c:pt idx="66">
                  <c:v>87.256637168141594</c:v>
                </c:pt>
                <c:pt idx="67">
                  <c:v>83.368421052631575</c:v>
                </c:pt>
                <c:pt idx="68">
                  <c:v>90.047393364928908</c:v>
                </c:pt>
                <c:pt idx="69">
                  <c:v>93.373493975903614</c:v>
                </c:pt>
                <c:pt idx="70">
                  <c:v>84.754990925589837</c:v>
                </c:pt>
                <c:pt idx="71">
                  <c:v>86.949293433083952</c:v>
                </c:pt>
                <c:pt idx="72">
                  <c:v>82.732606873428324</c:v>
                </c:pt>
                <c:pt idx="73">
                  <c:v>88.616071428571431</c:v>
                </c:pt>
                <c:pt idx="74">
                  <c:v>80.361990950226243</c:v>
                </c:pt>
                <c:pt idx="75">
                  <c:v>81.593625498007967</c:v>
                </c:pt>
                <c:pt idx="76">
                  <c:v>86.077738515901061</c:v>
                </c:pt>
                <c:pt idx="77">
                  <c:v>83.129055515501079</c:v>
                </c:pt>
                <c:pt idx="78">
                  <c:v>87.023593466424686</c:v>
                </c:pt>
                <c:pt idx="79">
                  <c:v>87.297921478060047</c:v>
                </c:pt>
                <c:pt idx="80">
                  <c:v>93.32333083270818</c:v>
                </c:pt>
                <c:pt idx="81">
                  <c:v>81.9023569023569</c:v>
                </c:pt>
                <c:pt idx="82">
                  <c:v>94.07839866555463</c:v>
                </c:pt>
                <c:pt idx="83">
                  <c:v>84.35146443514644</c:v>
                </c:pt>
                <c:pt idx="84">
                  <c:v>83.078964830789644</c:v>
                </c:pt>
                <c:pt idx="85">
                  <c:v>92.407592407592404</c:v>
                </c:pt>
                <c:pt idx="86">
                  <c:v>87.130434782608702</c:v>
                </c:pt>
                <c:pt idx="87">
                  <c:v>91.835205992509358</c:v>
                </c:pt>
                <c:pt idx="88">
                  <c:v>89.875518672199178</c:v>
                </c:pt>
                <c:pt idx="89">
                  <c:v>91.293532338308452</c:v>
                </c:pt>
                <c:pt idx="90">
                  <c:v>88.73096446700508</c:v>
                </c:pt>
                <c:pt idx="91">
                  <c:v>85.727272727272734</c:v>
                </c:pt>
                <c:pt idx="92">
                  <c:v>88.213961922030819</c:v>
                </c:pt>
                <c:pt idx="93">
                  <c:v>83.246527777777786</c:v>
                </c:pt>
                <c:pt idx="94">
                  <c:v>84.528301886792462</c:v>
                </c:pt>
                <c:pt idx="95">
                  <c:v>92.699884125144848</c:v>
                </c:pt>
                <c:pt idx="96">
                  <c:v>81.081081081081081</c:v>
                </c:pt>
                <c:pt idx="97">
                  <c:v>91.86906019007391</c:v>
                </c:pt>
                <c:pt idx="98">
                  <c:v>91.316725978647682</c:v>
                </c:pt>
                <c:pt idx="99">
                  <c:v>94.090909090909093</c:v>
                </c:pt>
                <c:pt idx="100">
                  <c:v>86.893203883495147</c:v>
                </c:pt>
                <c:pt idx="101">
                  <c:v>88</c:v>
                </c:pt>
                <c:pt idx="102">
                  <c:v>88.251366120218577</c:v>
                </c:pt>
                <c:pt idx="103">
                  <c:v>81.960227272727266</c:v>
                </c:pt>
                <c:pt idx="104">
                  <c:v>81.092436974789919</c:v>
                </c:pt>
                <c:pt idx="105">
                  <c:v>86.567164179104466</c:v>
                </c:pt>
              </c:numCache>
            </c:numRef>
          </c:xVal>
          <c:yVal>
            <c:numRef>
              <c:f>Sheet1!$U$2:$U$107</c:f>
              <c:numCache>
                <c:formatCode>General</c:formatCode>
                <c:ptCount val="106"/>
                <c:pt idx="0">
                  <c:v>#N/A</c:v>
                </c:pt>
                <c:pt idx="1">
                  <c:v>#N/A</c:v>
                </c:pt>
                <c:pt idx="2">
                  <c:v>513</c:v>
                </c:pt>
                <c:pt idx="3">
                  <c:v>464</c:v>
                </c:pt>
                <c:pt idx="4">
                  <c:v>778</c:v>
                </c:pt>
                <c:pt idx="5">
                  <c:v>560</c:v>
                </c:pt>
                <c:pt idx="6">
                  <c:v>492</c:v>
                </c:pt>
                <c:pt idx="7">
                  <c:v>474</c:v>
                </c:pt>
                <c:pt idx="8">
                  <c:v>438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50</c:v>
                </c:pt>
                <c:pt idx="13">
                  <c:v>62</c:v>
                </c:pt>
                <c:pt idx="14">
                  <c:v>#N/A</c:v>
                </c:pt>
                <c:pt idx="15">
                  <c:v>96</c:v>
                </c:pt>
                <c:pt idx="16">
                  <c:v>#N/A</c:v>
                </c:pt>
                <c:pt idx="17">
                  <c:v>86</c:v>
                </c:pt>
                <c:pt idx="18">
                  <c:v>174</c:v>
                </c:pt>
                <c:pt idx="19">
                  <c:v>#N/A</c:v>
                </c:pt>
                <c:pt idx="20">
                  <c:v>106</c:v>
                </c:pt>
                <c:pt idx="21">
                  <c:v>#N/A</c:v>
                </c:pt>
                <c:pt idx="22">
                  <c:v>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22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75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442</c:v>
                </c:pt>
                <c:pt idx="44">
                  <c:v>605</c:v>
                </c:pt>
                <c:pt idx="45">
                  <c:v>514</c:v>
                </c:pt>
                <c:pt idx="46">
                  <c:v>783</c:v>
                </c:pt>
                <c:pt idx="47">
                  <c:v>777</c:v>
                </c:pt>
                <c:pt idx="48">
                  <c:v>688</c:v>
                </c:pt>
                <c:pt idx="49">
                  <c:v>734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520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627</c:v>
                </c:pt>
                <c:pt idx="63">
                  <c:v>#N/A</c:v>
                </c:pt>
                <c:pt idx="64">
                  <c:v>#N/A</c:v>
                </c:pt>
                <c:pt idx="65">
                  <c:v>169</c:v>
                </c:pt>
                <c:pt idx="66">
                  <c:v>#N/A</c:v>
                </c:pt>
                <c:pt idx="67">
                  <c:v>#N/A</c:v>
                </c:pt>
                <c:pt idx="68">
                  <c:v>32</c:v>
                </c:pt>
                <c:pt idx="69">
                  <c:v>#N/A</c:v>
                </c:pt>
                <c:pt idx="70">
                  <c:v>42</c:v>
                </c:pt>
                <c:pt idx="71">
                  <c:v>187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58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86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41</c:v>
                </c:pt>
                <c:pt idx="96">
                  <c:v>#N/A</c:v>
                </c:pt>
                <c:pt idx="97">
                  <c:v>14</c:v>
                </c:pt>
                <c:pt idx="98">
                  <c:v>67</c:v>
                </c:pt>
                <c:pt idx="99">
                  <c:v>#N/A</c:v>
                </c:pt>
                <c:pt idx="100">
                  <c:v>#N/A</c:v>
                </c:pt>
                <c:pt idx="101">
                  <c:v>59</c:v>
                </c:pt>
                <c:pt idx="102">
                  <c:v>185</c:v>
                </c:pt>
                <c:pt idx="103">
                  <c:v>#N/A</c:v>
                </c:pt>
                <c:pt idx="104">
                  <c:v>29</c:v>
                </c:pt>
                <c:pt idx="10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5-4983-8B9B-0DE506021A41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BJP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Sheet1!$T$2:$T$107</c:f>
              <c:numCache>
                <c:formatCode>0</c:formatCode>
                <c:ptCount val="106"/>
                <c:pt idx="0">
                  <c:v>53.142076502732237</c:v>
                </c:pt>
                <c:pt idx="1">
                  <c:v>49.964209019327129</c:v>
                </c:pt>
                <c:pt idx="2">
                  <c:v>50.083472454090149</c:v>
                </c:pt>
                <c:pt idx="3">
                  <c:v>59.587628865979383</c:v>
                </c:pt>
                <c:pt idx="4">
                  <c:v>57.621082621082621</c:v>
                </c:pt>
                <c:pt idx="5">
                  <c:v>40.955631399317404</c:v>
                </c:pt>
                <c:pt idx="6">
                  <c:v>54.863540937718682</c:v>
                </c:pt>
                <c:pt idx="7">
                  <c:v>44.721529509559431</c:v>
                </c:pt>
                <c:pt idx="8">
                  <c:v>51.365313653136532</c:v>
                </c:pt>
                <c:pt idx="9">
                  <c:v>55.724417426545081</c:v>
                </c:pt>
                <c:pt idx="10">
                  <c:v>36.638338054768646</c:v>
                </c:pt>
                <c:pt idx="11">
                  <c:v>51.788756388415671</c:v>
                </c:pt>
                <c:pt idx="12">
                  <c:v>43.156199677938808</c:v>
                </c:pt>
                <c:pt idx="13">
                  <c:v>53.198127925116999</c:v>
                </c:pt>
                <c:pt idx="14">
                  <c:v>58.078291814946617</c:v>
                </c:pt>
                <c:pt idx="15">
                  <c:v>40.722379603399432</c:v>
                </c:pt>
                <c:pt idx="16">
                  <c:v>51.13725490196078</c:v>
                </c:pt>
                <c:pt idx="17">
                  <c:v>51.308539944903586</c:v>
                </c:pt>
                <c:pt idx="18">
                  <c:v>42.896742896742893</c:v>
                </c:pt>
                <c:pt idx="19">
                  <c:v>49.92795389048991</c:v>
                </c:pt>
                <c:pt idx="20">
                  <c:v>38.310090237899921</c:v>
                </c:pt>
                <c:pt idx="21">
                  <c:v>49.382716049382715</c:v>
                </c:pt>
                <c:pt idx="22">
                  <c:v>36.175496688741724</c:v>
                </c:pt>
                <c:pt idx="23">
                  <c:v>52.304316020482808</c:v>
                </c:pt>
                <c:pt idx="24">
                  <c:v>56.221198156682028</c:v>
                </c:pt>
                <c:pt idx="25">
                  <c:v>39.238845144356951</c:v>
                </c:pt>
                <c:pt idx="26">
                  <c:v>42.520775623268698</c:v>
                </c:pt>
                <c:pt idx="27">
                  <c:v>41.704035874439462</c:v>
                </c:pt>
                <c:pt idx="28">
                  <c:v>41.05263157894737</c:v>
                </c:pt>
                <c:pt idx="29">
                  <c:v>49.427043544690605</c:v>
                </c:pt>
                <c:pt idx="30">
                  <c:v>50.455675227837617</c:v>
                </c:pt>
                <c:pt idx="31">
                  <c:v>52.091254752851711</c:v>
                </c:pt>
                <c:pt idx="32">
                  <c:v>37.954110898661568</c:v>
                </c:pt>
                <c:pt idx="33">
                  <c:v>57.512580877066853</c:v>
                </c:pt>
                <c:pt idx="34">
                  <c:v>49.860724233983291</c:v>
                </c:pt>
                <c:pt idx="35">
                  <c:v>54.38356164383562</c:v>
                </c:pt>
                <c:pt idx="36">
                  <c:v>52.923310554290047</c:v>
                </c:pt>
                <c:pt idx="37">
                  <c:v>56.881533101045299</c:v>
                </c:pt>
                <c:pt idx="38">
                  <c:v>51.093613298337701</c:v>
                </c:pt>
                <c:pt idx="39">
                  <c:v>53.584905660377359</c:v>
                </c:pt>
                <c:pt idx="40">
                  <c:v>35.186396337475472</c:v>
                </c:pt>
                <c:pt idx="41">
                  <c:v>50.956388676358067</c:v>
                </c:pt>
                <c:pt idx="42">
                  <c:v>85.094637223974772</c:v>
                </c:pt>
                <c:pt idx="43">
                  <c:v>80.609756097560975</c:v>
                </c:pt>
                <c:pt idx="44">
                  <c:v>87.510407993338873</c:v>
                </c:pt>
                <c:pt idx="45">
                  <c:v>81.650750341064111</c:v>
                </c:pt>
                <c:pt idx="46">
                  <c:v>85.880527540729247</c:v>
                </c:pt>
                <c:pt idx="47">
                  <c:v>96.203796203796202</c:v>
                </c:pt>
                <c:pt idx="48">
                  <c:v>86.333878887070384</c:v>
                </c:pt>
                <c:pt idx="49">
                  <c:v>87.115165336374005</c:v>
                </c:pt>
                <c:pt idx="50">
                  <c:v>86.274509803921575</c:v>
                </c:pt>
                <c:pt idx="51">
                  <c:v>84.00297619047619</c:v>
                </c:pt>
                <c:pt idx="52">
                  <c:v>93.12080536912751</c:v>
                </c:pt>
                <c:pt idx="53">
                  <c:v>93.39055793991416</c:v>
                </c:pt>
                <c:pt idx="54">
                  <c:v>82.838522809558285</c:v>
                </c:pt>
                <c:pt idx="55">
                  <c:v>82.333051563820788</c:v>
                </c:pt>
                <c:pt idx="56">
                  <c:v>84.141331142152836</c:v>
                </c:pt>
                <c:pt idx="57">
                  <c:v>82.702301410541949</c:v>
                </c:pt>
                <c:pt idx="58">
                  <c:v>80.170575692963752</c:v>
                </c:pt>
                <c:pt idx="59">
                  <c:v>83.236514522821579</c:v>
                </c:pt>
                <c:pt idx="60">
                  <c:v>88.606557377049171</c:v>
                </c:pt>
                <c:pt idx="61">
                  <c:v>93.031875463306164</c:v>
                </c:pt>
                <c:pt idx="62">
                  <c:v>86.111111111111114</c:v>
                </c:pt>
                <c:pt idx="63">
                  <c:v>87.250996015936252</c:v>
                </c:pt>
                <c:pt idx="64">
                  <c:v>83.774038461538453</c:v>
                </c:pt>
                <c:pt idx="65">
                  <c:v>82.274881516587669</c:v>
                </c:pt>
                <c:pt idx="66">
                  <c:v>87.256637168141594</c:v>
                </c:pt>
                <c:pt idx="67">
                  <c:v>83.368421052631575</c:v>
                </c:pt>
                <c:pt idx="68">
                  <c:v>90.047393364928908</c:v>
                </c:pt>
                <c:pt idx="69">
                  <c:v>93.373493975903614</c:v>
                </c:pt>
                <c:pt idx="70">
                  <c:v>84.754990925589837</c:v>
                </c:pt>
                <c:pt idx="71">
                  <c:v>86.949293433083952</c:v>
                </c:pt>
                <c:pt idx="72">
                  <c:v>82.732606873428324</c:v>
                </c:pt>
                <c:pt idx="73">
                  <c:v>88.616071428571431</c:v>
                </c:pt>
                <c:pt idx="74">
                  <c:v>80.361990950226243</c:v>
                </c:pt>
                <c:pt idx="75">
                  <c:v>81.593625498007967</c:v>
                </c:pt>
                <c:pt idx="76">
                  <c:v>86.077738515901061</c:v>
                </c:pt>
                <c:pt idx="77">
                  <c:v>83.129055515501079</c:v>
                </c:pt>
                <c:pt idx="78">
                  <c:v>87.023593466424686</c:v>
                </c:pt>
                <c:pt idx="79">
                  <c:v>87.297921478060047</c:v>
                </c:pt>
                <c:pt idx="80">
                  <c:v>93.32333083270818</c:v>
                </c:pt>
                <c:pt idx="81">
                  <c:v>81.9023569023569</c:v>
                </c:pt>
                <c:pt idx="82">
                  <c:v>94.07839866555463</c:v>
                </c:pt>
                <c:pt idx="83">
                  <c:v>84.35146443514644</c:v>
                </c:pt>
                <c:pt idx="84">
                  <c:v>83.078964830789644</c:v>
                </c:pt>
                <c:pt idx="85">
                  <c:v>92.407592407592404</c:v>
                </c:pt>
                <c:pt idx="86">
                  <c:v>87.130434782608702</c:v>
                </c:pt>
                <c:pt idx="87">
                  <c:v>91.835205992509358</c:v>
                </c:pt>
                <c:pt idx="88">
                  <c:v>89.875518672199178</c:v>
                </c:pt>
                <c:pt idx="89">
                  <c:v>91.293532338308452</c:v>
                </c:pt>
                <c:pt idx="90">
                  <c:v>88.73096446700508</c:v>
                </c:pt>
                <c:pt idx="91">
                  <c:v>85.727272727272734</c:v>
                </c:pt>
                <c:pt idx="92">
                  <c:v>88.213961922030819</c:v>
                </c:pt>
                <c:pt idx="93">
                  <c:v>83.246527777777786</c:v>
                </c:pt>
                <c:pt idx="94">
                  <c:v>84.528301886792462</c:v>
                </c:pt>
                <c:pt idx="95">
                  <c:v>92.699884125144848</c:v>
                </c:pt>
                <c:pt idx="96">
                  <c:v>81.081081081081081</c:v>
                </c:pt>
                <c:pt idx="97">
                  <c:v>91.86906019007391</c:v>
                </c:pt>
                <c:pt idx="98">
                  <c:v>91.316725978647682</c:v>
                </c:pt>
                <c:pt idx="99">
                  <c:v>94.090909090909093</c:v>
                </c:pt>
                <c:pt idx="100">
                  <c:v>86.893203883495147</c:v>
                </c:pt>
                <c:pt idx="101">
                  <c:v>88</c:v>
                </c:pt>
                <c:pt idx="102">
                  <c:v>88.251366120218577</c:v>
                </c:pt>
                <c:pt idx="103">
                  <c:v>81.960227272727266</c:v>
                </c:pt>
                <c:pt idx="104">
                  <c:v>81.092436974789919</c:v>
                </c:pt>
                <c:pt idx="105">
                  <c:v>86.567164179104466</c:v>
                </c:pt>
              </c:numCache>
            </c:numRef>
          </c:xVal>
          <c:yVal>
            <c:numRef>
              <c:f>Sheet1!$V$2:$V$107</c:f>
              <c:numCache>
                <c:formatCode>General</c:formatCode>
                <c:ptCount val="106"/>
                <c:pt idx="0">
                  <c:v>411</c:v>
                </c:pt>
                <c:pt idx="1">
                  <c:v>435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84</c:v>
                </c:pt>
                <c:pt idx="10">
                  <c:v>36</c:v>
                </c:pt>
                <c:pt idx="11">
                  <c:v>68</c:v>
                </c:pt>
                <c:pt idx="12">
                  <c:v>#N/A</c:v>
                </c:pt>
                <c:pt idx="13">
                  <c:v>#N/A</c:v>
                </c:pt>
                <c:pt idx="14">
                  <c:v>172</c:v>
                </c:pt>
                <c:pt idx="15">
                  <c:v>#N/A</c:v>
                </c:pt>
                <c:pt idx="16">
                  <c:v>94</c:v>
                </c:pt>
                <c:pt idx="17">
                  <c:v>#N/A</c:v>
                </c:pt>
                <c:pt idx="18">
                  <c:v>#N/A</c:v>
                </c:pt>
                <c:pt idx="19">
                  <c:v>142</c:v>
                </c:pt>
                <c:pt idx="20">
                  <c:v>#N/A</c:v>
                </c:pt>
                <c:pt idx="21">
                  <c:v>116</c:v>
                </c:pt>
                <c:pt idx="22">
                  <c:v>#N/A</c:v>
                </c:pt>
                <c:pt idx="23">
                  <c:v>87</c:v>
                </c:pt>
                <c:pt idx="24">
                  <c:v>183</c:v>
                </c:pt>
                <c:pt idx="25">
                  <c:v>40</c:v>
                </c:pt>
                <c:pt idx="26">
                  <c:v>157</c:v>
                </c:pt>
                <c:pt idx="27">
                  <c:v>138</c:v>
                </c:pt>
                <c:pt idx="28">
                  <c:v>142</c:v>
                </c:pt>
                <c:pt idx="29">
                  <c:v>100</c:v>
                </c:pt>
                <c:pt idx="30">
                  <c:v>152</c:v>
                </c:pt>
                <c:pt idx="31">
                  <c:v>#N/A</c:v>
                </c:pt>
                <c:pt idx="32">
                  <c:v>9</c:v>
                </c:pt>
                <c:pt idx="33">
                  <c:v>100</c:v>
                </c:pt>
                <c:pt idx="34">
                  <c:v>62</c:v>
                </c:pt>
                <c:pt idx="35">
                  <c:v>#N/A</c:v>
                </c:pt>
                <c:pt idx="36">
                  <c:v>28</c:v>
                </c:pt>
                <c:pt idx="37">
                  <c:v>121</c:v>
                </c:pt>
                <c:pt idx="38">
                  <c:v>170</c:v>
                </c:pt>
                <c:pt idx="39">
                  <c:v>142</c:v>
                </c:pt>
                <c:pt idx="40">
                  <c:v>93</c:v>
                </c:pt>
                <c:pt idx="41">
                  <c:v>123</c:v>
                </c:pt>
                <c:pt idx="42">
                  <c:v>534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453</c:v>
                </c:pt>
                <c:pt idx="51">
                  <c:v>416</c:v>
                </c:pt>
                <c:pt idx="52">
                  <c:v>438</c:v>
                </c:pt>
                <c:pt idx="53">
                  <c:v>421</c:v>
                </c:pt>
                <c:pt idx="54">
                  <c:v>392</c:v>
                </c:pt>
                <c:pt idx="55">
                  <c:v>#N/A</c:v>
                </c:pt>
                <c:pt idx="56">
                  <c:v>510</c:v>
                </c:pt>
                <c:pt idx="57">
                  <c:v>568</c:v>
                </c:pt>
                <c:pt idx="58">
                  <c:v>528</c:v>
                </c:pt>
                <c:pt idx="59">
                  <c:v>410</c:v>
                </c:pt>
                <c:pt idx="60">
                  <c:v>480</c:v>
                </c:pt>
                <c:pt idx="61">
                  <c:v>687</c:v>
                </c:pt>
                <c:pt idx="62">
                  <c:v>#N/A</c:v>
                </c:pt>
                <c:pt idx="63">
                  <c:v>396</c:v>
                </c:pt>
                <c:pt idx="64">
                  <c:v>385</c:v>
                </c:pt>
                <c:pt idx="65">
                  <c:v>#N/A</c:v>
                </c:pt>
                <c:pt idx="66">
                  <c:v>165</c:v>
                </c:pt>
                <c:pt idx="67">
                  <c:v>5</c:v>
                </c:pt>
                <c:pt idx="68">
                  <c:v>#N/A</c:v>
                </c:pt>
                <c:pt idx="69">
                  <c:v>183</c:v>
                </c:pt>
                <c:pt idx="70">
                  <c:v>#N/A</c:v>
                </c:pt>
                <c:pt idx="71">
                  <c:v>#N/A</c:v>
                </c:pt>
                <c:pt idx="72">
                  <c:v>72</c:v>
                </c:pt>
                <c:pt idx="73">
                  <c:v>184</c:v>
                </c:pt>
                <c:pt idx="74">
                  <c:v>126</c:v>
                </c:pt>
                <c:pt idx="75">
                  <c:v>96</c:v>
                </c:pt>
                <c:pt idx="76">
                  <c:v>84</c:v>
                </c:pt>
                <c:pt idx="77">
                  <c:v>93</c:v>
                </c:pt>
                <c:pt idx="78">
                  <c:v>#N/A</c:v>
                </c:pt>
                <c:pt idx="79">
                  <c:v>188</c:v>
                </c:pt>
                <c:pt idx="80">
                  <c:v>68</c:v>
                </c:pt>
                <c:pt idx="81">
                  <c:v>22</c:v>
                </c:pt>
                <c:pt idx="82">
                  <c:v>#N/A</c:v>
                </c:pt>
                <c:pt idx="83">
                  <c:v>117</c:v>
                </c:pt>
                <c:pt idx="84">
                  <c:v>41</c:v>
                </c:pt>
                <c:pt idx="85">
                  <c:v>50</c:v>
                </c:pt>
                <c:pt idx="86">
                  <c:v>171</c:v>
                </c:pt>
                <c:pt idx="87">
                  <c:v>141</c:v>
                </c:pt>
                <c:pt idx="88">
                  <c:v>152</c:v>
                </c:pt>
                <c:pt idx="89">
                  <c:v>95</c:v>
                </c:pt>
                <c:pt idx="90">
                  <c:v>53</c:v>
                </c:pt>
                <c:pt idx="91">
                  <c:v>117</c:v>
                </c:pt>
                <c:pt idx="92">
                  <c:v>189</c:v>
                </c:pt>
                <c:pt idx="93">
                  <c:v>115</c:v>
                </c:pt>
                <c:pt idx="94">
                  <c:v>160</c:v>
                </c:pt>
                <c:pt idx="95">
                  <c:v>#N/A</c:v>
                </c:pt>
                <c:pt idx="96">
                  <c:v>171</c:v>
                </c:pt>
                <c:pt idx="97">
                  <c:v>#N/A</c:v>
                </c:pt>
                <c:pt idx="98">
                  <c:v>#N/A</c:v>
                </c:pt>
                <c:pt idx="99">
                  <c:v>47</c:v>
                </c:pt>
                <c:pt idx="100">
                  <c:v>48</c:v>
                </c:pt>
                <c:pt idx="101">
                  <c:v>#N/A</c:v>
                </c:pt>
                <c:pt idx="102">
                  <c:v>#N/A</c:v>
                </c:pt>
                <c:pt idx="103">
                  <c:v>99</c:v>
                </c:pt>
                <c:pt idx="104">
                  <c:v>#N/A</c:v>
                </c:pt>
                <c:pt idx="105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5-4983-8B9B-0DE506021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892703"/>
        <c:axId val="1777904223"/>
      </c:scatterChart>
      <c:valAx>
        <c:axId val="177789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04223"/>
        <c:crosses val="autoZero"/>
        <c:crossBetween val="midCat"/>
      </c:valAx>
      <c:valAx>
        <c:axId val="17779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892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8792</xdr:colOff>
      <xdr:row>1</xdr:row>
      <xdr:rowOff>17584</xdr:rowOff>
    </xdr:from>
    <xdr:to>
      <xdr:col>32</xdr:col>
      <xdr:colOff>313592</xdr:colOff>
      <xdr:row>16</xdr:row>
      <xdr:rowOff>35169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EE2B8-06FA-39C5-528F-673B56B33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7620</xdr:colOff>
      <xdr:row>1</xdr:row>
      <xdr:rowOff>175260</xdr:rowOff>
    </xdr:from>
    <xdr:to>
      <xdr:col>31</xdr:col>
      <xdr:colOff>7620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C9BCB-6A5C-BBA2-F5C3-19D3AFC54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gar\Downloads\210%20RAU%20complete(pooja).xlsx" TargetMode="External"/><Relationship Id="rId1" Type="http://schemas.openxmlformats.org/officeDocument/2006/relationships/externalLinkPath" Target="/Users/Sagar/Downloads/210%20RAU%20complete(poo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10 RAU complete"/>
    </sheetNames>
    <sheetDataSet>
      <sheetData sheetId="0">
        <row r="1">
          <cell r="A1" t="str">
            <v>क्रम सं.</v>
          </cell>
          <cell r="B1" t="str">
            <v>मतदान केन्द्र का परिक्षेत्र</v>
          </cell>
          <cell r="C1" t="str">
            <v>भवन जिसमें यह अवस्थित होगा</v>
          </cell>
          <cell r="D1" t="str">
            <v>मतदान क्षेत्र</v>
          </cell>
          <cell r="E1" t="str">
            <v>क्या सभी मतदाताओं के लिए, केवल पुरुषों के लिए या केवल महिलाओं के लिए</v>
          </cell>
        </row>
        <row r="2">
          <cell r="A2">
            <v>1</v>
          </cell>
          <cell r="B2" t="str">
            <v>क्रांति कृपलानी नगर</v>
          </cell>
          <cell r="C2" t="str">
            <v>सिंधु भवन कांति कृपलानी नगर पूर्व भाग</v>
          </cell>
        </row>
        <row r="3">
          <cell r="A3">
            <v>2</v>
          </cell>
          <cell r="B3" t="str">
            <v>क्रांति कृपलानी नगर</v>
          </cell>
          <cell r="C3" t="str">
            <v>सिंधु भवन क्रांति कृपलानी नगर पश्चिम भाग</v>
          </cell>
        </row>
        <row r="4">
          <cell r="A4">
            <v>3</v>
          </cell>
          <cell r="B4" t="str">
            <v>क्रांति कृपलानी नगर</v>
          </cell>
          <cell r="C4" t="str">
            <v>सिन्धु भवन क्रांति कृपलानी नगर दक्षिण भाग</v>
          </cell>
        </row>
        <row r="5">
          <cell r="A5">
            <v>4</v>
          </cell>
          <cell r="B5" t="str">
            <v>अन्नपुर्णा रोड</v>
          </cell>
          <cell r="C5" t="str">
            <v>एनी बेसेन्ट स्कुल प्रिकांको कॉलोनी कमरा न. 3</v>
          </cell>
        </row>
        <row r="6">
          <cell r="A6">
            <v>5</v>
          </cell>
          <cell r="B6" t="str">
            <v>नर्मदा नगर</v>
          </cell>
          <cell r="C6" t="str">
            <v>नर्मदा पैलेस क.न. 1 चाणक्यपुरी चौराहा</v>
          </cell>
        </row>
        <row r="7">
          <cell r="A7">
            <v>6</v>
          </cell>
          <cell r="B7" t="str">
            <v>प्रिकांको कॉलोनी</v>
          </cell>
          <cell r="C7" t="str">
            <v>एनी बेसेन्ट स्कूल प्रिकांको कॉलोनी कमरा न. 1</v>
          </cell>
        </row>
        <row r="8">
          <cell r="A8">
            <v>7</v>
          </cell>
          <cell r="B8" t="str">
            <v>प्रिकांको कालोनी</v>
          </cell>
          <cell r="C8" t="str">
            <v>एनी बेसेन्ट स्कूल प्रिकांको कॉलोनी कमरा न. 2</v>
          </cell>
          <cell r="D8" t="str">
            <v>1. परस्पर नगर</v>
          </cell>
          <cell r="E8" t="str">
            <v>सभी के लिए</v>
          </cell>
        </row>
        <row r="9">
          <cell r="A9">
            <v>8</v>
          </cell>
          <cell r="B9" t="str">
            <v>प्रिकांको कालोनी</v>
          </cell>
          <cell r="C9" t="str">
            <v>दयानंद हा.से. स्कूल क.न. 2</v>
          </cell>
          <cell r="D9" t="str">
            <v>1. प्रिकांको कालोनी</v>
          </cell>
          <cell r="E9" t="str">
            <v>सभी के लिए</v>
          </cell>
        </row>
        <row r="10">
          <cell r="A10">
            <v>9</v>
          </cell>
          <cell r="B10" t="str">
            <v>वैशाली नगर</v>
          </cell>
          <cell r="C10" t="str">
            <v>माधव विद्या पीठ अहिल्या नगर क.न. 1</v>
          </cell>
          <cell r="D10" t="str">
            <v>1. वैशाली नगर सेक्टर सी 80</v>
          </cell>
          <cell r="E10" t="str">
            <v>सभी के लिए</v>
          </cell>
        </row>
        <row r="11">
          <cell r="A11">
            <v>10</v>
          </cell>
          <cell r="B11" t="str">
            <v>अहिल्या नगर</v>
          </cell>
          <cell r="C11" t="str">
            <v>माधव विद्यापीठ अहिल्या नगर क.नं. 2</v>
          </cell>
          <cell r="D11" t="str">
            <v>अहिल्या नगर</v>
          </cell>
          <cell r="E11" t="str">
            <v>सभी के लिए</v>
          </cell>
        </row>
        <row r="12">
          <cell r="A12">
            <v>11</v>
          </cell>
          <cell r="B12" t="str">
            <v>अहिल्या नगर</v>
          </cell>
          <cell r="C12" t="str">
            <v>माधव विद्यापीठ अहिल्या नगर वैशाली नगर कमरा न 3</v>
          </cell>
          <cell r="D12" t="str">
            <v>1. च्वाईस पैलेस कॉलोनी 80</v>
          </cell>
          <cell r="E12" t="str">
            <v>सभी के लिए</v>
          </cell>
        </row>
        <row r="13">
          <cell r="A13">
            <v>12</v>
          </cell>
          <cell r="B13" t="str">
            <v>सूर्यदेव नगर</v>
          </cell>
          <cell r="C13" t="str">
            <v>पांचाल धर्मशाला सुर्यदेव नगर पूर्व भाग</v>
          </cell>
          <cell r="D13" t="str">
            <v>1. न्यू सूर्य देव नगर 81</v>
          </cell>
          <cell r="E13" t="str">
            <v>सभी के लिए</v>
          </cell>
        </row>
        <row r="14">
          <cell r="A14">
            <v>13</v>
          </cell>
          <cell r="B14" t="str">
            <v>सत्यदेव नगर</v>
          </cell>
          <cell r="C14" t="str">
            <v>पांचाल धर्मशाला सुर्यदेव नगर पश्चिम भाग</v>
          </cell>
          <cell r="D14" t="str">
            <v>1. सत्यदेव नगर 81</v>
          </cell>
          <cell r="E14" t="str">
            <v>सभी के लिए</v>
          </cell>
        </row>
        <row r="15">
          <cell r="A15">
            <v>14</v>
          </cell>
          <cell r="B15" t="str">
            <v>अहिल्या नगर</v>
          </cell>
          <cell r="C15" t="str">
            <v>दयानन्द हायर सेकेन्डरी स्कूल कक्ष क 1</v>
          </cell>
          <cell r="D15" t="str">
            <v>1. प्रभु नगर 81</v>
          </cell>
          <cell r="E15" t="str">
            <v>सभी के लिए</v>
          </cell>
        </row>
        <row r="16">
          <cell r="A16">
            <v>15</v>
          </cell>
          <cell r="B16" t="str">
            <v>अहिल्या नगर</v>
          </cell>
          <cell r="C16" t="str">
            <v>पांचाल धर्मशाला सूर्यदेव नगर उत्तर भाग</v>
          </cell>
          <cell r="D16" t="str">
            <v>1. ग्रेटर वैशाली कॉलोनी</v>
          </cell>
          <cell r="E16" t="str">
            <v>सभी के लिए</v>
          </cell>
        </row>
        <row r="17">
          <cell r="A17">
            <v>16</v>
          </cell>
          <cell r="B17" t="str">
            <v>सूर्यदेव नगर</v>
          </cell>
          <cell r="C17" t="str">
            <v>सेंट मेरी चैम्पियन स्कूल उत्तर तरफ का गेट के पास का कक्ष क्र. 1</v>
          </cell>
          <cell r="D17" t="str">
            <v>1. सूर्यदेव नगर सेक्टर ए म.न. 1 से 300 तक 81</v>
          </cell>
          <cell r="E17" t="str">
            <v>सभी के लिए</v>
          </cell>
        </row>
        <row r="18">
          <cell r="A18">
            <v>17</v>
          </cell>
          <cell r="B18" t="str">
            <v>सूर्यदेव नगर</v>
          </cell>
          <cell r="C18" t="str">
            <v>सेंट मेरी चैम्पियन स्कूल उत्तर तरफ का गेट के पास का कक्ष कमरा न 2</v>
          </cell>
          <cell r="D18" t="str">
            <v>1. सूर्यदेव नगर भाग 1 बी म.न. 1 से 277 तक 81</v>
          </cell>
          <cell r="E18" t="str">
            <v>सभी के लिए</v>
          </cell>
        </row>
        <row r="19">
          <cell r="A19">
            <v>18</v>
          </cell>
          <cell r="B19" t="str">
            <v>सूर्यदेव नगर</v>
          </cell>
          <cell r="C19" t="str">
            <v>सेंटमेरी चैम्पियन स्कुल उत्तर तरफ का गेट के पास का कक्ष कमरा न 3</v>
          </cell>
          <cell r="D19" t="str">
            <v>सूर्यदेव नगर</v>
          </cell>
          <cell r="E19" t="str">
            <v>सभी के लिए</v>
          </cell>
        </row>
        <row r="20">
          <cell r="A20">
            <v>19</v>
          </cell>
          <cell r="B20" t="str">
            <v>सूर्यदेव नगर</v>
          </cell>
          <cell r="C20" t="str">
            <v>सेंटमेरी चैम्पियन स्कूल कमरा नंबर 4 दक्षिण भाग</v>
          </cell>
          <cell r="D20" t="str">
            <v>1. सूर्यदेव नगर सेक्टर-सी 81</v>
          </cell>
          <cell r="E20" t="str">
            <v>सभी के लिए</v>
          </cell>
        </row>
        <row r="21">
          <cell r="A21">
            <v>20</v>
          </cell>
          <cell r="B21" t="str">
            <v>नर्मदा नगर</v>
          </cell>
          <cell r="C21" t="str">
            <v>नर्मदा पैलेस स्कूल क.न. 2 चाणक्यपुरी चौराहा</v>
          </cell>
          <cell r="D21" t="str">
            <v>1. सिल्वर आर्क्स 81</v>
          </cell>
          <cell r="E21" t="str">
            <v>सभी के लिए</v>
          </cell>
        </row>
        <row r="22">
          <cell r="A22">
            <v>21</v>
          </cell>
          <cell r="B22" t="str">
            <v>अन्नपूर्णा नगर</v>
          </cell>
          <cell r="C22" t="str">
            <v>न्यू गोल्डन स्कूल क.नं. 1 भवानीपुर कॉलोनी</v>
          </cell>
          <cell r="D22" t="str">
            <v>1. भवानीपुर सेक्टर-ए 81</v>
          </cell>
          <cell r="E22" t="str">
            <v>सभी के लिए</v>
          </cell>
        </row>
        <row r="23">
          <cell r="A23">
            <v>22</v>
          </cell>
          <cell r="B23" t="str">
            <v>अन्नपूर्णा नगर</v>
          </cell>
          <cell r="C23" t="str">
            <v>प्रोग्रेसिव एज्युकेशन स्कूल क.नं. 1 अन्नपूर्णा रोड</v>
          </cell>
          <cell r="D23" t="str">
            <v>-</v>
          </cell>
          <cell r="E23" t="str">
            <v>-</v>
          </cell>
        </row>
        <row r="24">
          <cell r="A24">
            <v>23</v>
          </cell>
          <cell r="B24" t="str">
            <v>अन्नपूर्णा नगर</v>
          </cell>
          <cell r="C24" t="str">
            <v>माधव विद्यापीठ अहिल्या नगर क.न. 5</v>
          </cell>
          <cell r="D24" t="str">
            <v>1. अन्नपूर्णा नगर सेक्टर-ए</v>
          </cell>
          <cell r="E24" t="str">
            <v>सभी के लिए</v>
          </cell>
        </row>
        <row r="25">
          <cell r="A25">
            <v>24</v>
          </cell>
          <cell r="B25" t="str">
            <v>राजेन्द्र नगर</v>
          </cell>
          <cell r="C25" t="str">
            <v>अल्पाईन हा.से. स्कूल कक्ष क. -1, विज्ञान नगर</v>
          </cell>
          <cell r="D25" t="str">
            <v>1. बुद्ध नगर सेक्टर-ए</v>
          </cell>
          <cell r="E25" t="str">
            <v>सभी के लिए</v>
          </cell>
        </row>
        <row r="26">
          <cell r="A26">
            <v>25</v>
          </cell>
          <cell r="B26" t="str">
            <v>राजेन्द्र नगर</v>
          </cell>
          <cell r="C26" t="str">
            <v>अल्पाईन हा.से. स्कूल (प्राथमिक) कक्ष क.-2, विज्ञान नगर</v>
          </cell>
          <cell r="D26" t="str">
            <v>1. बुद्ध नगर-डी</v>
          </cell>
          <cell r="E26" t="str">
            <v>सभी के लिए</v>
          </cell>
        </row>
        <row r="27">
          <cell r="A27">
            <v>26</v>
          </cell>
          <cell r="B27" t="str">
            <v>राजेन्द्र नगर</v>
          </cell>
          <cell r="C27" t="str">
            <v>अल्पाइन हायर से. स्कूल क.न 4 विज्ञान नगर</v>
          </cell>
          <cell r="D27" t="str">
            <v>1. राजेश नगर</v>
          </cell>
          <cell r="E27" t="str">
            <v>सभी के लिए</v>
          </cell>
        </row>
        <row r="28">
          <cell r="A28">
            <v>27</v>
          </cell>
          <cell r="B28" t="str">
            <v>राजेन्द्र नगर</v>
          </cell>
          <cell r="C28" t="str">
            <v>शा.क.उ.मा.विद्यालय क.न. 6 राजेन्द्र नगर</v>
          </cell>
          <cell r="D28" t="str">
            <v>1. राजेन्द्र नगर सेक्टर-बी</v>
          </cell>
          <cell r="E28" t="str">
            <v>सभी के लिए</v>
          </cell>
        </row>
        <row r="29">
          <cell r="A29">
            <v>28</v>
          </cell>
          <cell r="B29" t="str">
            <v>राजेन्द्र नगर</v>
          </cell>
          <cell r="C29" t="str">
            <v>शा.क.उ.मा.विद्यालय क.नं. 2 राजेन्द्र नगर</v>
          </cell>
          <cell r="D29" t="str">
            <v>1. जवाहर नगर</v>
          </cell>
          <cell r="E29" t="str">
            <v>सभी के लिए</v>
          </cell>
        </row>
        <row r="30">
          <cell r="A30">
            <v>29</v>
          </cell>
          <cell r="B30" t="str">
            <v>राजेन्द्र नगर</v>
          </cell>
          <cell r="C30" t="str">
            <v>जवाहर सभा गृह उप नगर मंडल मार्या. राजेन्द्र नगर पश्चिम भाग</v>
          </cell>
          <cell r="D30" t="str">
            <v>1. रेलवे क्वार्टर</v>
          </cell>
          <cell r="E30" t="str">
            <v>सभी के लिए</v>
          </cell>
        </row>
        <row r="31">
          <cell r="A31">
            <v>30</v>
          </cell>
          <cell r="B31" t="str">
            <v>राजेन्द्र नगर</v>
          </cell>
          <cell r="C31" t="str">
            <v>शा.कन्या उ.मा. वि. क.नं. 7 राजेन्द्र नगर</v>
          </cell>
          <cell r="D31" t="str">
            <v>1. राजेन्द्र नगर डुप्लेक्स</v>
          </cell>
          <cell r="E31" t="str">
            <v>सभी के लिए</v>
          </cell>
        </row>
        <row r="32">
          <cell r="A32">
            <v>31</v>
          </cell>
          <cell r="B32" t="str">
            <v>राजेन्द्र नगर</v>
          </cell>
          <cell r="C32" t="str">
            <v>शा.कन्या उ.मा. वि. क.नं. 8 राजेन्द्र नगर</v>
          </cell>
          <cell r="D32" t="str">
            <v>1. वीर सावरकर राजेन्द्र नगर</v>
          </cell>
          <cell r="E32" t="str">
            <v>सभी के लिए</v>
          </cell>
        </row>
        <row r="33">
          <cell r="A33">
            <v>32</v>
          </cell>
          <cell r="B33" t="str">
            <v>धनवंतरी नगर</v>
          </cell>
          <cell r="C33" t="str">
            <v>शा.मा.वि. क. 48 नया भवन क.नं. 1 धनवंतरी नगर</v>
          </cell>
          <cell r="D33" t="str">
            <v>1. धनवंतरी नगर भाग 1 बी</v>
          </cell>
          <cell r="E33" t="str">
            <v>सभी के लिए</v>
          </cell>
        </row>
        <row r="34">
          <cell r="A34">
            <v>33</v>
          </cell>
          <cell r="B34" t="str">
            <v>धनवंतरी नगर</v>
          </cell>
          <cell r="C34" t="str">
            <v>शा.मा.वि. क. 48 नया भवन क. नं. 2 धनवंतरी नगर</v>
          </cell>
          <cell r="D34" t="str">
            <v>1. धनवंतरी नगर</v>
          </cell>
          <cell r="E34" t="str">
            <v>सभी के लिए</v>
          </cell>
        </row>
        <row r="35">
          <cell r="A35">
            <v>34</v>
          </cell>
          <cell r="B35" t="str">
            <v>धनवंतरी नगर</v>
          </cell>
          <cell r="C35" t="str">
            <v>शा.प्रा.वि. क. 48 हॉल क.-1 धनवंतरी नगर</v>
          </cell>
          <cell r="D35" t="str">
            <v>1. धनवंतरी नगर</v>
          </cell>
          <cell r="E35" t="str">
            <v>सभी के लिए</v>
          </cell>
        </row>
        <row r="36">
          <cell r="A36">
            <v>35</v>
          </cell>
          <cell r="B36" t="str">
            <v>धनवंतरी नगर</v>
          </cell>
          <cell r="C36" t="str">
            <v>वैष्णव लॉ कॉलेज कमरा नं. 1 राजेन्द्र नगर</v>
          </cell>
          <cell r="D36" t="str">
            <v>1. रविविहार दधीचि प्रतिमा</v>
          </cell>
          <cell r="E36" t="str">
            <v>सभी के लिए</v>
          </cell>
        </row>
        <row r="37">
          <cell r="A37">
            <v>36</v>
          </cell>
          <cell r="B37" t="str">
            <v>धनवंतरी नगर</v>
          </cell>
          <cell r="C37" t="str">
            <v>वैष्णव लॉ कॉलेज कमरा नं. 2 राजेन्द्र नगर</v>
          </cell>
          <cell r="D37" t="str">
            <v>1. वी.आई.पी. परस्पर नगर</v>
          </cell>
          <cell r="E37" t="str">
            <v>सभी के लिए</v>
          </cell>
        </row>
        <row r="38">
          <cell r="A38">
            <v>37</v>
          </cell>
          <cell r="B38" t="str">
            <v>राजेन्द्र नगर</v>
          </cell>
          <cell r="C38" t="str">
            <v>शा. नवीन मा.वि. कमरा नं. राजेन्द्र नगर थाने के पीछे</v>
          </cell>
          <cell r="D38" t="str">
            <v>1. कृष्णा नगर, राजेन्द्र नगर</v>
          </cell>
          <cell r="E38" t="str">
            <v>सभी के लिए</v>
          </cell>
        </row>
        <row r="39">
          <cell r="A39">
            <v>38</v>
          </cell>
          <cell r="B39" t="str">
            <v>राजेन्द्र नगर</v>
          </cell>
          <cell r="C39" t="str">
            <v>बाल विहार हाई स्कूल क.नं. 2 राजेन्द्र नगर</v>
          </cell>
          <cell r="D39" t="str">
            <v>1. सांदिपनी</v>
          </cell>
          <cell r="E39" t="str">
            <v>सभी के लिए</v>
          </cell>
        </row>
        <row r="40">
          <cell r="A40">
            <v>39</v>
          </cell>
          <cell r="B40" t="str">
            <v>राजेन्द्र नगर</v>
          </cell>
          <cell r="C40" t="str">
            <v>शा. नवीन मा.वि. कमरा नं. 2 राजेन्द्र नगर थाने के पीछे</v>
          </cell>
          <cell r="D40" t="str">
            <v>1. चोइथराम अस्पताल परिसर</v>
          </cell>
          <cell r="E40" t="str">
            <v>सभी के लिए</v>
          </cell>
        </row>
        <row r="41">
          <cell r="A41">
            <v>40</v>
          </cell>
          <cell r="B41" t="str">
            <v>चोइथराम अस्पताल परिसर</v>
          </cell>
          <cell r="C41" t="str">
            <v>उ.मा.वि. चोइथराम क.नं. 1 चोइथराम अस्पताल परिसर</v>
          </cell>
          <cell r="D41" t="str">
            <v>1. स्वामी दयानन्द नगर</v>
          </cell>
          <cell r="E41" t="str">
            <v>सभी के लिए</v>
          </cell>
        </row>
        <row r="42">
          <cell r="A42">
            <v>41</v>
          </cell>
          <cell r="B42" t="str">
            <v>तेजपुर गड़बड़ी</v>
          </cell>
          <cell r="C42" t="str">
            <v>आंगनवाड़ी केन्द्र मार्तण्ड नगर</v>
          </cell>
          <cell r="D42" t="str">
            <v>1. मार्तण्ड नगर</v>
          </cell>
          <cell r="E42" t="str">
            <v>सभी के लिए</v>
          </cell>
        </row>
        <row r="43">
          <cell r="A43">
            <v>42</v>
          </cell>
          <cell r="B43" t="str">
            <v>तेजपुर गड़बड़ी</v>
          </cell>
          <cell r="C43" t="str">
            <v>क्लब हाउस हैदरी टाउनशिप बिजलपुर</v>
          </cell>
          <cell r="D43" t="str">
            <v>1. मसाकिन-ए-सेफिया बिजलपुर</v>
          </cell>
          <cell r="E43" t="str">
            <v>सभी के लिए</v>
          </cell>
        </row>
        <row r="44">
          <cell r="A44">
            <v>43</v>
          </cell>
          <cell r="B44" t="str">
            <v>तेजपुर गड़बड़ी</v>
          </cell>
          <cell r="C44" t="str">
            <v>क्लब हाउस ट्रेजर टाउनशिप बिजलपुर</v>
          </cell>
          <cell r="D44" t="str">
            <v>1. ट्रेजर टाउन/ट्रेजर विहार कॉलोनी</v>
          </cell>
          <cell r="E44" t="str">
            <v>सभी के लिए</v>
          </cell>
        </row>
        <row r="45">
          <cell r="A45">
            <v>44</v>
          </cell>
          <cell r="B45" t="str">
            <v>तेजपुर गड़बड़ी</v>
          </cell>
          <cell r="C45" t="str">
            <v>सेंट जोसेफ कॉन्वेंट स्कूल क. नं. 1 ए.बी. रोड</v>
          </cell>
          <cell r="D45" t="str">
            <v>1. अमितेश नगर</v>
          </cell>
          <cell r="E45" t="str">
            <v>सभी के लिए</v>
          </cell>
        </row>
        <row r="46">
          <cell r="A46">
            <v>45</v>
          </cell>
          <cell r="B46" t="str">
            <v>तेजपुर गड़बड़ी</v>
          </cell>
          <cell r="C46" t="str">
            <v>सेंट जोसेफ कॉन्वेंट स्कूल ए.बी. रोड कक्ष क्र. 3</v>
          </cell>
          <cell r="D46" t="str">
            <v>1. एन.टी.सी कॉलोनी स्कीम नं. 59</v>
          </cell>
          <cell r="E46" t="str">
            <v>सभी के लिए</v>
          </cell>
        </row>
        <row r="47">
          <cell r="A47">
            <v>46</v>
          </cell>
          <cell r="B47" t="str">
            <v>तेजपुर गड़बड़ी</v>
          </cell>
          <cell r="C47" t="str">
            <v>सेन्ट जोसफ कॉन्वेंट स्कूल ए. बी रोड कक्ष क्र. 4</v>
          </cell>
          <cell r="D47" t="str">
            <v>1. माँ विहार कॉलोनी</v>
          </cell>
          <cell r="E47" t="str">
            <v>सभी के लिए</v>
          </cell>
        </row>
        <row r="48">
          <cell r="A48">
            <v>47</v>
          </cell>
          <cell r="B48" t="str">
            <v>महादेव नगर</v>
          </cell>
          <cell r="C48" t="str">
            <v>शा. मा.वि. क. 28 क.नं. 1 महादेव नगर</v>
          </cell>
          <cell r="D48" t="str">
            <v>1. महादेव नगर म.न. 1 से 154 तक</v>
          </cell>
          <cell r="E48" t="str">
            <v>सभी के लिए</v>
          </cell>
        </row>
        <row r="49">
          <cell r="A49">
            <v>48</v>
          </cell>
          <cell r="B49" t="str">
            <v>महादेव नगर</v>
          </cell>
          <cell r="C49" t="str">
            <v>शा. मा.वि. क. 28 कमरा नं. 2 महादेव नगर</v>
          </cell>
          <cell r="D49" t="str">
            <v>1. महादेव नगर म.न. 155 से 672 तक</v>
          </cell>
          <cell r="E49" t="str">
            <v>सभी के लिए</v>
          </cell>
        </row>
        <row r="50">
          <cell r="A50">
            <v>49</v>
          </cell>
          <cell r="B50" t="str">
            <v>तेजपुर गड़बड़ी</v>
          </cell>
          <cell r="C50" t="str">
            <v>मंडी कार्यालय हॉल तेजपुर गड़बड़ी पश्चिम भाग कक्ष क्र.1</v>
          </cell>
          <cell r="D50" t="str">
            <v>1. तेजपुर गड़बड़ी</v>
          </cell>
          <cell r="E50" t="str">
            <v>सभी के लिए</v>
          </cell>
        </row>
        <row r="51">
          <cell r="A51">
            <v>50</v>
          </cell>
          <cell r="B51" t="str">
            <v>तेजपुर गड़बड़ी</v>
          </cell>
          <cell r="C51" t="str">
            <v>मंडी कार्यालय हॉल तेजपुर गड़बड़ी पूर्व भाग</v>
          </cell>
          <cell r="D51" t="str">
            <v>1. पवनपुत्र कॉलोनी</v>
          </cell>
          <cell r="E51" t="str">
            <v>सभी के लिए</v>
          </cell>
        </row>
        <row r="52">
          <cell r="A52">
            <v>51</v>
          </cell>
          <cell r="B52" t="str">
            <v>पिपलिया राव</v>
          </cell>
          <cell r="C52" t="str">
            <v>छत्रपति स्कूल कमरा नं. 1 गणेश नगर मेन रोड</v>
          </cell>
          <cell r="D52" t="str">
            <v>1. कृष्णोदय नगर, खंडवा नाका</v>
          </cell>
          <cell r="E52" t="str">
            <v>सभी के लिए</v>
          </cell>
        </row>
        <row r="53">
          <cell r="A53">
            <v>52</v>
          </cell>
          <cell r="B53" t="str">
            <v>पिपलिया राव</v>
          </cell>
          <cell r="C53" t="str">
            <v>बिलावली झोन कमरा नं. 2</v>
          </cell>
          <cell r="D53" t="str">
            <v>1. पिपलिया पाला</v>
          </cell>
          <cell r="E53" t="str">
            <v>सभी के लिए</v>
          </cell>
        </row>
        <row r="54">
          <cell r="A54">
            <v>53</v>
          </cell>
          <cell r="B54" t="str">
            <v>पिपलिया राव</v>
          </cell>
          <cell r="C54" t="str">
            <v>बिलावली झोन कमरा नं. 3</v>
          </cell>
          <cell r="D54" t="str">
            <v>1. सर्वानन्द नगर</v>
          </cell>
          <cell r="E54" t="str">
            <v>सभी के लिए</v>
          </cell>
        </row>
        <row r="55">
          <cell r="A55">
            <v>54</v>
          </cell>
          <cell r="B55" t="str">
            <v>पिपलिया राव</v>
          </cell>
          <cell r="C55" t="str">
            <v>बिलावली झोन कमरा नं. 4</v>
          </cell>
          <cell r="D55" t="str">
            <v>1. ब्रम्हपुरी कॉलोनी, पिपलिया राव</v>
          </cell>
          <cell r="E55" t="str">
            <v>सभी के लिए</v>
          </cell>
        </row>
        <row r="56">
          <cell r="A56">
            <v>55</v>
          </cell>
          <cell r="B56" t="str">
            <v>पिपलिया राव</v>
          </cell>
          <cell r="C56" t="str">
            <v>शा.मा. विद्यालय भवन, पिपलिया राव कमरा नं. 1</v>
          </cell>
          <cell r="D56" t="str">
            <v>1. पिपलिया राव</v>
          </cell>
          <cell r="E56" t="str">
            <v>सभी के लिए</v>
          </cell>
        </row>
        <row r="57">
          <cell r="A57">
            <v>56</v>
          </cell>
          <cell r="B57" t="str">
            <v>पिपलिया राव</v>
          </cell>
          <cell r="C57" t="str">
            <v>शा.मा.वि.भवन पिपल्याराव क.नं. 4</v>
          </cell>
          <cell r="D57" t="str">
            <v>1. कुशवाह का बगीचा</v>
          </cell>
          <cell r="E57" t="str">
            <v>सभी के लिए</v>
          </cell>
        </row>
        <row r="58">
          <cell r="A58">
            <v>57</v>
          </cell>
          <cell r="B58" t="str">
            <v>पिपलिया राव</v>
          </cell>
          <cell r="C58" t="str">
            <v>शा.मा. विद्यालय भवन, पिपलिया राव कमरा नं. 3</v>
          </cell>
          <cell r="D58" t="str">
            <v>1. पिपलिया राव</v>
          </cell>
          <cell r="E58" t="str">
            <v>सभी के लिए</v>
          </cell>
        </row>
        <row r="59">
          <cell r="A59">
            <v>58</v>
          </cell>
          <cell r="B59" t="str">
            <v>पिपलिया राव</v>
          </cell>
          <cell r="C59" t="str">
            <v>अमर मेमोरियल स्कूल क.नं. 2 पिपल्याराव</v>
          </cell>
          <cell r="D59" t="str">
            <v>1. पिपलिया राव</v>
          </cell>
          <cell r="E59" t="str">
            <v>सभी के लिए</v>
          </cell>
        </row>
        <row r="60">
          <cell r="A60">
            <v>59</v>
          </cell>
          <cell r="B60" t="str">
            <v>सोनिया गांधी नगर</v>
          </cell>
          <cell r="C60" t="str">
            <v>अमर मेमोरियल स्कूल, कमरा नं. 1 पिपलिया राव</v>
          </cell>
          <cell r="D60" t="str">
            <v>1. सोनिया गांधी नगर</v>
          </cell>
          <cell r="E60" t="str">
            <v>सभी के लिए</v>
          </cell>
        </row>
        <row r="61">
          <cell r="A61">
            <v>60</v>
          </cell>
          <cell r="B61" t="str">
            <v>पिपलिया पाला</v>
          </cell>
          <cell r="C61" t="str">
            <v>हजारीलाल मुरारी मोर्य समाज की धर्मशाला, कमरा नं. 1</v>
          </cell>
          <cell r="D61" t="str">
            <v>1. शिवनेस्ट टाउनशिप</v>
          </cell>
          <cell r="E61" t="str">
            <v>सभी के लिए</v>
          </cell>
        </row>
        <row r="62">
          <cell r="A62">
            <v>61</v>
          </cell>
          <cell r="B62" t="str">
            <v>पिपल्यापाला</v>
          </cell>
          <cell r="C62" t="str">
            <v>नव निर्मित जमनाबाई हजारीलाल मुरारी मोर्य समाज की धर्मशाला क.नं. 2</v>
          </cell>
          <cell r="D62" t="str">
            <v>1. गुरू नानक कॉलोनी, नानक नगर</v>
          </cell>
          <cell r="E62" t="str">
            <v>सभी के लिए</v>
          </cell>
        </row>
        <row r="63">
          <cell r="A63">
            <v>62</v>
          </cell>
          <cell r="B63" t="str">
            <v>ए.बी. रोड</v>
          </cell>
          <cell r="C63" t="str">
            <v>माता गुजरी कॉलेज के.जी. भवन ए.बी. रोड कमरा नं. 1</v>
          </cell>
          <cell r="D63" t="str">
            <v>1. अहिल्यापुरी कॉलोनी, पिपलियाराव</v>
          </cell>
          <cell r="E63" t="str">
            <v>सभी के लिए</v>
          </cell>
        </row>
        <row r="64">
          <cell r="A64">
            <v>63</v>
          </cell>
          <cell r="B64" t="str">
            <v>राहुल गांधी नगर</v>
          </cell>
          <cell r="C64" t="str">
            <v>शा प्रा वि राहुल गांधी नगर कमरा नं 2</v>
          </cell>
          <cell r="D64" t="str">
            <v>1. एकता नगर</v>
          </cell>
          <cell r="E64" t="str">
            <v>सभी के लिए</v>
          </cell>
        </row>
        <row r="65">
          <cell r="A65">
            <v>64</v>
          </cell>
          <cell r="B65" t="str">
            <v>एकता नगर</v>
          </cell>
          <cell r="C65" t="str">
            <v>शा. प्रा. वि. एकता नगर कमरा नं. 1</v>
          </cell>
          <cell r="D65" t="str">
            <v>1. शांति फार्महाउस</v>
          </cell>
          <cell r="E65" t="str">
            <v>सभी के लिए</v>
          </cell>
        </row>
        <row r="66">
          <cell r="A66">
            <v>65</v>
          </cell>
          <cell r="B66" t="str">
            <v>पिपलिया राव</v>
          </cell>
          <cell r="C66" t="str">
            <v>नवनिर्मित जमनाबाई हजारीलाल मुरारी मौर्य समाज की धर्मशाला हॉल का पूर्व भाग पिपल्यापाला कमरा नं. 3</v>
          </cell>
          <cell r="D66" t="str">
            <v>1. विद्या नगर</v>
          </cell>
          <cell r="E66" t="str">
            <v>सभी के लिए</v>
          </cell>
        </row>
        <row r="67">
          <cell r="A67">
            <v>66</v>
          </cell>
          <cell r="B67" t="str">
            <v>बी.के. सिन्धी कॉलोनी</v>
          </cell>
          <cell r="C67" t="str">
            <v>पंजवानी कन्या हा.से. स्कूल क.नं. 5, बी.के. सिन्धी कॉलोनी</v>
          </cell>
          <cell r="D67" t="str">
            <v>1. विद्या नगर</v>
          </cell>
          <cell r="E67" t="str">
            <v>सभी के लिए</v>
          </cell>
        </row>
        <row r="68">
          <cell r="A68">
            <v>67</v>
          </cell>
          <cell r="B68" t="str">
            <v>बी.के. सिन्धी कॉलोनी</v>
          </cell>
          <cell r="C68" t="str">
            <v>टेलेन्ट हा.से. स्कूल कक्ष क. 1, जानकी नगर</v>
          </cell>
          <cell r="D68" t="str">
            <v>1. स्वदेश नगर</v>
          </cell>
          <cell r="E68" t="str">
            <v>सभी के लिए</v>
          </cell>
        </row>
        <row r="69">
          <cell r="A69">
            <v>68</v>
          </cell>
          <cell r="B69" t="str">
            <v>बी.के. सिन्धी कॉलोनी</v>
          </cell>
          <cell r="C69" t="str">
            <v>पंजवानी कन्या हा. से. स्कूल क.न. 3 बी.के. सिन्धी कॉलोनी</v>
          </cell>
          <cell r="D69" t="str">
            <v>1. अशोक नगर</v>
          </cell>
          <cell r="E69" t="str">
            <v>सभी के लिए</v>
          </cell>
        </row>
        <row r="70">
          <cell r="A70">
            <v>69</v>
          </cell>
          <cell r="B70" t="str">
            <v>इन्द्रपुरी कॉलोनी</v>
          </cell>
          <cell r="C70" t="str">
            <v>माता गुजरी कॉलेज ए.बी. रोड कक्ष क्र. 04</v>
          </cell>
          <cell r="D70" t="str">
            <v>1. विष्णुपुरी एक्सटेंशन</v>
          </cell>
          <cell r="E70" t="str">
            <v>सभी के लिए</v>
          </cell>
        </row>
        <row r="71">
          <cell r="A71">
            <v>70</v>
          </cell>
          <cell r="B71" t="str">
            <v>इन्द्रपुरी कॉलोनी</v>
          </cell>
          <cell r="C71" t="str">
            <v>माता गुजरी कॉलेज ए.बी. रोड नर्सरी भवन बी</v>
          </cell>
          <cell r="D71" t="str">
            <v>1. विष्णुपुरी एन.एक्स. कॉलोनी</v>
          </cell>
          <cell r="E71" t="str">
            <v>सभी के लिए</v>
          </cell>
        </row>
        <row r="72">
          <cell r="A72">
            <v>71</v>
          </cell>
          <cell r="B72" t="str">
            <v>इन्द्रपुरी कॉलोनी</v>
          </cell>
          <cell r="C72" t="str">
            <v>माता गुजरी कॉलेज ए.बी रोड नर्सरी भवन सी</v>
          </cell>
          <cell r="D72" t="str">
            <v>1. विश्वसुमन अपार्टमेंट</v>
          </cell>
          <cell r="E72" t="str">
            <v>सभी के लिए</v>
          </cell>
        </row>
        <row r="73">
          <cell r="A73">
            <v>72</v>
          </cell>
          <cell r="B73" t="str">
            <v>ए.बी. रोड</v>
          </cell>
          <cell r="C73" t="str">
            <v>माता गुजरी कॉलेज ए.बी. रोड कमरा न 2</v>
          </cell>
          <cell r="D73" t="str">
            <v>1. दे.अ.वि.वि. शिक्षक आवास</v>
          </cell>
          <cell r="E73" t="str">
            <v>सभी के लिए</v>
          </cell>
        </row>
        <row r="74">
          <cell r="A74">
            <v>73</v>
          </cell>
          <cell r="B74" t="str">
            <v>इन्द्रपुरी कॉलोनी</v>
          </cell>
          <cell r="C74" t="str">
            <v>माता गुजरी कॉलेज क.न. 3 ए.बी. रोड</v>
          </cell>
          <cell r="D74" t="str">
            <v>1. इन्द्रपुरी कॉलोनी</v>
          </cell>
          <cell r="E74" t="str">
            <v>सभी के लिए</v>
          </cell>
        </row>
        <row r="75">
          <cell r="A75">
            <v>74</v>
          </cell>
          <cell r="B75" t="str">
            <v>केसर बाग रोड</v>
          </cell>
          <cell r="C75" t="str">
            <v>पानी की टंकी हॉल, नेमा नगर</v>
          </cell>
          <cell r="D75" t="str">
            <v>1. नेमा नगर</v>
          </cell>
          <cell r="E75" t="str">
            <v>सभी के लिए</v>
          </cell>
        </row>
        <row r="76">
          <cell r="A76">
            <v>75</v>
          </cell>
          <cell r="B76" t="str">
            <v>नेमा नगर</v>
          </cell>
          <cell r="C76" t="str">
            <v>चमेलीदेवी स्कूल केसर बाग रोड क.नं. 1</v>
          </cell>
          <cell r="D76" t="str">
            <v>-</v>
          </cell>
          <cell r="E76" t="str">
            <v>सभी के लिए</v>
          </cell>
        </row>
        <row r="77">
          <cell r="A77">
            <v>76</v>
          </cell>
          <cell r="B77" t="str">
            <v>केसर बाग रोड</v>
          </cell>
          <cell r="C77" t="str">
            <v>गौशाला अहिल्या माता ट्रस्ट, केसर बाग रोड उत्तर</v>
          </cell>
          <cell r="D77" t="str">
            <v>1. गोया कॉलोनी</v>
          </cell>
          <cell r="E77" t="str">
            <v>सभी के लिए</v>
          </cell>
        </row>
        <row r="78">
          <cell r="A78">
            <v>77</v>
          </cell>
          <cell r="B78" t="str">
            <v>केसर बाग रोड</v>
          </cell>
          <cell r="C78" t="str">
            <v>चमेलीदेवी स्कूल, केसर बाग रोड क.नं. 2</v>
          </cell>
          <cell r="D78" t="str">
            <v>1. आईडीए स्कीम नं. 103, केसर बाग रोड</v>
          </cell>
          <cell r="E78" t="str">
            <v>सभी के लिए</v>
          </cell>
        </row>
        <row r="79">
          <cell r="A79">
            <v>78</v>
          </cell>
          <cell r="B79" t="str">
            <v>केसर बाग रोड</v>
          </cell>
          <cell r="C79" t="str">
            <v>चमेलीदेवी स्कूल, केसर बाग रोड क.नं. 3</v>
          </cell>
          <cell r="D79" t="str">
            <v>1. आईडीए स्कीम नं-103, केसरबाग रोड</v>
          </cell>
          <cell r="E79" t="str">
            <v>सभी के लिए</v>
          </cell>
        </row>
        <row r="80">
          <cell r="A80">
            <v>79</v>
          </cell>
          <cell r="B80" t="str">
            <v>केसर बाग रोड</v>
          </cell>
          <cell r="C80" t="str">
            <v>चमेलीदेवी स्कूल, केसर बाग रोड क.नं. 4</v>
          </cell>
          <cell r="D80" t="str">
            <v>1. सुंदर विहार कॉलोनी</v>
          </cell>
          <cell r="E80" t="str">
            <v>सभी के लिए</v>
          </cell>
        </row>
        <row r="81">
          <cell r="A81">
            <v>80</v>
          </cell>
          <cell r="B81" t="str">
            <v>हॉल तेजपुर गड़बड़ी</v>
          </cell>
          <cell r="C81" t="str">
            <v>शा.प्रा.वि. क. नं. 1, गणगौर नगर</v>
          </cell>
          <cell r="D81" t="str">
            <v>1. अर्जुन नगर</v>
          </cell>
          <cell r="E81" t="str">
            <v>सभी के लिए</v>
          </cell>
        </row>
        <row r="82">
          <cell r="A82">
            <v>81</v>
          </cell>
          <cell r="B82" t="str">
            <v>हॉल तेजपुर गड़बड़ी</v>
          </cell>
          <cell r="C82" t="str">
            <v>शा.प्रा.वि. क. नं. 2, गणगौर नगर</v>
          </cell>
          <cell r="D82" t="str">
            <v>1. अमर पैलेस मेन</v>
          </cell>
          <cell r="E82" t="str">
            <v>सभी के लिए</v>
          </cell>
        </row>
        <row r="83">
          <cell r="A83">
            <v>82</v>
          </cell>
          <cell r="B83" t="str">
            <v>हॉल तेजपुर गड़बड़ी</v>
          </cell>
          <cell r="C83" t="str">
            <v>शा.मा.वि. क्र. 28, कमरा नं. 3, महादेव नगर</v>
          </cell>
          <cell r="D83" t="str">
            <v>1. अमर पैलेस एनेक्स 7</v>
          </cell>
          <cell r="E83" t="str">
            <v>सभी के लिए</v>
          </cell>
        </row>
        <row r="84">
          <cell r="A84">
            <v>83</v>
          </cell>
          <cell r="B84" t="str">
            <v>बिजलपुर</v>
          </cell>
          <cell r="C84" t="str">
            <v>शा.कन्या उ.मा.वि., पूर्व भाग बिजलपुर</v>
          </cell>
          <cell r="D84" t="str">
            <v>1. बिजलपुर</v>
          </cell>
          <cell r="E84" t="str">
            <v>सभी के लिए</v>
          </cell>
        </row>
        <row r="85">
          <cell r="A85">
            <v>84</v>
          </cell>
          <cell r="B85" t="str">
            <v>बिजलपुर मालीपुरा</v>
          </cell>
          <cell r="C85" t="str">
            <v>शा. कन्या उ.मा.वि., बिजलपुर, कमरा नं. 1</v>
          </cell>
          <cell r="D85" t="str">
            <v>1. बिजलपुर मालीपुरा भाग 1</v>
          </cell>
          <cell r="E85" t="str">
            <v>सभी के लिए</v>
          </cell>
        </row>
        <row r="86">
          <cell r="A86">
            <v>85</v>
          </cell>
          <cell r="B86" t="str">
            <v>बिजलपुर</v>
          </cell>
          <cell r="C86" t="str">
            <v>शा.क.मा.वि., बिजलपुर क.नं. 5</v>
          </cell>
          <cell r="D86" t="str">
            <v>1. शहतुत कार्नर</v>
          </cell>
          <cell r="E86" t="str">
            <v>सभी के लिए</v>
          </cell>
        </row>
        <row r="87">
          <cell r="A87">
            <v>86</v>
          </cell>
          <cell r="B87" t="str">
            <v>बिजलपुर</v>
          </cell>
          <cell r="C87" t="str">
            <v>शा.क.हा.से. स्कूल, बिजलपुर क.नं. 6</v>
          </cell>
          <cell r="D87" t="str">
            <v>1. बिजलपुर</v>
          </cell>
          <cell r="E87" t="str">
            <v>सभी के लिए</v>
          </cell>
        </row>
        <row r="88">
          <cell r="A88">
            <v>87</v>
          </cell>
          <cell r="B88" t="str">
            <v>बिजलपुर</v>
          </cell>
          <cell r="C88" t="str">
            <v xml:space="preserve">शा.प्रायो.मा.वि. नया भवन, बिजलपुर कमरा न. 1 </v>
          </cell>
          <cell r="D88" t="str">
            <v>1. नीम चौक</v>
          </cell>
          <cell r="E88" t="str">
            <v>सभी के लिए</v>
          </cell>
        </row>
        <row r="89">
          <cell r="A89">
            <v>88</v>
          </cell>
          <cell r="B89" t="str">
            <v>बिजलपुर</v>
          </cell>
          <cell r="C89" t="str">
            <v>शा.प्रायो.मा.वि. नया भवन बिजलपुर क. नं. 2</v>
          </cell>
          <cell r="D89" t="str">
            <v>1. बिजलपुर मेन रोड</v>
          </cell>
          <cell r="E89" t="str">
            <v>सभी के लिए</v>
          </cell>
        </row>
        <row r="90">
          <cell r="A90">
            <v>89</v>
          </cell>
          <cell r="B90" t="str">
            <v>बिजलपुर</v>
          </cell>
          <cell r="C90" t="str">
            <v>शा.प्रायो.मा.वि. नया भवन बिजलपुर क. नं. 3</v>
          </cell>
          <cell r="D90" t="str">
            <v>1. सारनाथ कॉलोनी</v>
          </cell>
          <cell r="E90" t="str">
            <v>सभी के लिए</v>
          </cell>
        </row>
        <row r="91">
          <cell r="A91">
            <v>90</v>
          </cell>
          <cell r="B91" t="str">
            <v>बिजलपुर</v>
          </cell>
          <cell r="C91" t="str">
            <v>आई.पी.एस. एकेडमी ए.बी. रोड, कक्ष क्र. 3</v>
          </cell>
          <cell r="D91" t="str">
            <v>1. दुर्गा नगर, बिजलपुर</v>
          </cell>
          <cell r="E91" t="str">
            <v>सभी के लिए</v>
          </cell>
        </row>
        <row r="92">
          <cell r="A92">
            <v>91</v>
          </cell>
          <cell r="B92" t="str">
            <v>बिजलपुर</v>
          </cell>
          <cell r="C92" t="str">
            <v>शा.मा.वि. हुक्माखेड़ी पाटलियापुरा, कमरा न. 1</v>
          </cell>
          <cell r="D92" t="str">
            <v>1. संजय नगर, हुक्माखेड़ी</v>
          </cell>
          <cell r="E92" t="str">
            <v>सभी के लिए</v>
          </cell>
        </row>
        <row r="93">
          <cell r="A93">
            <v>92</v>
          </cell>
          <cell r="B93" t="str">
            <v>बिजलपुर</v>
          </cell>
          <cell r="C93" t="str">
            <v>आई.पी.एस. एकेडमी क. नं. 1, ए.बी. रोड</v>
          </cell>
          <cell r="D93" t="str">
            <v>1. कष्ट निवारक संस्था</v>
          </cell>
          <cell r="E93" t="str">
            <v>सभी के लिए</v>
          </cell>
        </row>
        <row r="94">
          <cell r="A94">
            <v>93</v>
          </cell>
          <cell r="B94" t="str">
            <v>बिजलपुर</v>
          </cell>
          <cell r="C94" t="str">
            <v>ईश्वर प्रेम विद्या मंदिर, कक्ष क्र. 1</v>
          </cell>
          <cell r="D94" t="str">
            <v>1. बजाज जी टाउन, रेती मंडी</v>
          </cell>
          <cell r="E94" t="str">
            <v>सभी के लिए</v>
          </cell>
        </row>
        <row r="95">
          <cell r="A95">
            <v>94</v>
          </cell>
          <cell r="B95" t="str">
            <v>बिजलपुर</v>
          </cell>
          <cell r="C95" t="str">
            <v>शा.प्रायो.मा.वि. भवन, बिजलपुर क.नं. 3</v>
          </cell>
          <cell r="D95" t="str">
            <v>1. संजय नगर, हुक्मा</v>
          </cell>
          <cell r="E95" t="str">
            <v>सभी के लिए</v>
          </cell>
        </row>
        <row r="96">
          <cell r="A96">
            <v>95</v>
          </cell>
          <cell r="B96" t="str">
            <v>बिजलपुर</v>
          </cell>
          <cell r="C96" t="str">
            <v>आई.पी.एस. एकेडमी, कक्ष क्रमांक 2</v>
          </cell>
          <cell r="D96" t="str">
            <v>1. शिव सागर</v>
          </cell>
          <cell r="E96" t="str">
            <v>सभी के लिए</v>
          </cell>
        </row>
        <row r="97">
          <cell r="A97">
            <v>96</v>
          </cell>
          <cell r="B97" t="str">
            <v>नैनोद</v>
          </cell>
          <cell r="C97" t="str">
            <v>मॉडर्न डेंटल कॉलेज, क.नं. 1, गांधी नगर</v>
          </cell>
          <cell r="D97" t="str">
            <v>-</v>
          </cell>
          <cell r="E97" t="str">
            <v>सभी के लिए</v>
          </cell>
        </row>
        <row r="98">
          <cell r="A98">
            <v>97</v>
          </cell>
          <cell r="B98" t="str">
            <v>नैनोद</v>
          </cell>
          <cell r="C98" t="str">
            <v>पंचायत भवन, नैनोद</v>
          </cell>
          <cell r="D98" t="str">
            <v>1. बाहुबली नगर, नैनोद</v>
          </cell>
          <cell r="E98" t="str">
            <v>सभी के लिए</v>
          </cell>
        </row>
        <row r="99">
          <cell r="A99">
            <v>98</v>
          </cell>
          <cell r="B99" t="str">
            <v>नैनोद</v>
          </cell>
          <cell r="C99" t="str">
            <v>आंगनवाड़ी केन्द्र, पटेल नगर</v>
          </cell>
          <cell r="D99" t="str">
            <v>1. रामकमल रेसिडेंसी, गांधी नगर</v>
          </cell>
          <cell r="E99" t="str">
            <v>सभी के लिए</v>
          </cell>
        </row>
        <row r="100">
          <cell r="A100">
            <v>99</v>
          </cell>
          <cell r="B100" t="str">
            <v>नैनोद (ग्रामीण)</v>
          </cell>
          <cell r="C100" t="str">
            <v>नया शा.प्रा.वि. भवन, नैनोद, कमरा नं. 2</v>
          </cell>
          <cell r="D100" t="str">
            <v>1. ग्राम नैनोद</v>
          </cell>
          <cell r="E100" t="str">
            <v>सभी के लिए</v>
          </cell>
        </row>
        <row r="101">
          <cell r="A101">
            <v>100</v>
          </cell>
          <cell r="B101" t="str">
            <v>नैनोद (ग्रामीण)</v>
          </cell>
          <cell r="C101" t="str">
            <v>आंगनवाड़ी केन्द्र, नैनोद</v>
          </cell>
          <cell r="D101" t="str">
            <v>1. नई बस्ती, नैनोद</v>
          </cell>
          <cell r="E101" t="str">
            <v>सभी के लिए</v>
          </cell>
        </row>
        <row r="102">
          <cell r="A102">
            <v>101</v>
          </cell>
          <cell r="B102" t="str">
            <v>नैनोद (ग्रामीण)</v>
          </cell>
          <cell r="C102" t="str">
            <v>शा.प्रा.वि. दिलीप नगर, कमरा नं. 2</v>
          </cell>
          <cell r="D102" t="str">
            <v>1. ग्राम नैनोद, गांधी नगर</v>
          </cell>
          <cell r="E102" t="str">
            <v>सभी के लिए</v>
          </cell>
        </row>
        <row r="103">
          <cell r="A103">
            <v>102</v>
          </cell>
          <cell r="B103" t="str">
            <v>रिजलाय (ग्रामीण)</v>
          </cell>
          <cell r="C103" t="str">
            <v>शा.प्रा.वि. रिजलाय, कमरा नं. 1</v>
          </cell>
          <cell r="D103" t="str">
            <v>1. रिजलाय</v>
          </cell>
          <cell r="E103" t="str">
            <v>सभी के लिए</v>
          </cell>
        </row>
        <row r="104">
          <cell r="A104">
            <v>103</v>
          </cell>
          <cell r="B104" t="str">
            <v>बिसनावदा (ग्रामीण)</v>
          </cell>
          <cell r="C104" t="str">
            <v>नवीन मा.वि. भवन, क.नं. 2, बिसनावदा</v>
          </cell>
          <cell r="D104" t="str">
            <v>1. बिसनावदा</v>
          </cell>
          <cell r="E104" t="str">
            <v>सभी के लिए</v>
          </cell>
        </row>
        <row r="105">
          <cell r="A105">
            <v>104</v>
          </cell>
          <cell r="B105" t="str">
            <v>धरनावद (ग्रामीण)</v>
          </cell>
          <cell r="C105" t="str">
            <v>प्रा.वि. भवन, धरनावद, कमरा नं. 1</v>
          </cell>
          <cell r="D105" t="str">
            <v>1. धरनावद</v>
          </cell>
          <cell r="E105" t="str">
            <v>सभी के लिए</v>
          </cell>
        </row>
        <row r="106">
          <cell r="A106">
            <v>105</v>
          </cell>
          <cell r="B106" t="str">
            <v>कलारिया (ग्रामीण)</v>
          </cell>
          <cell r="C106" t="str">
            <v>शा.मा.वि. कलारिया, क.नं. 1</v>
          </cell>
          <cell r="D106" t="str">
            <v>1. कलारिया</v>
          </cell>
          <cell r="E106" t="str">
            <v>सभी के लिए</v>
          </cell>
        </row>
        <row r="107">
          <cell r="A107">
            <v>106</v>
          </cell>
          <cell r="B107" t="str">
            <v>कलारिया (ग्रामीण)</v>
          </cell>
          <cell r="C107" t="str">
            <v>शा.मा.वि. कलारिया क.नं. 2</v>
          </cell>
          <cell r="D107" t="str">
            <v>1. कलारिया</v>
          </cell>
          <cell r="E107" t="str">
            <v>सभी के लिए</v>
          </cell>
        </row>
        <row r="108">
          <cell r="A108">
            <v>107</v>
          </cell>
          <cell r="B108" t="str">
            <v>नरलाय (ग्रामीण)</v>
          </cell>
          <cell r="C108" t="str">
            <v>शा.प्रा. विद्यालय नरलाय कमरा नं 1</v>
          </cell>
          <cell r="D108" t="str">
            <v>1. मोकलाय</v>
          </cell>
          <cell r="E108" t="str">
            <v>सभी के लिए</v>
          </cell>
        </row>
        <row r="109">
          <cell r="A109">
            <v>108</v>
          </cell>
          <cell r="B109" t="str">
            <v>सिन्दोडा</v>
          </cell>
          <cell r="C109" t="str">
            <v>शा.मा.वि. सिन्दोडा, कमरा नं. 1</v>
          </cell>
          <cell r="D109" t="str">
            <v>1. ग्राम सिन्दोडा</v>
          </cell>
          <cell r="E109" t="str">
            <v>सभी के लिए</v>
          </cell>
        </row>
        <row r="110">
          <cell r="A110">
            <v>109</v>
          </cell>
          <cell r="B110" t="str">
            <v>सिन्दोडा</v>
          </cell>
          <cell r="C110" t="str">
            <v>शा.मा.वि. सिन्दोडा, कमरा नं. 2</v>
          </cell>
          <cell r="D110" t="str">
            <v>1. ग्राम सिन्दोडा</v>
          </cell>
          <cell r="E110" t="str">
            <v>सभी के लिए</v>
          </cell>
        </row>
        <row r="111">
          <cell r="A111">
            <v>110</v>
          </cell>
          <cell r="B111" t="str">
            <v>नावदापंथ (ग्रामीण)</v>
          </cell>
          <cell r="C111" t="str">
            <v>शा.प्रा.वि. नावदापंथ, कमरा नं. 2</v>
          </cell>
          <cell r="D111" t="str">
            <v>1. नावदा पंथ</v>
          </cell>
          <cell r="E111" t="str">
            <v>सभी के लिए</v>
          </cell>
        </row>
        <row r="112">
          <cell r="A112">
            <v>111</v>
          </cell>
          <cell r="B112" t="str">
            <v>नावदापंथ (ग्रामीण)</v>
          </cell>
          <cell r="C112" t="str">
            <v>शा.प्रा.वि. श्री राम तलावली, नावदापंथ</v>
          </cell>
          <cell r="D112" t="str">
            <v>1. श्री राम तलावली</v>
          </cell>
          <cell r="E112" t="str">
            <v>सभी के लिए</v>
          </cell>
        </row>
        <row r="113">
          <cell r="A113">
            <v>112</v>
          </cell>
          <cell r="B113" t="str">
            <v>सिंहासा (ग्रामीण)</v>
          </cell>
          <cell r="C113" t="str">
            <v>शा.प्रा.वि. सिंहासा, क.नं. 2</v>
          </cell>
          <cell r="D113" t="str">
            <v>1. सिंहासा</v>
          </cell>
          <cell r="E113" t="str">
            <v>सभी के लिए</v>
          </cell>
        </row>
        <row r="114">
          <cell r="A114">
            <v>113</v>
          </cell>
          <cell r="B114" t="str">
            <v>सिंहासा (ग्रामीण)</v>
          </cell>
          <cell r="C114" t="str">
            <v>शा.मा.वि. सिंहासा, क.नं. 1</v>
          </cell>
          <cell r="D114" t="str">
            <v>1. सिंहासा</v>
          </cell>
          <cell r="E114" t="str">
            <v>सभी के लिए</v>
          </cell>
        </row>
        <row r="115">
          <cell r="A115">
            <v>114</v>
          </cell>
          <cell r="B115" t="str">
            <v>सिंहासा (ग्रामीण)</v>
          </cell>
          <cell r="C115" t="str">
            <v>शा.हाई. स्कूल सिंहासा, क.नं. 2</v>
          </cell>
          <cell r="D115" t="str">
            <v>1. सिंहासा</v>
          </cell>
          <cell r="E115" t="str">
            <v>सभी के लिए</v>
          </cell>
        </row>
        <row r="116">
          <cell r="A116">
            <v>115</v>
          </cell>
          <cell r="B116" t="str">
            <v>बांक (ग्रामीण)</v>
          </cell>
          <cell r="C116" t="str">
            <v>शा.प्रा.वि. भवन, क.नं. 1, बांक</v>
          </cell>
          <cell r="D116" t="str">
            <v>1. बांक</v>
          </cell>
          <cell r="E116" t="str">
            <v>सभी के लिए</v>
          </cell>
        </row>
        <row r="117">
          <cell r="A117">
            <v>116</v>
          </cell>
          <cell r="B117" t="str">
            <v xml:space="preserve">बांक </v>
          </cell>
          <cell r="C117" t="str">
            <v>पंचायत भवन, बांक, कमरा नं. 1</v>
          </cell>
          <cell r="D117" t="str">
            <v>1. अहमद नगर, बांक</v>
          </cell>
          <cell r="E117" t="str">
            <v>सभी के लिए</v>
          </cell>
        </row>
        <row r="118">
          <cell r="A118">
            <v>117</v>
          </cell>
          <cell r="B118" t="str">
            <v>बांक</v>
          </cell>
          <cell r="C118" t="str">
            <v>शा.प्रा.वि. भवन, कमरा नं. 2</v>
          </cell>
          <cell r="D118" t="str">
            <v>1. अहमद नगर, बांक</v>
          </cell>
          <cell r="E118" t="str">
            <v>सभी के लिए</v>
          </cell>
        </row>
        <row r="119">
          <cell r="A119">
            <v>118</v>
          </cell>
          <cell r="B119" t="str">
            <v>बांक (ग्रामीण)</v>
          </cell>
          <cell r="C119" t="str">
            <v>शा.प्रा.वि. भवन, बांक, कक्ष क्र. 3</v>
          </cell>
          <cell r="D119" t="str">
            <v>1. राजकुमार नगर</v>
          </cell>
          <cell r="E119" t="str">
            <v>सभी के लिए</v>
          </cell>
        </row>
        <row r="120">
          <cell r="A120">
            <v>119</v>
          </cell>
          <cell r="B120" t="str">
            <v>बांक (ग्रामीण)</v>
          </cell>
          <cell r="C120" t="str">
            <v>शा.प्रा.वि. भवन, बांक, कक्ष क्र. 4</v>
          </cell>
          <cell r="D120" t="str">
            <v>1. राजकुमार नगर</v>
          </cell>
          <cell r="E120" t="str">
            <v>सभी के लिए</v>
          </cell>
        </row>
        <row r="121">
          <cell r="A121">
            <v>120</v>
          </cell>
          <cell r="B121" t="str">
            <v>बांक (ग्रामीण)</v>
          </cell>
          <cell r="C121" t="str">
            <v>शा.प्रा.वि. बांक टेकरी भवन, कछ क्रं. 2</v>
          </cell>
        </row>
        <row r="122">
          <cell r="A122">
            <v>121</v>
          </cell>
          <cell r="B122" t="str">
            <v>नूरानी नगर, बांक</v>
          </cell>
          <cell r="C122" t="str">
            <v>बद्री हा.से. स्कूल, पूर्व भाग, बांक</v>
          </cell>
          <cell r="D122" t="str">
            <v>1. नूरानी नगर, बांक</v>
          </cell>
          <cell r="E122" t="str">
            <v>सभी के लिए</v>
          </cell>
        </row>
        <row r="123">
          <cell r="A123">
            <v>122</v>
          </cell>
          <cell r="B123" t="str">
            <v>नूरानी नगर, बांक</v>
          </cell>
          <cell r="C123" t="str">
            <v>बद्री हा.से. स्कूल, पश्चिम भाग, बांक</v>
          </cell>
          <cell r="D123" t="str">
            <v>1. नूरानी नगर, बांक</v>
          </cell>
          <cell r="E123" t="str">
            <v>सभी के लिए</v>
          </cell>
        </row>
        <row r="124">
          <cell r="A124">
            <v>123</v>
          </cell>
          <cell r="B124" t="str">
            <v>ग्रीन पार्क कॉलोनी, बांक</v>
          </cell>
          <cell r="C124" t="str">
            <v>दस्तक पब्लिक स्कूल, कक्ष क्र. 1</v>
          </cell>
          <cell r="D124" t="str">
            <v>1. ग्रीन पार्क बांक</v>
          </cell>
          <cell r="E124" t="str">
            <v>सभी के लिए</v>
          </cell>
        </row>
        <row r="125">
          <cell r="A125">
            <v>124</v>
          </cell>
          <cell r="B125" t="str">
            <v>ग्रीन पार्क कॉलोनी, बांक</v>
          </cell>
          <cell r="C125" t="str">
            <v>दस्तक पब्लिक स्कूल, कक्ष क्र. 2</v>
          </cell>
          <cell r="D125" t="str">
            <v>1. ग्रीन पार्क बांक</v>
          </cell>
          <cell r="E125" t="str">
            <v>सभी के लिए</v>
          </cell>
        </row>
        <row r="126">
          <cell r="A126">
            <v>125</v>
          </cell>
          <cell r="B126" t="str">
            <v>ग्रीन पार्क कॉलोनी, बांक</v>
          </cell>
          <cell r="C126" t="str">
            <v>दस्तक पब्लिक स्कूल, कक्ष क्र. 3</v>
          </cell>
          <cell r="D126" t="str">
            <v>1. ग्रीन पार्क कॉलोनी सेक्टर M</v>
          </cell>
          <cell r="E126" t="str">
            <v>सभी के लिए</v>
          </cell>
        </row>
        <row r="127">
          <cell r="A127">
            <v>126</v>
          </cell>
          <cell r="B127" t="str">
            <v>ग्रीन पार्क कॉलोनी, बांक</v>
          </cell>
          <cell r="C127" t="str">
            <v>दस्तक पब्लिक स्कूल, कक्ष क्र. 4</v>
          </cell>
          <cell r="D127" t="str">
            <v>1. ग्रीन पार्क बांक</v>
          </cell>
          <cell r="E127" t="str">
            <v>सभी के लिए</v>
          </cell>
        </row>
        <row r="128">
          <cell r="A128">
            <v>127</v>
          </cell>
          <cell r="B128" t="str">
            <v>ग्रीन पार्क कॉलोनी, बांक</v>
          </cell>
          <cell r="C128" t="str">
            <v>शा.मा.वि. ग्रीन पार्क, बांक, कमरा नं. 1</v>
          </cell>
          <cell r="D128" t="str">
            <v>1. ग्रीन पार्क बांक</v>
          </cell>
          <cell r="E128" t="str">
            <v>सभी के लिए</v>
          </cell>
        </row>
        <row r="129">
          <cell r="A129">
            <v>128</v>
          </cell>
          <cell r="B129" t="str">
            <v>ग्रीन पार्क कॉलोनी, बांक</v>
          </cell>
          <cell r="C129" t="str">
            <v>शा.मा.वि. ग्रीन पार्क, बांक, कमरा नं. 2</v>
          </cell>
          <cell r="D129" t="str">
            <v>1. ग्रीन पार्क कॉलोनी सेक्टर B</v>
          </cell>
          <cell r="E129" t="str">
            <v>सभी के लिए</v>
          </cell>
        </row>
        <row r="130">
          <cell r="A130">
            <v>129</v>
          </cell>
          <cell r="B130" t="str">
            <v>ग्रीन पार्क कॉलोनी, बांक</v>
          </cell>
          <cell r="C130" t="str">
            <v>बद्री हा.से. स्कूल, उत्तर भाग, बांक</v>
          </cell>
          <cell r="D130" t="str">
            <v>1. नूरानी नगर, बांक</v>
          </cell>
          <cell r="E130" t="str">
            <v>सभी के लिए</v>
          </cell>
        </row>
        <row r="131">
          <cell r="A131">
            <v>130</v>
          </cell>
          <cell r="B131" t="str">
            <v>अहिरखेड़ी</v>
          </cell>
          <cell r="C131" t="str">
            <v>शा.प्रा.वि. भवन, अहिरखेड़ी, क.नं. 1</v>
          </cell>
          <cell r="D131" t="str">
            <v>1. ग्राम अहिरखेड़ी</v>
          </cell>
          <cell r="E131" t="str">
            <v>सभी के लिए</v>
          </cell>
        </row>
        <row r="132">
          <cell r="A132">
            <v>131</v>
          </cell>
          <cell r="B132" t="str">
            <v>अहिरखेड़ी</v>
          </cell>
          <cell r="C132" t="str">
            <v>शा.मा.वि. भवन, अहिरखेड़ी, कमरा नं. 1</v>
          </cell>
          <cell r="D132" t="str">
            <v>1. प्रभु नगर, अहिरखेड़ी</v>
          </cell>
          <cell r="E132" t="str">
            <v>सभी के लिए</v>
          </cell>
        </row>
        <row r="133">
          <cell r="A133">
            <v>132</v>
          </cell>
          <cell r="B133" t="str">
            <v>अहिरखेड़ी</v>
          </cell>
          <cell r="C133" t="str">
            <v>शा.प्रा.वि. भवन, अहिरखेड़ी कांकड़, क.नं. 1</v>
          </cell>
          <cell r="D133" t="str">
            <v>1. झोपड़पट्टी, अहिरखेड़ी कांकड़</v>
          </cell>
          <cell r="E133" t="str">
            <v>सभी के लिए</v>
          </cell>
        </row>
        <row r="134">
          <cell r="A134">
            <v>133</v>
          </cell>
          <cell r="B134" t="str">
            <v>अहिरखेड़ी</v>
          </cell>
          <cell r="C134" t="str">
            <v>शा.प्रा.वि. भवन, पूर्व भाग, अहिरखेड़ी</v>
          </cell>
          <cell r="D134" t="str">
            <v>1. दिग्विजय नगर ब्लॉक C</v>
          </cell>
          <cell r="E134" t="str">
            <v>सभी के लिए</v>
          </cell>
        </row>
        <row r="135">
          <cell r="A135">
            <v>134</v>
          </cell>
          <cell r="B135" t="str">
            <v>अहिरखेड़ी</v>
          </cell>
          <cell r="C135" t="str">
            <v>प्रा.वि. भवन, क.नं. 3, अहिरखेड़ी</v>
          </cell>
          <cell r="D135" t="str">
            <v>1. दिग्विजय नगर</v>
          </cell>
          <cell r="E135" t="str">
            <v>सभी के लिए</v>
          </cell>
        </row>
        <row r="136">
          <cell r="A136">
            <v>135</v>
          </cell>
          <cell r="B136" t="str">
            <v>विदुर नगर</v>
          </cell>
          <cell r="C136" t="str">
            <v>ई.सी.एस. बैगलैस स्कूल, कमरा नं. 1</v>
          </cell>
          <cell r="D136" t="str">
            <v>1. विदुर नगर कॉलोनी</v>
          </cell>
          <cell r="E136" t="str">
            <v>सभी के लिए</v>
          </cell>
        </row>
        <row r="137">
          <cell r="A137">
            <v>136</v>
          </cell>
          <cell r="B137" t="str">
            <v>विदुर नगर</v>
          </cell>
          <cell r="C137" t="str">
            <v>प्राइम एकेडमी, क.नं. 1, विदुर नगर</v>
          </cell>
          <cell r="D137" t="str">
            <v>1. विदुर नगर कॉलोनी</v>
          </cell>
          <cell r="E137" t="str">
            <v>सभी के लिए</v>
          </cell>
        </row>
        <row r="138">
          <cell r="A138">
            <v>137</v>
          </cell>
          <cell r="B138" t="str">
            <v>विदुर नगर</v>
          </cell>
          <cell r="C138" t="str">
            <v>प्राइम एकेडमी, कमरा नं. 2, विदुर नगर</v>
          </cell>
          <cell r="D138" t="str">
            <v>1. विदुर नगर कॉलोनी</v>
          </cell>
          <cell r="E138" t="str">
            <v>सभी के लिए</v>
          </cell>
        </row>
        <row r="139">
          <cell r="A139">
            <v>138</v>
          </cell>
          <cell r="B139" t="str">
            <v>विदुर नगर</v>
          </cell>
          <cell r="C139" t="str">
            <v>प्राइम एकेडमी, कमरा नं. 3</v>
          </cell>
          <cell r="D139" t="str">
            <v>1. विदुर नगर कॉलोनी</v>
          </cell>
          <cell r="E139" t="str">
            <v>सभी के लिए</v>
          </cell>
        </row>
        <row r="140">
          <cell r="A140">
            <v>139</v>
          </cell>
          <cell r="B140" t="str">
            <v>अहिरखेड़ी</v>
          </cell>
          <cell r="C140" t="str">
            <v>न्यू जीनियस कान्वेंट स्कूल, कुंदन नगर, कमरा नं. 1</v>
          </cell>
          <cell r="D140" t="str">
            <v>1. कुंदन नगर, अहिरखेड़ी</v>
          </cell>
          <cell r="E140" t="str">
            <v>सभी के लिए</v>
          </cell>
        </row>
        <row r="141">
          <cell r="A141">
            <v>140</v>
          </cell>
          <cell r="B141" t="str">
            <v>अहिरखेड़ी</v>
          </cell>
          <cell r="C141" t="str">
            <v>न्यू जीनियस कान्वेंट स्कूल,  कमरा नं. 2,कुंदन नगर</v>
          </cell>
          <cell r="D141" t="str">
            <v>1. कुंदन नगर, अहिरखेड़ी</v>
          </cell>
          <cell r="E141" t="str">
            <v>सभी के लिए</v>
          </cell>
        </row>
        <row r="142">
          <cell r="A142">
            <v>141</v>
          </cell>
          <cell r="B142" t="str">
            <v>अहिरखेड़ी</v>
          </cell>
          <cell r="C142" t="str">
            <v>न्यू जीनियस कान्वेंट स्कूल, कमरा नं. 3,कुंदन नगर</v>
          </cell>
          <cell r="D142" t="str">
            <v>1. कुंदन नगर, अहिरखेड़ी</v>
          </cell>
          <cell r="E142" t="str">
            <v>सभी के लिए</v>
          </cell>
        </row>
        <row r="143">
          <cell r="A143">
            <v>142</v>
          </cell>
          <cell r="B143" t="str">
            <v>अहिरखेड़ी</v>
          </cell>
          <cell r="C143" t="str">
            <v>प्राइम एकेडमी, क.नं. 4, विदुर नगर</v>
          </cell>
          <cell r="D143" t="str">
            <v>1. ऋषि नगर, अहिरखेड़ी</v>
          </cell>
          <cell r="E143" t="str">
            <v>सभी के लिए</v>
          </cell>
        </row>
        <row r="144">
          <cell r="A144">
            <v>143</v>
          </cell>
          <cell r="B144" t="str">
            <v>सुखनिवास</v>
          </cell>
          <cell r="C144" t="str">
            <v>शा. नवीन उन्नत मा.वि., सुखनिवास, कमरा नं. 1</v>
          </cell>
          <cell r="D144" t="str">
            <v>1. सुखनिवास ग्राम</v>
          </cell>
          <cell r="E144" t="str">
            <v>सभी के लिए</v>
          </cell>
        </row>
        <row r="145">
          <cell r="A145">
            <v>144</v>
          </cell>
          <cell r="B145" t="str">
            <v>सुखनिवास</v>
          </cell>
          <cell r="C145" t="str">
            <v>कम्युनिटी हॉल, केट परिसर, सुखनिवास, सामने, कक्ष क्र. 1</v>
          </cell>
          <cell r="D145" t="str">
            <v>1. आर.आर. केट सेक्टर-A, सुखनिवास</v>
          </cell>
          <cell r="E145" t="str">
            <v>सभी के लिए</v>
          </cell>
        </row>
        <row r="146">
          <cell r="A146">
            <v>145</v>
          </cell>
          <cell r="B146" t="str">
            <v>सुखनिवास</v>
          </cell>
          <cell r="C146" t="str">
            <v>कम्युनिटी हॉल, केट परिसर, सुखनिवास पश्चिम, क.नं. 2</v>
          </cell>
          <cell r="D146" t="str">
            <v>1. आर.आर. केट सेक्टर-D, सुखनिवास</v>
          </cell>
          <cell r="E146" t="str">
            <v>सभी के लिए</v>
          </cell>
        </row>
        <row r="147">
          <cell r="A147">
            <v>146</v>
          </cell>
          <cell r="B147" t="str">
            <v>रंगवासा (ग्रामीण)</v>
          </cell>
          <cell r="C147" t="str">
            <v>शा. नया हायर मा.वि., क.नं. 1, रंगवासा</v>
          </cell>
          <cell r="D147" t="str">
            <v>1. रंगवासा</v>
          </cell>
          <cell r="E147" t="str">
            <v>सभी के लिए</v>
          </cell>
        </row>
        <row r="148">
          <cell r="A148">
            <v>147</v>
          </cell>
          <cell r="B148" t="str">
            <v>रंगवासा (ग्रामीण)</v>
          </cell>
          <cell r="C148" t="str">
            <v>शा. नया हायर मा.वि., क.नं. 2, रंगवासा</v>
          </cell>
          <cell r="D148" t="str">
            <v>1. नयापुरा, रंगवासा</v>
          </cell>
          <cell r="E148" t="str">
            <v>सभी के लिए</v>
          </cell>
        </row>
        <row r="149">
          <cell r="A149">
            <v>148</v>
          </cell>
          <cell r="B149" t="str">
            <v>रंगवासा (ग्रामीण)</v>
          </cell>
          <cell r="C149" t="str">
            <v>लिल जीनियस इंटरनेशनल स्कूल, ट्रेजर फैन्टेसी, सेक्टर-C, कमरा नं. 1</v>
          </cell>
          <cell r="D149" t="str">
            <v>1. ट्रेजर फैन्टेसी, रंगवासा</v>
          </cell>
          <cell r="E149" t="str">
            <v>सभी के लिए</v>
          </cell>
        </row>
        <row r="150">
          <cell r="A150">
            <v>149</v>
          </cell>
          <cell r="B150" t="str">
            <v>रंगवासा (ग्रामीण)</v>
          </cell>
          <cell r="C150" t="str">
            <v>लिल जीनियस इंटरनेशनल स्कूल, ट्रेजर फैन्टेसी, सेक्टर-C, कमरा नं. 2</v>
          </cell>
          <cell r="D150" t="str">
            <v>1. केट रोड, रंगवासा</v>
          </cell>
          <cell r="E150" t="str">
            <v>सभी के लिए</v>
          </cell>
        </row>
        <row r="151">
          <cell r="A151">
            <v>150</v>
          </cell>
          <cell r="B151" t="str">
            <v xml:space="preserve">रंगवासा </v>
          </cell>
          <cell r="C151" t="str">
            <v>शा.नया हि.मा.वि., रंगवासा, क.नं. 4</v>
          </cell>
          <cell r="D151" t="str">
            <v>1. ग्राम रंगवासा</v>
          </cell>
          <cell r="E151" t="str">
            <v>सभी के लिए</v>
          </cell>
        </row>
        <row r="152">
          <cell r="A152">
            <v>151</v>
          </cell>
          <cell r="B152" t="str">
            <v>रंगवासा (ग्रामीण)</v>
          </cell>
          <cell r="C152" t="str">
            <v>शा.नया हि.मा.वि., रंगवासा, क.नं.  5</v>
          </cell>
          <cell r="D152" t="str">
            <v>1. ग्राम रंगवासा</v>
          </cell>
          <cell r="E152" t="str">
            <v>सभी के लिए</v>
          </cell>
        </row>
        <row r="153">
          <cell r="A153">
            <v>152</v>
          </cell>
          <cell r="B153" t="str">
            <v xml:space="preserve">रंगवासा </v>
          </cell>
          <cell r="C153" t="str">
            <v>शा.क.मा.वि., रंगवासा, क.नं. 1</v>
          </cell>
          <cell r="D153" t="str">
            <v>1. बागरी मोहल्ला, रंगवासा</v>
          </cell>
          <cell r="E153" t="str">
            <v>सभी के लिए</v>
          </cell>
        </row>
        <row r="154">
          <cell r="A154">
            <v>153</v>
          </cell>
          <cell r="B154" t="str">
            <v>रंगवासा</v>
          </cell>
          <cell r="C154" t="str">
            <v>शा.बालक मा.वि., रंगवासा, क.नं. 5</v>
          </cell>
          <cell r="D154" t="str">
            <v>1. श्री साई नगर, रंगवासा</v>
          </cell>
          <cell r="E154" t="str">
            <v>सभी के लिए</v>
          </cell>
        </row>
        <row r="155">
          <cell r="A155">
            <v>154</v>
          </cell>
          <cell r="B155" t="str">
            <v>राऊ</v>
          </cell>
          <cell r="C155" t="str">
            <v>शा. कन्या उ.मा.वि., कक्ष क्र. 1, राऊ</v>
          </cell>
          <cell r="D155" t="str">
            <v>1. कोलू वार्ड, राऊ</v>
          </cell>
          <cell r="E155" t="str">
            <v>सभी के लिए</v>
          </cell>
        </row>
        <row r="156">
          <cell r="A156">
            <v>155</v>
          </cell>
          <cell r="B156" t="str">
            <v>राऊ</v>
          </cell>
          <cell r="C156" t="str">
            <v>शा.क.उ.मा.वि., क.नं. 4, राऊ</v>
          </cell>
          <cell r="D156" t="str">
            <v>1. नर्मदा रोड, मुलतानी कॉलोनी, राऊ</v>
          </cell>
          <cell r="E156" t="str">
            <v>सभी के लिए</v>
          </cell>
        </row>
        <row r="157">
          <cell r="A157">
            <v>156</v>
          </cell>
          <cell r="B157" t="str">
            <v>राऊ</v>
          </cell>
          <cell r="C157" t="str">
            <v>शा.क.उ.मा.वि., क.नं. 3, राऊ</v>
          </cell>
          <cell r="D157" t="str">
            <v>1. कमल नगर</v>
          </cell>
          <cell r="E157" t="str">
            <v>सभी के लिए</v>
          </cell>
        </row>
        <row r="158">
          <cell r="A158">
            <v>157</v>
          </cell>
          <cell r="B158" t="str">
            <v>राऊ</v>
          </cell>
          <cell r="C158" t="str">
            <v>शा.क.उ.मा.वि., क.नं. 5, राऊ</v>
          </cell>
          <cell r="D158" t="str">
            <v>1. माँ भवानी कैंपस, नर्मदा रोड, राऊ</v>
          </cell>
          <cell r="E158" t="str">
            <v>सभी के लिए</v>
          </cell>
        </row>
        <row r="159">
          <cell r="A159">
            <v>158</v>
          </cell>
          <cell r="B159" t="str">
            <v>राऊ</v>
          </cell>
          <cell r="C159" t="str">
            <v>शा.मा.वि. श्रमिक कॉलोनी, कमरा नं. 4, दक्षिण दिशा, राऊ</v>
          </cell>
          <cell r="D159" t="str">
            <v>1. ए.बी. रोड, झुग्गी झोपड़ी</v>
          </cell>
          <cell r="E159" t="str">
            <v>सभी के लिए</v>
          </cell>
        </row>
        <row r="160">
          <cell r="A160">
            <v>159</v>
          </cell>
          <cell r="B160" t="str">
            <v>राऊ</v>
          </cell>
          <cell r="C160" t="str">
            <v>शा.मा.वि., श्रमिक कॉलोनी, क.नं. 2, राऊ</v>
          </cell>
          <cell r="D160" t="str">
            <v>1. रमापति विहार कॉलोनी, राऊ</v>
          </cell>
          <cell r="E160" t="str">
            <v>सभी के लिए</v>
          </cell>
        </row>
        <row r="161">
          <cell r="A161">
            <v>160</v>
          </cell>
          <cell r="B161" t="str">
            <v>राऊ (परिषद)</v>
          </cell>
          <cell r="C161" t="str">
            <v>सचिव प्रशिक्षण संस्थान, क.नं. 1, ए.बी. रोड, राऊ</v>
          </cell>
          <cell r="D161" t="str">
            <v>1. बाड़ी मोहल्ला, राऊ</v>
          </cell>
          <cell r="E161" t="str">
            <v>सभी के लिए</v>
          </cell>
        </row>
        <row r="162">
          <cell r="A162">
            <v>161</v>
          </cell>
          <cell r="B162" t="str">
            <v>राऊ</v>
          </cell>
          <cell r="C162" t="str">
            <v>सचिव प्रशिक्षण संस्थान, कमरा नं. 2, ए.बी. रोड, राऊ</v>
          </cell>
          <cell r="D162" t="str">
            <v>1. नेहरू नगर, राऊ</v>
          </cell>
          <cell r="E162" t="str">
            <v>सभी के लिए</v>
          </cell>
        </row>
        <row r="163">
          <cell r="A163">
            <v>162</v>
          </cell>
          <cell r="B163" t="str">
            <v>राऊ (परिषद)</v>
          </cell>
          <cell r="C163" t="str">
            <v>सचिव प्रशिक्षण संस्थान, क.नं. 3, ए.बी. रोड, राऊ</v>
          </cell>
          <cell r="D163" t="str">
            <v>1. नेहरू नगर, राऊ</v>
          </cell>
          <cell r="E163" t="str">
            <v>सभी के लिए</v>
          </cell>
        </row>
        <row r="164">
          <cell r="A164">
            <v>163</v>
          </cell>
          <cell r="B164" t="str">
            <v>राऊ</v>
          </cell>
          <cell r="C164" t="str">
            <v>सचिव प्रशिक्षण संस्थान, क.नं. 4, ए.बी. रोड, राऊ</v>
          </cell>
          <cell r="D164" t="str">
            <v>1. हसन जी नगर, राऊ</v>
          </cell>
          <cell r="E164" t="str">
            <v>सभी के लिए</v>
          </cell>
        </row>
        <row r="165">
          <cell r="A165">
            <v>164</v>
          </cell>
          <cell r="B165" t="str">
            <v>राऊ (परिषद)</v>
          </cell>
          <cell r="C165" t="str">
            <v>सचिव प्रशिक्षण संस्थान, क.नं. 5, ए.बी. रोड, राऊ</v>
          </cell>
          <cell r="D165" t="str">
            <v>1. श्री रॉयल कृष्णाज, ए.बी. रोड, राऊ</v>
          </cell>
          <cell r="E165" t="str">
            <v>सभी के लिए</v>
          </cell>
        </row>
        <row r="166">
          <cell r="A166">
            <v>165</v>
          </cell>
          <cell r="B166" t="str">
            <v>राऊ</v>
          </cell>
          <cell r="C166" t="str">
            <v>शा.क.मा.वि., कमरा नं. 2, राऊ</v>
          </cell>
          <cell r="D166" t="str">
            <v>1. गुरुकृपा कॉलोनी, राऊ</v>
          </cell>
          <cell r="E166" t="str">
            <v>सभी के लिए</v>
          </cell>
        </row>
        <row r="167">
          <cell r="A167">
            <v>166</v>
          </cell>
          <cell r="B167" t="str">
            <v>राऊ</v>
          </cell>
          <cell r="C167" t="str">
            <v>नगर पालिका भवन, राऊ, सामने का पूर्व भाग</v>
          </cell>
          <cell r="D167" t="str">
            <v>1. इमली बाजार, राऊ</v>
          </cell>
          <cell r="E167" t="str">
            <v>सभी के लिए</v>
          </cell>
        </row>
        <row r="168">
          <cell r="A168">
            <v>167</v>
          </cell>
          <cell r="B168" t="str">
            <v>राऊ (परिषद)</v>
          </cell>
          <cell r="C168" t="str">
            <v>नगर पालिका भवन, राऊ, पश्चिम भाग</v>
          </cell>
          <cell r="D168" t="str">
            <v>1. साईं विहार कॉलोनी, राऊ</v>
          </cell>
          <cell r="E168" t="str">
            <v>सभी के लिए</v>
          </cell>
        </row>
        <row r="169">
          <cell r="A169">
            <v>168</v>
          </cell>
          <cell r="B169" t="str">
            <v>राऊ (परिषद)</v>
          </cell>
          <cell r="C169" t="str">
            <v>शा.क.प्रा.वि., कक्ष क्र. 5, राऊ</v>
          </cell>
          <cell r="D169" t="str">
            <v>1. बागरी मोहल्ला, राऊ</v>
          </cell>
          <cell r="E169" t="str">
            <v>सभी के लिए</v>
          </cell>
        </row>
        <row r="170">
          <cell r="A170">
            <v>169</v>
          </cell>
          <cell r="B170" t="str">
            <v>राऊ (परिषद)</v>
          </cell>
          <cell r="C170" t="str">
            <v>शा. कन्या मा.वि., कक्ष क्र. 4, राऊ</v>
          </cell>
          <cell r="D170" t="str">
            <v>1. स्टेशन रोड एवं किबे कॉलोनी, राऊ</v>
          </cell>
          <cell r="E170" t="str">
            <v>सभी के लिए</v>
          </cell>
        </row>
        <row r="171">
          <cell r="A171">
            <v>170</v>
          </cell>
          <cell r="B171" t="str">
            <v>राऊ (परिषद)</v>
          </cell>
          <cell r="C171" t="str">
            <v>शा. कन्या प्रा.वि. कक्ष क्र.-1, राऊ</v>
          </cell>
          <cell r="D171" t="str">
            <v>1. सत्य साईं विहार</v>
          </cell>
          <cell r="E171" t="str">
            <v>सभी के लिए</v>
          </cell>
        </row>
        <row r="172">
          <cell r="A172">
            <v>171</v>
          </cell>
          <cell r="B172" t="str">
            <v>राऊ (परिषद)</v>
          </cell>
          <cell r="C172" t="str">
            <v>प्रेरणा पब्लिक स्कूल, राऊ, राम रहिम कॉलोनी, क.नं. 1</v>
          </cell>
          <cell r="D172" t="str">
            <v>1. राम रहिम कॉलोनी ए सेक्टर, राऊ</v>
          </cell>
          <cell r="E172" t="str">
            <v>सभी के लिए</v>
          </cell>
        </row>
        <row r="173">
          <cell r="A173">
            <v>172</v>
          </cell>
          <cell r="B173" t="str">
            <v>राऊ (परिषद)</v>
          </cell>
          <cell r="C173" t="str">
            <v>सामुदायिक भवन, राम रहिम कॉलोनी, राऊ</v>
          </cell>
          <cell r="D173" t="str">
            <v>1. साईं धाम कॉलोनी, राऊ</v>
          </cell>
          <cell r="E173" t="str">
            <v>सभी के लिए</v>
          </cell>
        </row>
        <row r="174">
          <cell r="A174">
            <v>173</v>
          </cell>
          <cell r="B174" t="str">
            <v>राऊ (परिषद)</v>
          </cell>
          <cell r="C174" t="str">
            <v>न्यू हॉरिजोन्स इंटरनेशनल स्कूल, राऊ, कमरा नं. 1</v>
          </cell>
          <cell r="D174" t="str">
            <v>1. श्रीकृष्ण पैराडाइज फेस-2, राऊ</v>
          </cell>
          <cell r="E174" t="str">
            <v>सभी के लिए</v>
          </cell>
        </row>
        <row r="175">
          <cell r="A175">
            <v>174</v>
          </cell>
          <cell r="B175" t="str">
            <v>राऊ (परिषद)</v>
          </cell>
          <cell r="C175" t="str">
            <v>शा. महाविद्यालय, राऊ, क.नं. 1</v>
          </cell>
          <cell r="D175" t="str">
            <v>1. स्टेशन रोड, राऊ</v>
          </cell>
          <cell r="E175" t="str">
            <v>सभी के लिए</v>
          </cell>
        </row>
        <row r="176">
          <cell r="A176">
            <v>175</v>
          </cell>
          <cell r="B176" t="str">
            <v>राऊ</v>
          </cell>
          <cell r="C176" t="str">
            <v>शा. महाविद्यालय, राऊ, क.नं. 5</v>
          </cell>
          <cell r="D176" t="str">
            <v>1. बृज विहार कॉलोनी, राऊ</v>
          </cell>
          <cell r="E176" t="str">
            <v>सभी के लिए</v>
          </cell>
        </row>
        <row r="177">
          <cell r="A177">
            <v>176</v>
          </cell>
          <cell r="B177" t="str">
            <v>राऊ (परिषद)</v>
          </cell>
          <cell r="C177" t="str">
            <v>शा.उ.मा.वि. गुरुकुल, क.नं. 2, राऊ</v>
          </cell>
          <cell r="D177" t="str">
            <v>1. स्वास्तिक विहार कॉलोनी, राऊ</v>
          </cell>
          <cell r="E177" t="str">
            <v>सभी के लिए</v>
          </cell>
        </row>
        <row r="178">
          <cell r="A178">
            <v>177</v>
          </cell>
          <cell r="B178" t="str">
            <v>राऊ (परिषद)</v>
          </cell>
          <cell r="C178" t="str">
            <v>शा.उ.मा.वि. गुरुकुल, क.नं. 3, राऊ</v>
          </cell>
          <cell r="D178" t="str">
            <v>1. संजय नगर, राऊ</v>
          </cell>
          <cell r="E178" t="str">
            <v>सभी के लिए</v>
          </cell>
        </row>
        <row r="179">
          <cell r="A179">
            <v>178</v>
          </cell>
          <cell r="B179" t="str">
            <v>राऊ (परिषद)</v>
          </cell>
          <cell r="C179" t="str">
            <v>शा.उ.मा.वि. गुरुकुल, क.नं. 4, राऊ</v>
          </cell>
          <cell r="D179" t="str">
            <v>1. ओम श्री साईंनाथ कॉलोनी, राऊ</v>
          </cell>
          <cell r="E179" t="str">
            <v>सभी के लिए</v>
          </cell>
        </row>
        <row r="180">
          <cell r="A180">
            <v>179</v>
          </cell>
          <cell r="B180" t="str">
            <v>राऊ (परिषद)</v>
          </cell>
          <cell r="C180" t="str">
            <v>शा.उ.मा.वि. गुरुकुल, क.नं. 5, राऊ</v>
          </cell>
          <cell r="D180" t="str">
            <v>1. बोहरा कॉलोनी, राऊ</v>
          </cell>
          <cell r="E180" t="str">
            <v>सभी के लिए</v>
          </cell>
        </row>
        <row r="181">
          <cell r="A181">
            <v>180</v>
          </cell>
          <cell r="B181" t="str">
            <v>निहालपुर मुंडी</v>
          </cell>
          <cell r="C181" t="str">
            <v>शा.प्रा.वि. भवन, निहालपुर मुंडी, क.नं. 1</v>
          </cell>
          <cell r="D181" t="str">
            <v>1. निहालपुर मुंडी</v>
          </cell>
          <cell r="E181" t="str">
            <v>सभी के लिए</v>
          </cell>
        </row>
        <row r="182">
          <cell r="A182">
            <v>181</v>
          </cell>
          <cell r="B182" t="str">
            <v>निहालपुर मुंडी</v>
          </cell>
          <cell r="C182" t="str">
            <v>क्लब हाउस, सिलिकॉन सिटी, हॉल 1</v>
          </cell>
          <cell r="D182" t="str">
            <v>1. सिलिकॉन सिटी A सेक्टर</v>
          </cell>
          <cell r="E182" t="str">
            <v>सभी के लिए</v>
          </cell>
        </row>
        <row r="183">
          <cell r="A183">
            <v>182</v>
          </cell>
          <cell r="B183" t="str">
            <v>निहालपुर मुंडी</v>
          </cell>
          <cell r="C183" t="str">
            <v>क्लब हाउस, सिलिकॉन सिटी, हॉल 2</v>
          </cell>
          <cell r="D183" t="str">
            <v>1. सिलिकॉन सिटी M सेक्टर</v>
          </cell>
          <cell r="E183" t="str">
            <v>सभी के लिए</v>
          </cell>
        </row>
        <row r="184">
          <cell r="A184">
            <v>183</v>
          </cell>
          <cell r="B184" t="str">
            <v>निहालपुर मुंडी</v>
          </cell>
          <cell r="C184" t="str">
            <v>क्लब हाउस, सिलिकॉन सिटी, हॉल 3</v>
          </cell>
          <cell r="D184" t="str">
            <v>1. सिलिकॉन सिटी N सेक्टर</v>
          </cell>
          <cell r="E184" t="str">
            <v>सभी के लिए</v>
          </cell>
        </row>
        <row r="185">
          <cell r="A185">
            <v>184</v>
          </cell>
          <cell r="B185" t="str">
            <v>निहालपुर मुंडी</v>
          </cell>
          <cell r="C185" t="str">
            <v>विद्यागन एकेडमी, B-164, सिलिकॉन सिटी</v>
          </cell>
          <cell r="D185" t="str">
            <v>1. सिलिकॉन सिटी S सेक्टर</v>
          </cell>
          <cell r="E185" t="str">
            <v>सभी के लिए</v>
          </cell>
        </row>
        <row r="186">
          <cell r="A186">
            <v>185</v>
          </cell>
          <cell r="B186" t="str">
            <v>निहालपुर मुंडी</v>
          </cell>
          <cell r="C186" t="str">
            <v>क्लब हाउस, सिलिकॉन सिटी, हॉल 4</v>
          </cell>
          <cell r="D186" t="str">
            <v>1. सिलिकॉन सिटी B सेक्टर</v>
          </cell>
          <cell r="E186" t="str">
            <v>सभी के लिए</v>
          </cell>
        </row>
        <row r="187">
          <cell r="A187">
            <v>186</v>
          </cell>
          <cell r="B187" t="str">
            <v>निहालपुर मुंडी</v>
          </cell>
          <cell r="C187" t="str">
            <v>विद्यागन एकेडमी, B-164, सिलिकॉन सिटी</v>
          </cell>
          <cell r="D187" t="str">
            <v>1. ओमेक्स हिल</v>
          </cell>
          <cell r="E187" t="str">
            <v>सभी के लिए</v>
          </cell>
        </row>
        <row r="188">
          <cell r="A188">
            <v>187</v>
          </cell>
          <cell r="B188" t="str">
            <v>निहालपुर मुंडी</v>
          </cell>
          <cell r="C188" t="str">
            <v>क्लब हाउस, शिव सिटी, हॉल 1</v>
          </cell>
          <cell r="D188" t="str">
            <v>1. सेटेलाइट टाउनशिप</v>
          </cell>
          <cell r="E188" t="str">
            <v>सभी के लिए</v>
          </cell>
        </row>
        <row r="189">
          <cell r="A189">
            <v>188</v>
          </cell>
          <cell r="B189" t="str">
            <v>निहालपुर मुंडी</v>
          </cell>
          <cell r="C189" t="str">
            <v>शा.प्रा.वि. भवन, निहालपुर मुंडी, कमरा नं. 3</v>
          </cell>
          <cell r="D189" t="str">
            <v>1. भडकिया, निहालपुर मुंडी</v>
          </cell>
          <cell r="E189" t="str">
            <v>सभी के लिए</v>
          </cell>
        </row>
        <row r="190">
          <cell r="A190">
            <v>189</v>
          </cell>
          <cell r="B190" t="str">
            <v>निहालपुर मुंडी</v>
          </cell>
          <cell r="C190" t="str">
            <v>क्लब हाउस, शिव सिटी, हॉल 2</v>
          </cell>
          <cell r="D190" t="str">
            <v>1. शिव सिटी कॉलोनी</v>
          </cell>
          <cell r="E190" t="str">
            <v>सभी के लिए</v>
          </cell>
        </row>
        <row r="191">
          <cell r="A191">
            <v>190</v>
          </cell>
          <cell r="B191" t="str">
            <v>माचला (ग्रामीण)</v>
          </cell>
          <cell r="C191" t="str">
            <v>शा.मा.वि. भवन, माचला, कमरा नं. 1</v>
          </cell>
          <cell r="D191" t="str">
            <v>1. ग्राम माचला</v>
          </cell>
          <cell r="E191" t="str">
            <v>सभी के लिए</v>
          </cell>
        </row>
        <row r="192">
          <cell r="A192">
            <v>191</v>
          </cell>
          <cell r="B192" t="str">
            <v>मोरोद (ग्रामीण)</v>
          </cell>
          <cell r="C192" t="str">
            <v>शा.प्रा.वि. भवन, मोरोद, क.नं. 1</v>
          </cell>
          <cell r="D192" t="str">
            <v>1. ग्राम मोरोद</v>
          </cell>
          <cell r="E192" t="str">
            <v>सभी के लिए</v>
          </cell>
        </row>
        <row r="193">
          <cell r="A193">
            <v>192</v>
          </cell>
          <cell r="B193" t="str">
            <v>मोरोद (ग्रामीण)</v>
          </cell>
          <cell r="C193" t="str">
            <v>शा.प्रा.वि. भवन, मोरोद, क.नं. 2</v>
          </cell>
          <cell r="D193" t="str">
            <v>1. ग्राम मोरोद</v>
          </cell>
          <cell r="E193" t="str">
            <v>सभी के लिए</v>
          </cell>
        </row>
        <row r="194">
          <cell r="A194">
            <v>193</v>
          </cell>
          <cell r="B194" t="str">
            <v>उमरीखेड़ा</v>
          </cell>
          <cell r="C194" t="str">
            <v>शा.प्रा.वि., उमरीखेड़ा, क.नं. 2</v>
          </cell>
          <cell r="D194" t="str">
            <v>1. उमरीखेड़ा</v>
          </cell>
          <cell r="E194" t="str">
            <v>सभी के लिए</v>
          </cell>
        </row>
        <row r="195">
          <cell r="A195">
            <v>194</v>
          </cell>
          <cell r="B195" t="str">
            <v>उमरीखेड़ा</v>
          </cell>
          <cell r="C195" t="str">
            <v>शा.प्रा.वि., उमरीखेड़ा, क.नं. 1</v>
          </cell>
          <cell r="D195" t="str">
            <v>1. नई बस्ती, उमरीखेड़ा</v>
          </cell>
          <cell r="E195" t="str">
            <v>सभी के लिए</v>
          </cell>
        </row>
        <row r="196">
          <cell r="A196">
            <v>195</v>
          </cell>
          <cell r="B196" t="str">
            <v>असरावद खुर्द (ग्रामीण)</v>
          </cell>
          <cell r="C196" t="str">
            <v>शा.प्रा.वि. भवन, क.नं. 1, असरावद खुर्द</v>
          </cell>
          <cell r="D196" t="str">
            <v>1. ग्राम असरावद खुर्द</v>
          </cell>
          <cell r="E196" t="str">
            <v>सभी के लिए</v>
          </cell>
        </row>
        <row r="197">
          <cell r="A197">
            <v>196</v>
          </cell>
          <cell r="B197" t="str">
            <v>असरावद खुर्द</v>
          </cell>
          <cell r="C197" t="str">
            <v>शा.प्रा.वि. भवन, क.नं. 2, असरावद खुर्द</v>
          </cell>
          <cell r="D197" t="str">
            <v>1. ग्राम असरावद खुर्द</v>
          </cell>
          <cell r="E197" t="str">
            <v>सभी के लिए</v>
          </cell>
        </row>
        <row r="198">
          <cell r="A198">
            <v>197</v>
          </cell>
          <cell r="B198" t="str">
            <v xml:space="preserve">असरावद खुर्द </v>
          </cell>
          <cell r="C198" t="str">
            <v>शा.प्रा.वि. भवन, क.नं. 3, असरावद खुर्द</v>
          </cell>
          <cell r="D198" t="str">
            <v>1. पॉवर हाउस B सेक्टर</v>
          </cell>
          <cell r="E198" t="str">
            <v>सभी के लिए</v>
          </cell>
        </row>
        <row r="199">
          <cell r="A199">
            <v>198</v>
          </cell>
          <cell r="B199" t="str">
            <v>मिर्जापुर</v>
          </cell>
          <cell r="C199" t="str">
            <v>शा.प्रा.वि. भवन, मिर्जापुर, कमरा नं. 1</v>
          </cell>
          <cell r="D199" t="str">
            <v>1. मिर्जापुर</v>
          </cell>
          <cell r="E199" t="str">
            <v>सभी के लिए</v>
          </cell>
        </row>
        <row r="200">
          <cell r="A200">
            <v>199</v>
          </cell>
          <cell r="B200" t="str">
            <v>मिर्जापुर</v>
          </cell>
          <cell r="C200" t="str">
            <v>शा.प्रा.वि. भवन, मिर्जापुर, कमरा नं. 2</v>
          </cell>
          <cell r="D200" t="str">
            <v>1. सार्थक विहार, मिर्जापुर</v>
          </cell>
          <cell r="E200" t="str">
            <v>सभी के लिए</v>
          </cell>
        </row>
        <row r="201">
          <cell r="A201">
            <v>200</v>
          </cell>
          <cell r="B201" t="str">
            <v>कैलोदकर्ताल</v>
          </cell>
          <cell r="C201" t="str">
            <v>शा.प्रा.वि. भवन, कैलोदकर्ताल, कमरा नं. 1</v>
          </cell>
          <cell r="D201" t="str">
            <v>1. ग्राम कैलोदकर्ताल</v>
          </cell>
          <cell r="E201" t="str">
            <v>सभी के लिए</v>
          </cell>
        </row>
        <row r="202">
          <cell r="A202">
            <v>201</v>
          </cell>
          <cell r="B202" t="str">
            <v>कैलोदकर्ताल</v>
          </cell>
          <cell r="C202" t="str">
            <v>शा.प्रा.वि. भवन, कैलोदकर्ताल, कमरा नं. 2</v>
          </cell>
          <cell r="D202" t="str">
            <v>1. कैलोदकर्ताल</v>
          </cell>
          <cell r="E202" t="str">
            <v>सभी के लिए</v>
          </cell>
        </row>
        <row r="203">
          <cell r="A203">
            <v>202</v>
          </cell>
          <cell r="B203" t="str">
            <v>तेजाजी नगर</v>
          </cell>
          <cell r="C203" t="str">
            <v>शा.प्रा.वि. भवन, तेजाजी नगर, क.नं. 1</v>
          </cell>
          <cell r="D203" t="str">
            <v>1. तेजाजी नगर</v>
          </cell>
          <cell r="E203" t="str">
            <v>सभी के लिए</v>
          </cell>
        </row>
        <row r="204">
          <cell r="A204">
            <v>203</v>
          </cell>
          <cell r="B204" t="str">
            <v>तेजाजी नगर</v>
          </cell>
          <cell r="C204" t="str">
            <v>शा.मा.वि. भवन, तेजाजी नगर, क.नं. 1</v>
          </cell>
          <cell r="D204" t="str">
            <v>1. तेजाजी नगर</v>
          </cell>
          <cell r="E204" t="str">
            <v>सभी के लिए</v>
          </cell>
        </row>
        <row r="205">
          <cell r="A205">
            <v>204</v>
          </cell>
          <cell r="B205" t="str">
            <v>तेजाजी नगर</v>
          </cell>
          <cell r="C205" t="str">
            <v>शा.मा.वि. भवन, तेजाजी नगर, क.नं. 2</v>
          </cell>
          <cell r="D205" t="str">
            <v>1. अनुराधा नगर</v>
          </cell>
          <cell r="E205" t="str">
            <v>सभी के लिए</v>
          </cell>
        </row>
        <row r="206">
          <cell r="A206">
            <v>205</v>
          </cell>
          <cell r="B206" t="str">
            <v>बिलावली</v>
          </cell>
          <cell r="C206" t="str">
            <v>शा.मा.वि. भवन, क.नं. 1, बिलावली</v>
          </cell>
          <cell r="D206" t="str">
            <v>1. ग्राम बिलावली</v>
          </cell>
          <cell r="E206" t="str">
            <v>सभी के लिए</v>
          </cell>
        </row>
        <row r="207">
          <cell r="A207">
            <v>206</v>
          </cell>
          <cell r="B207" t="str">
            <v>बिलावली</v>
          </cell>
          <cell r="C207" t="str">
            <v>शा.मा.वि. भवन, क.नं. 3, बिलावली</v>
          </cell>
          <cell r="D207" t="str">
            <v>1. गणेश नगर, बिलावली</v>
          </cell>
          <cell r="E207" t="str">
            <v>सभी के लिए</v>
          </cell>
        </row>
        <row r="208">
          <cell r="A208">
            <v>207</v>
          </cell>
          <cell r="B208" t="str">
            <v>बिलावली</v>
          </cell>
          <cell r="C208" t="str">
            <v>सांई प्रितमदास गोविंदराम एकेडमी, कमरा नं. 1</v>
          </cell>
          <cell r="D208" t="str">
            <v>1. श्री यंत्र नगर, बिलावली</v>
          </cell>
          <cell r="E208" t="str">
            <v>सभी के लिए</v>
          </cell>
        </row>
        <row r="209">
          <cell r="A209">
            <v>208</v>
          </cell>
          <cell r="B209" t="str">
            <v>बिलावली</v>
          </cell>
          <cell r="C209" t="str">
            <v>मा.वि. भवन, बिलावली, कमरा नं. 4</v>
          </cell>
          <cell r="D209" t="str">
            <v>1. संत नगर, बिलावली</v>
          </cell>
          <cell r="E209" t="str">
            <v>सभी के लिए</v>
          </cell>
        </row>
        <row r="210">
          <cell r="A210">
            <v>209</v>
          </cell>
          <cell r="B210" t="str">
            <v>बिलावली</v>
          </cell>
          <cell r="C210" t="str">
            <v>सांई प्रितमदास गोविंदराम एकेडमी, कमरा नं. 2</v>
          </cell>
          <cell r="D210" t="str">
            <v>-</v>
          </cell>
          <cell r="E210" t="str">
            <v>सभी के लिए</v>
          </cell>
        </row>
        <row r="211">
          <cell r="A211">
            <v>210</v>
          </cell>
          <cell r="B211" t="str">
            <v>लिम्बोदी (खंडवा रोड)</v>
          </cell>
          <cell r="C211" t="str">
            <v>शा.प्रा.वि., लिम्बोदी, कमरा नं. 1</v>
          </cell>
          <cell r="D211" t="str">
            <v>1. ग्राम लिम्बोदी</v>
          </cell>
          <cell r="E211" t="str">
            <v>सभी के लिए</v>
          </cell>
        </row>
        <row r="212">
          <cell r="A212">
            <v>211</v>
          </cell>
          <cell r="B212" t="str">
            <v>लिम्बोदी (खंडवा रोड)</v>
          </cell>
          <cell r="C212" t="str">
            <v>क्वीस कॉलेज भवन, लिम्बोदी, खंडवा रोड, कमरा नं. 2</v>
          </cell>
          <cell r="D212" t="str">
            <v>1. पीस पॉइंट कॉलोनी, लिम्बोदी</v>
          </cell>
          <cell r="E212" t="str">
            <v>सभी के लिए</v>
          </cell>
        </row>
        <row r="213">
          <cell r="A213">
            <v>212</v>
          </cell>
          <cell r="B213" t="str">
            <v>लिम्बोदी (खंडवा रोड)</v>
          </cell>
          <cell r="C213" t="str">
            <v>शा. पंचायत भवन, लिम्बोदी</v>
          </cell>
          <cell r="D213" t="str">
            <v>1. ब्रजनयनी नगर सेक्टर-A, लिम्बोदी</v>
          </cell>
          <cell r="E213" t="str">
            <v>सभी के लिए</v>
          </cell>
        </row>
        <row r="214">
          <cell r="A214">
            <v>213</v>
          </cell>
          <cell r="B214" t="str">
            <v>लिम्बोदी (खंडवा रोड)</v>
          </cell>
          <cell r="C214" t="str">
            <v>शा.प्रा.वि. भवन, लिम्बोदी, क.नं. 2</v>
          </cell>
          <cell r="D214" t="str">
            <v>1. शिवधाम कॉलोनी, लिम्बोदी</v>
          </cell>
          <cell r="E214" t="str">
            <v>सभी के लिए</v>
          </cell>
        </row>
        <row r="215">
          <cell r="A215">
            <v>214</v>
          </cell>
          <cell r="B215" t="str">
            <v>लिम्बोदी (खंडवा रोड)</v>
          </cell>
          <cell r="C215" t="str">
            <v>क्वींस कॉलेज भवन, क.नं. 3, लिम्बोदी</v>
          </cell>
          <cell r="D215" t="str">
            <v>1. पावर हाउस, लिम्बोदी</v>
          </cell>
          <cell r="E215" t="str">
            <v>सभी के लिए</v>
          </cell>
        </row>
        <row r="216">
          <cell r="A216">
            <v>215</v>
          </cell>
          <cell r="B216" t="str">
            <v>लिम्बोदी (खंडवा रोड)</v>
          </cell>
          <cell r="C216" t="str">
            <v>क्वींस कॉलेज, कमरा नं. 1</v>
          </cell>
          <cell r="D216" t="str">
            <v>1. रानी बाग मेन कॉलोनी, लिम्बोदी</v>
          </cell>
          <cell r="E216" t="str">
            <v>सभी के लिए</v>
          </cell>
        </row>
        <row r="217">
          <cell r="A217">
            <v>216</v>
          </cell>
          <cell r="B217" t="str">
            <v>लिम्बोदी (खंडवा रोड)</v>
          </cell>
          <cell r="C217" t="str">
            <v>स्टैंडर्ड पब्लिक स्कूल, कमरा नं. 2</v>
          </cell>
          <cell r="D217" t="str">
            <v>1. मारिया सदन, गवर्नमेंट कॉलेज, लिम्बोदी</v>
          </cell>
          <cell r="E217" t="str">
            <v>सभी के लिए</v>
          </cell>
        </row>
        <row r="218">
          <cell r="A218">
            <v>217</v>
          </cell>
          <cell r="B218" t="str">
            <v>लिम्बोदी (खंडवा रोड)</v>
          </cell>
          <cell r="C218" t="str">
            <v>शा.मा.वि., कमरा नं. 1, लिम्बोदी</v>
          </cell>
          <cell r="D218" t="str">
            <v>1. श्रीकृष्ण एवेन्यू कॉलोनी फेस-1, लिम्बोदी</v>
          </cell>
          <cell r="E218" t="str">
            <v>सभी के लिए</v>
          </cell>
        </row>
        <row r="219">
          <cell r="A219">
            <v>218</v>
          </cell>
          <cell r="B219" t="str">
            <v>लिम्बोदी (खंडवा रोड)</v>
          </cell>
          <cell r="C219" t="str">
            <v>शा.मा.वि., कमरा नं. 2, लिम्बोदी</v>
          </cell>
          <cell r="D219" t="str">
            <v>1. श्रीकृष्ण एवेन्यू कॉलोनी फेस-2, लिम्बोदी</v>
          </cell>
          <cell r="E219" t="str">
            <v>सभी के लिए</v>
          </cell>
        </row>
        <row r="220">
          <cell r="A220">
            <v>219</v>
          </cell>
          <cell r="B220" t="str">
            <v>रालामंडल (ग्रामीण)</v>
          </cell>
          <cell r="C220" t="str">
            <v>शा.मा.वि., भवन, रालामंडल, कमरा नं. 2</v>
          </cell>
          <cell r="D220" t="str">
            <v>1. ग्राम रालामंडल</v>
          </cell>
          <cell r="E220" t="str">
            <v>सभी के लिए</v>
          </cell>
        </row>
        <row r="221">
          <cell r="A221">
            <v>220</v>
          </cell>
          <cell r="B221" t="str">
            <v>रालामंडल (ग्रामीण)</v>
          </cell>
          <cell r="C221" t="str">
            <v>रूरल इंस्टीट्यूट, कस्तूरबा ग्राम, रालामंडल, कमरा नं. 1</v>
          </cell>
          <cell r="D221" t="str">
            <v>1. ग्राम कस्तूरबा ग्राम</v>
          </cell>
          <cell r="E221" t="str">
            <v>सभी के लिए</v>
          </cell>
        </row>
        <row r="222">
          <cell r="A222">
            <v>221</v>
          </cell>
          <cell r="B222" t="str">
            <v>मुण्डला नायता</v>
          </cell>
          <cell r="C222" t="str">
            <v>सेंट एलिजाबेथ स्कूल, मुण्डला नायता, क.नं. 3</v>
          </cell>
          <cell r="D222" t="str">
            <v>1. ग्राम मुण्डला नायता</v>
          </cell>
          <cell r="E222" t="str">
            <v>सभी के लिए</v>
          </cell>
        </row>
        <row r="223">
          <cell r="A223">
            <v>222</v>
          </cell>
          <cell r="B223" t="str">
            <v>मुण्डला नायता</v>
          </cell>
          <cell r="C223" t="str">
            <v>शा.प्रा.वि., क.नं. 3, मुण्डला नायता</v>
          </cell>
          <cell r="D223" t="str">
            <v>1. ग्राम मुण्डला नायता</v>
          </cell>
          <cell r="E223" t="str">
            <v>सभी के लिए</v>
          </cell>
        </row>
        <row r="224">
          <cell r="A224">
            <v>223</v>
          </cell>
          <cell r="B224" t="str">
            <v>मुण्डला नायता</v>
          </cell>
          <cell r="C224" t="str">
            <v>माता गुजरी गर्ल्स पब्लिक स्कूल, नायता मुण्डला</v>
          </cell>
          <cell r="D224" t="str">
            <v>1. सिल्वर स्प्रिंग फेस-1, मुण्डला नायता</v>
          </cell>
          <cell r="E224" t="str">
            <v>सभी के लिए</v>
          </cell>
        </row>
        <row r="225">
          <cell r="A225">
            <v>224</v>
          </cell>
          <cell r="B225" t="str">
            <v>मुण्डला नायता</v>
          </cell>
          <cell r="C225" t="str">
            <v>शा.प्रा.वि. भवन, क.नं. 2, मुण्डला नायता</v>
          </cell>
          <cell r="D225" t="str">
            <v>1. ग्राम मुण्डला नायता</v>
          </cell>
          <cell r="E225" t="str">
            <v>सभी के लिए</v>
          </cell>
        </row>
        <row r="226">
          <cell r="A226">
            <v>225</v>
          </cell>
          <cell r="B226" t="str">
            <v>मुण्डला नायता</v>
          </cell>
          <cell r="C226" t="str">
            <v>सेंट एलिजाबेथ स्कूल, क.नं. 1, मुण्डला नायता</v>
          </cell>
          <cell r="D226" t="str">
            <v>1. मुण्डला नायता</v>
          </cell>
          <cell r="E226" t="str">
            <v>सभी के लिए</v>
          </cell>
        </row>
        <row r="227">
          <cell r="A227">
            <v>226</v>
          </cell>
          <cell r="B227" t="str">
            <v>मुण्डला नायता</v>
          </cell>
          <cell r="C227" t="str">
            <v>सेंट एलिजाबेथ स्कूल, क.नं. 2, मुण्डला नायता</v>
          </cell>
          <cell r="D227" t="str">
            <v>1. हरिजन मोहल्ला, मुण्डला नायता</v>
          </cell>
          <cell r="E227" t="str">
            <v>सभी के लिए</v>
          </cell>
        </row>
        <row r="228">
          <cell r="A228">
            <v>227</v>
          </cell>
          <cell r="B228" t="str">
            <v>पालदा</v>
          </cell>
          <cell r="C228" t="str">
            <v>शा.मा.वि. भवन, तेजाजी चौक, क.नं. 2</v>
          </cell>
          <cell r="D228" t="str">
            <v>1. शिव पार्वती नगर, पालदा</v>
          </cell>
          <cell r="E228" t="str">
            <v>सभी के लिए</v>
          </cell>
        </row>
        <row r="229">
          <cell r="A229">
            <v>228</v>
          </cell>
          <cell r="B229" t="str">
            <v>पालदा</v>
          </cell>
          <cell r="C229" t="str">
            <v>शा.मा.वि. भवन, तेजाजी चौक, क.नं. 3</v>
          </cell>
          <cell r="D229" t="str">
            <v>1. शिव पार्वती नगर, पालदा</v>
          </cell>
          <cell r="E229" t="str">
            <v>सभी के लिए</v>
          </cell>
        </row>
        <row r="230">
          <cell r="A230">
            <v>229</v>
          </cell>
          <cell r="B230" t="str">
            <v>पालदा</v>
          </cell>
          <cell r="C230" t="str">
            <v xml:space="preserve">लायनेस विद्या विहार पालदा कमरा नं. 1 </v>
          </cell>
          <cell r="D230" t="str">
            <v>1. नई बस्ती, पालदा</v>
          </cell>
          <cell r="E230" t="str">
            <v>सभी के लिए</v>
          </cell>
        </row>
        <row r="231">
          <cell r="A231">
            <v>230</v>
          </cell>
          <cell r="B231" t="str">
            <v>पालदा</v>
          </cell>
          <cell r="C231" t="str">
            <v>लायनेस विद्या विहार, पालदा कमरा नं. 2</v>
          </cell>
          <cell r="D231" t="str">
            <v>1. पालदा हिम्मत नगर</v>
          </cell>
          <cell r="E231" t="str">
            <v>सभी के लिए</v>
          </cell>
        </row>
        <row r="232">
          <cell r="A232">
            <v>231</v>
          </cell>
          <cell r="B232" t="str">
            <v>पालदा</v>
          </cell>
          <cell r="C232" t="str">
            <v>लायनेस विद्या विहार, पालदा कमरा नं. 3</v>
          </cell>
          <cell r="D232" t="str">
            <v>1. समता नगर</v>
          </cell>
          <cell r="E232" t="str">
            <v>सभी के लिए</v>
          </cell>
        </row>
        <row r="233">
          <cell r="A233">
            <v>232</v>
          </cell>
          <cell r="B233" t="str">
            <v>पालदा</v>
          </cell>
          <cell r="C233" t="str">
            <v>लायनेस विद्या विहार, पालदा कमरा नं. 4</v>
          </cell>
          <cell r="D233" t="str">
            <v>1. श्रीराम नगर, पालदा</v>
          </cell>
          <cell r="E233" t="str">
            <v>सभी के लिए</v>
          </cell>
        </row>
        <row r="234">
          <cell r="A234">
            <v>233</v>
          </cell>
          <cell r="B234" t="str">
            <v>पालदा</v>
          </cell>
          <cell r="C234" t="str">
            <v>शा.प्रा.वि. भवन, कुम्हार भट्टी, पालदा, कमरा नं. 1</v>
          </cell>
          <cell r="D234" t="str">
            <v>1. कुम्हार भट्टी, पालदा</v>
          </cell>
          <cell r="E234" t="str">
            <v>सभी के लिए</v>
          </cell>
        </row>
        <row r="235">
          <cell r="A235">
            <v>234</v>
          </cell>
          <cell r="B235" t="str">
            <v>पालदा</v>
          </cell>
          <cell r="C235" t="str">
            <v>शा.प्रा.वि., भावना नगर, कमरा नं. 1</v>
          </cell>
          <cell r="D235" t="str">
            <v>1. भावना नगर, पालदा</v>
          </cell>
          <cell r="E235" t="str">
            <v>सभी के लिए</v>
          </cell>
        </row>
        <row r="236">
          <cell r="A236">
            <v>235</v>
          </cell>
          <cell r="B236" t="str">
            <v>पालदा</v>
          </cell>
          <cell r="C236" t="str">
            <v>विद्या चिल्ड्रन स्कूल, पालदा, कमरा नं. 1</v>
          </cell>
          <cell r="D236" t="str">
            <v>1. पालदा</v>
          </cell>
          <cell r="E236" t="str">
            <v>सभी के लिए</v>
          </cell>
        </row>
        <row r="237">
          <cell r="A237">
            <v>236</v>
          </cell>
          <cell r="B237" t="str">
            <v>पालदा</v>
          </cell>
          <cell r="C237" t="str">
            <v>विद्या चिल्ड्रन स्कूल, पालदा, कमरा नं. 2</v>
          </cell>
          <cell r="D237" t="str">
            <v>1. संस्कृति पाम</v>
          </cell>
          <cell r="E237" t="str">
            <v>सभी के लिए</v>
          </cell>
        </row>
        <row r="238">
          <cell r="A238">
            <v>237</v>
          </cell>
          <cell r="B238" t="str">
            <v>पालदा वैद्य नगर</v>
          </cell>
          <cell r="C238" t="str">
            <v>सीतादेवी मल्टी पर्पस स्कूल, पालदा, कमरा नं. 1</v>
          </cell>
          <cell r="D238" t="str">
            <v>1. पालदा हिम्मत नगर</v>
          </cell>
          <cell r="E238" t="str">
            <v>सभी के लिए</v>
          </cell>
        </row>
        <row r="239">
          <cell r="A239">
            <v>238</v>
          </cell>
          <cell r="B239" t="str">
            <v>पालदा वैद्य नगर</v>
          </cell>
          <cell r="C239" t="str">
            <v>सीतादेवी मल्टी पर्पस स्कूल, पालदा, कमरा नं. 2</v>
          </cell>
          <cell r="D239" t="str">
            <v>1. श्रीराम नगर, पालदा</v>
          </cell>
          <cell r="E239" t="str">
            <v>सभी के लिए</v>
          </cell>
        </row>
        <row r="240">
          <cell r="A240">
            <v>239</v>
          </cell>
          <cell r="B240" t="str">
            <v>पालदा</v>
          </cell>
          <cell r="C240" t="str">
            <v>शा.मा.वि. भवन, भावना नगर, कमरा नं. 3</v>
          </cell>
          <cell r="D240" t="str">
            <v>1. भावना नगर, लिम्बोदी पट्टी</v>
          </cell>
          <cell r="E240" t="str">
            <v>सभी के लिए</v>
          </cell>
        </row>
        <row r="241">
          <cell r="A241">
            <v>240</v>
          </cell>
          <cell r="B241" t="str">
            <v>दुधिया</v>
          </cell>
          <cell r="C241" t="str">
            <v>शा.मा.वि. भवन, कमरा नं. 1, दुधिया</v>
          </cell>
          <cell r="D241" t="str">
            <v>1. ग्राम दुधिया भट्टी</v>
          </cell>
          <cell r="E241" t="str">
            <v>सभी के लिए</v>
          </cell>
        </row>
        <row r="242">
          <cell r="A242">
            <v>241</v>
          </cell>
          <cell r="B242" t="str">
            <v>दुधिया</v>
          </cell>
          <cell r="C242" t="str">
            <v>शा.मा.वि. भवन, कमरा नं. 3, दुधिया</v>
          </cell>
          <cell r="D242" t="str">
            <v>1. ग्राम दुधिया भट्टी</v>
          </cell>
          <cell r="E242" t="str">
            <v>सभी के लिए</v>
          </cell>
        </row>
        <row r="243">
          <cell r="A243">
            <v>242</v>
          </cell>
          <cell r="B243" t="str">
            <v>दुधिया (ग्रामीण)</v>
          </cell>
          <cell r="C243" t="str">
            <v>शा.मा.वि., दुधिया, क.नं. 2</v>
          </cell>
          <cell r="D243" t="str">
            <v>1. ग्राम दुधिया जाट मोहल्ला, गुजरवाड़ी, केलू वार्ड</v>
          </cell>
          <cell r="E243" t="str">
            <v>सभी के लिए</v>
          </cell>
        </row>
        <row r="244">
          <cell r="A244">
            <v>243</v>
          </cell>
          <cell r="B244" t="str">
            <v>देवगुराडिया (ग्रामीण)</v>
          </cell>
          <cell r="C244" t="str">
            <v>शा.प्रा.वि., देवगुराडिया, क.नं. 1</v>
          </cell>
          <cell r="D244" t="str">
            <v>1. ग्राम देवगुराडिया</v>
          </cell>
          <cell r="E244" t="str">
            <v>सभी के लिए</v>
          </cell>
        </row>
        <row r="245">
          <cell r="A245">
            <v>244</v>
          </cell>
          <cell r="B245" t="str">
            <v>देवगुराडिया (ग्रामीण)</v>
          </cell>
          <cell r="C245" t="str">
            <v>शा.प्रा.वि., देवगुराडिया, क.नं. 2</v>
          </cell>
          <cell r="D245" t="str">
            <v>1. पुष्प रतन पार्क, देवगुराडिया</v>
          </cell>
          <cell r="E245" t="str">
            <v>सभी के लिए</v>
          </cell>
        </row>
        <row r="246">
          <cell r="A246">
            <v>245</v>
          </cell>
          <cell r="B246" t="str">
            <v>देवगुराडिया (ग्रामीण)</v>
          </cell>
          <cell r="C246" t="str">
            <v>शा.प्रा.वि. भवन, देवगुराडिया, क.नं. 3</v>
          </cell>
          <cell r="D246" t="str">
            <v>1. मानसरोवर नगर</v>
          </cell>
          <cell r="E246" t="str">
            <v>सभी के लिए</v>
          </cell>
        </row>
        <row r="247">
          <cell r="A247">
            <v>246</v>
          </cell>
          <cell r="B247" t="str">
            <v>बिचौली मर्दाना</v>
          </cell>
          <cell r="C247" t="str">
            <v>शा.प्रा.वि. भवन, बिचौली मर्दाना, क.नं. 1</v>
          </cell>
          <cell r="D247" t="str">
            <v>1. पुराना गांव, बिचौली मर्दाना</v>
          </cell>
          <cell r="E247" t="str">
            <v>सभी के लिए</v>
          </cell>
        </row>
        <row r="248">
          <cell r="A248">
            <v>247</v>
          </cell>
          <cell r="B248" t="str">
            <v>बिचौली मर्दाना</v>
          </cell>
          <cell r="C248" t="str">
            <v>शा.प्रा.वि. भवन, बिचौली मर्दाना, क.नं. 2</v>
          </cell>
          <cell r="D248" t="str">
            <v>1. नया पुरा गांव, बिचौली मर्दाना</v>
          </cell>
          <cell r="E248" t="str">
            <v>सभी के लिए</v>
          </cell>
        </row>
        <row r="249">
          <cell r="A249">
            <v>248</v>
          </cell>
          <cell r="B249" t="str">
            <v>बिचौली मर्दाना</v>
          </cell>
          <cell r="C249" t="str">
            <v>शा.मा.वि. भवन, बिचौली मर्दाना, क.नं. 2</v>
          </cell>
          <cell r="D249" t="str">
            <v>1. नई बस्ती, बिचौली मर्दाना</v>
          </cell>
          <cell r="E249" t="str">
            <v>सभी के लिए</v>
          </cell>
        </row>
        <row r="250">
          <cell r="A250">
            <v>249</v>
          </cell>
          <cell r="B250" t="str">
            <v>बिचौली मर्दाना</v>
          </cell>
          <cell r="C250" t="str">
            <v xml:space="preserve">कंगारू किड्स प्ले स्कूल, कक्ष क्र. 1 ए </v>
          </cell>
          <cell r="D250" t="str">
            <v>1. सम्पत फार्म, बिचौली मर्दाना रोड</v>
          </cell>
          <cell r="E250" t="str">
            <v>सभी के लिए</v>
          </cell>
        </row>
        <row r="251">
          <cell r="A251">
            <v>250</v>
          </cell>
          <cell r="B251" t="str">
            <v>बिचौली मर्दाना</v>
          </cell>
          <cell r="C251" t="str">
            <v xml:space="preserve">कंगारू किड्स प्ले स्कूल, कक्ष क्र. 1बी </v>
          </cell>
          <cell r="D251" t="str">
            <v>1. मिलन हाइट्स, बिचौली मर्दाना</v>
          </cell>
          <cell r="E251" t="str">
            <v>सभी के लिए</v>
          </cell>
        </row>
        <row r="252">
          <cell r="A252">
            <v>251</v>
          </cell>
          <cell r="B252" t="str">
            <v>बिचौली मर्दाना</v>
          </cell>
          <cell r="C252" t="str">
            <v>शा.मा.वि., बिचौली मर्दाना</v>
          </cell>
          <cell r="D252" t="str">
            <v>1. सम्पत हिल, बिचौली मर्दाना</v>
          </cell>
          <cell r="E252" t="str">
            <v>सभी के लिए</v>
          </cell>
        </row>
        <row r="253">
          <cell r="A253">
            <v>252</v>
          </cell>
          <cell r="B253" t="str">
            <v>बिचौली मर्दाना</v>
          </cell>
          <cell r="C253" t="str">
            <v>अग्रवाल पब्लिक स्कूल, बिचौली मर्दाना</v>
          </cell>
          <cell r="D253" t="str">
            <v>-</v>
          </cell>
          <cell r="E253" t="str">
            <v>सभी के लिए</v>
          </cell>
        </row>
        <row r="254">
          <cell r="A254">
            <v>253</v>
          </cell>
          <cell r="B254" t="str">
            <v>बिचौली मर्दाना</v>
          </cell>
          <cell r="C254" t="str">
            <v>शा.प्रा.वि., बिचौली मर्दाना, कमरा नं. 3</v>
          </cell>
          <cell r="D254" t="str">
            <v>1. बिचौली मर्दाना</v>
          </cell>
          <cell r="E254" t="str">
            <v>सभी के लिए</v>
          </cell>
        </row>
        <row r="255">
          <cell r="A255">
            <v>254</v>
          </cell>
          <cell r="B255" t="str">
            <v>बिचौली मर्दाना</v>
          </cell>
          <cell r="C255" t="str">
            <v>शा.प्रा.वि., बिचौली मर्दाना, कमरा नं. 4</v>
          </cell>
          <cell r="D255" t="str">
            <v>1. पहाड़ी टेकरी, बिचौली मर्दाना</v>
          </cell>
          <cell r="E255" t="str">
            <v>सभी के लिए</v>
          </cell>
        </row>
        <row r="256">
          <cell r="A256">
            <v>255</v>
          </cell>
          <cell r="B256" t="str">
            <v>बिचौली मर्दाना</v>
          </cell>
          <cell r="C256" t="str">
            <v>शा.मा.वि., बिचौली मर्दाना, क.नं. 5</v>
          </cell>
          <cell r="D256" t="str">
            <v>1. श्री जी वैली, बिचौली मर्दाना</v>
          </cell>
          <cell r="E256" t="str">
            <v>सभी के लिए</v>
          </cell>
        </row>
        <row r="257">
          <cell r="A257">
            <v>256</v>
          </cell>
          <cell r="B257" t="str">
            <v>बिचौली मर्दाना</v>
          </cell>
          <cell r="C257" t="str">
            <v>शा.मा.वि., बिचौली मर्दाना, क.नं. 6</v>
          </cell>
          <cell r="D257" t="str">
            <v>1. श्री जी वैली, बिचौली मर्दाना</v>
          </cell>
          <cell r="E257" t="str">
            <v>सभी के लिए</v>
          </cell>
        </row>
        <row r="258">
          <cell r="A258">
            <v>257</v>
          </cell>
          <cell r="B258" t="str">
            <v>बिचौली हप्सी रोड</v>
          </cell>
          <cell r="C258" t="str">
            <v>कोलंबिया कॉन्वेंट हा.से. स्कूल, कक्ष क्र. 1</v>
          </cell>
          <cell r="D258" t="str">
            <v>1. सर्वसम्पन्न नगर, बिचौली मर्दाना</v>
          </cell>
          <cell r="E258" t="str">
            <v>सभी के लिए</v>
          </cell>
        </row>
        <row r="259">
          <cell r="A259">
            <v>258</v>
          </cell>
          <cell r="B259" t="str">
            <v>बिचौली हप्सी रोड</v>
          </cell>
          <cell r="C259" t="str">
            <v>कोलम्बिया कॉन्वेंट हा.से. स्कूल, कक्ष क.-2. भिचौली हप्सी रोड</v>
          </cell>
          <cell r="D259" t="str">
            <v>1. मानवता नगर, बिचौली मर्दाना</v>
          </cell>
          <cell r="E259" t="str">
            <v>सभी के लिए</v>
          </cell>
        </row>
        <row r="260">
          <cell r="A260">
            <v>259</v>
          </cell>
          <cell r="B260" t="str">
            <v>बिचौली हप्सी रोड</v>
          </cell>
          <cell r="C260" t="str">
            <v>कोलम्बिया कॉन्वेंट हा.से. स्कूल, कक्ष क.-4 . भिचौली हप्सी रोड</v>
          </cell>
          <cell r="D260" t="str">
            <v>1. मानवता नगर, बिचौली मर्दाना</v>
          </cell>
          <cell r="E260" t="str">
            <v>सभी के लिए</v>
          </cell>
        </row>
        <row r="261">
          <cell r="A261">
            <v>260</v>
          </cell>
          <cell r="B261" t="str">
            <v>बिचौली हप्सी रोड</v>
          </cell>
          <cell r="C261" t="str">
            <v>कोलम्बिया कॉन्वेंट हा.से. स्कूल, कक्ष क.-3. भिचौली हप्सी रोड</v>
          </cell>
          <cell r="D261" t="str">
            <v>1. गोकुल नगर, कनाडिया रोड, बिचौली हप्सी</v>
          </cell>
          <cell r="E261" t="str">
            <v>सभी के लिए</v>
          </cell>
        </row>
        <row r="262">
          <cell r="A262">
            <v>261</v>
          </cell>
          <cell r="B262" t="str">
            <v>बिचौली हप्सी रोड</v>
          </cell>
          <cell r="C262" t="str">
            <v>शा.प्रा.वि., भूरी टेकरी</v>
          </cell>
          <cell r="D262" t="str">
            <v>1. भूरी टेकरी, बिचौली हप्सी</v>
          </cell>
          <cell r="E262" t="str">
            <v>सभी के लिए</v>
          </cell>
        </row>
        <row r="263">
          <cell r="A263">
            <v>262</v>
          </cell>
          <cell r="B263" t="str">
            <v>बिचौली हप्सी रोड</v>
          </cell>
          <cell r="C263" t="str">
            <v>शा.प्रा.वि., भूरी टेकरी, कमरा नं. 3</v>
          </cell>
          <cell r="D263" t="str">
            <v>1. आई.डी.ए. मल्टी, भूरी टेकरी, बिचौली हप्सी</v>
          </cell>
          <cell r="E263" t="str">
            <v>सभी के लिए</v>
          </cell>
        </row>
        <row r="264">
          <cell r="A264">
            <v>263</v>
          </cell>
          <cell r="B264" t="str">
            <v>बिचौली हप्सी रोड</v>
          </cell>
          <cell r="C264" t="str">
            <v>शा.प्रा.वि., भूरी टेकरी</v>
          </cell>
          <cell r="D264" t="str">
            <v>1. अरावली परिसर ब्लॉक A-3</v>
          </cell>
          <cell r="E264" t="str">
            <v>सभी के लिए</v>
          </cell>
        </row>
        <row r="265">
          <cell r="A265">
            <v>264</v>
          </cell>
          <cell r="B265" t="str">
            <v>बिचौली हप्सी रोड</v>
          </cell>
          <cell r="C265" t="str">
            <v>स्वाती जैन महाविद्यालय, क.नं. 4, बिचौली मर्दाना रोड</v>
          </cell>
          <cell r="D265" t="str">
            <v>1. कांकड़, बिचौली हप्सी</v>
          </cell>
          <cell r="E265" t="str">
            <v>सभी के लिए</v>
          </cell>
        </row>
        <row r="266">
          <cell r="A266">
            <v>265</v>
          </cell>
          <cell r="B266" t="str">
            <v>बिचौली हप्सी</v>
          </cell>
          <cell r="C266" t="str">
            <v>शा.मा.वि. भवन, बिचौली हप्सी, क.नं. 1</v>
          </cell>
          <cell r="D266" t="str">
            <v>1. बिचौली हप्सी</v>
          </cell>
          <cell r="E266" t="str">
            <v>सभी के लिए</v>
          </cell>
        </row>
        <row r="267">
          <cell r="A267">
            <v>266</v>
          </cell>
          <cell r="B267" t="str">
            <v>बिचौली हप्सी</v>
          </cell>
          <cell r="C267" t="str">
            <v>शा.मा.वि. भवन, बिचौली हप्सी, क.नं. 2</v>
          </cell>
          <cell r="D267" t="str">
            <v>1. बिचौली हप्सी</v>
          </cell>
          <cell r="E267" t="str">
            <v>सभी के लिए</v>
          </cell>
        </row>
        <row r="268">
          <cell r="A268">
            <v>267</v>
          </cell>
          <cell r="B268" t="str">
            <v>बढ़िया कीमा (ग्रामीण)</v>
          </cell>
          <cell r="C268" t="str">
            <v>शा.प्रा.वि. भवन, बढ़िया कीमा, कमरा नं. 1</v>
          </cell>
          <cell r="D268" t="str">
            <v>1. माली खेड़ी, बढ़िया कीमा</v>
          </cell>
          <cell r="E268" t="str">
            <v>सभी के लिए</v>
          </cell>
        </row>
        <row r="269">
          <cell r="A269">
            <v>268</v>
          </cell>
          <cell r="B269" t="str">
            <v>बढ़िया कीमा (ग्रामीण)</v>
          </cell>
          <cell r="C269" t="str">
            <v>पावर हाउस सामुदायिक शेड, बढ़िया कीमा</v>
          </cell>
          <cell r="D269" t="str">
            <v>1. ग्राम बढ़िया कीमा</v>
          </cell>
          <cell r="E269" t="str">
            <v>सभी के लिए</v>
          </cell>
        </row>
        <row r="270">
          <cell r="A270">
            <v>269</v>
          </cell>
          <cell r="B270" t="str">
            <v>सनावदिया (ग्रामीण)</v>
          </cell>
          <cell r="C270" t="str">
            <v>शा.मा.वि. भवन, सनावदिया, क.नं. 1</v>
          </cell>
          <cell r="D270" t="str">
            <v>1. ग्राम सनावदिया</v>
          </cell>
          <cell r="E270" t="str">
            <v>सभी के लिए</v>
          </cell>
        </row>
        <row r="271">
          <cell r="A271">
            <v>270</v>
          </cell>
          <cell r="B271" t="str">
            <v>सनावदिया (ग्रामीण)</v>
          </cell>
          <cell r="C271" t="str">
            <v>शा.मा.वि. भवन सनावदिया क.नं 2</v>
          </cell>
          <cell r="D271" t="str">
            <v>1. ग्राम सनावदिया</v>
          </cell>
          <cell r="E271" t="str">
            <v>सभी के लिए</v>
          </cell>
        </row>
        <row r="272">
          <cell r="A272">
            <v>271</v>
          </cell>
          <cell r="B272" t="str">
            <v>बिहाड़िया (ग्रामीण)</v>
          </cell>
          <cell r="C272" t="str">
            <v>शा.मा.वि. भवन, बिहाड़िया, कमरा नं. 3</v>
          </cell>
          <cell r="D272" t="str">
            <v>1. ग्राम बिहाड़िया</v>
          </cell>
          <cell r="E272" t="str">
            <v>सभी के लिए</v>
          </cell>
        </row>
        <row r="273">
          <cell r="A273">
            <v>272</v>
          </cell>
          <cell r="B273" t="str">
            <v>उमरिया खुर्द (ग्रामीण)</v>
          </cell>
          <cell r="C273" t="str">
            <v>शा.प्रा.वि. भवन, उमरिया खुर्द, क.नं. 2</v>
          </cell>
          <cell r="D273" t="str">
            <v>1. उमरिया खुर्द</v>
          </cell>
          <cell r="E273" t="str">
            <v>सभी के लिए</v>
          </cell>
        </row>
        <row r="274">
          <cell r="A274">
            <v>273</v>
          </cell>
          <cell r="B274" t="str">
            <v>उमरिया खुर्द (ग्रामीण)</v>
          </cell>
          <cell r="C274" t="str">
            <v>शा.प्रा.वि. भवन, उमरिया खुर्द, क.नं. 1</v>
          </cell>
          <cell r="D274" t="str">
            <v>1. उमरिया खुर्द</v>
          </cell>
          <cell r="E274" t="str">
            <v>सभी के लिए</v>
          </cell>
        </row>
        <row r="275">
          <cell r="A275">
            <v>274</v>
          </cell>
          <cell r="B275" t="str">
            <v>सोनगुराडिया (ग्रामीण)</v>
          </cell>
          <cell r="C275" t="str">
            <v>शा.प्रा.वि. भवन, सोनगुराडिया, कमरा नं. 4</v>
          </cell>
          <cell r="D275" t="str">
            <v>1. सोनगुराडिया</v>
          </cell>
          <cell r="E275" t="str">
            <v>सभी के लिए</v>
          </cell>
        </row>
        <row r="276">
          <cell r="A276">
            <v>275</v>
          </cell>
          <cell r="B276" t="str">
            <v>धमनाय (ग्रामीण)</v>
          </cell>
          <cell r="C276" t="str">
            <v>शा.प्रा.वि. भवन, क.नं. 1, धमनाय</v>
          </cell>
          <cell r="D276" t="str">
            <v>1. धमनाय</v>
          </cell>
          <cell r="E276" t="str">
            <v>सभी के लिए</v>
          </cell>
        </row>
        <row r="277">
          <cell r="A277">
            <v>276</v>
          </cell>
          <cell r="B277" t="str">
            <v>धमनाय (ग्रामीण)</v>
          </cell>
          <cell r="C277" t="str">
            <v>शा.प्रा.वि. भवन, क.नं. 1, कपाल्याखेड़ी</v>
          </cell>
          <cell r="D277" t="str">
            <v>1. कपाल्याखेड़ी, धमनाय</v>
          </cell>
          <cell r="E277" t="str">
            <v>सभी के लिए</v>
          </cell>
        </row>
        <row r="278">
          <cell r="A278">
            <v>277</v>
          </cell>
          <cell r="B278" t="str">
            <v>सोनवाय (ग्रामीण)</v>
          </cell>
          <cell r="C278" t="str">
            <v>शा.प्रा.वि. भवन, सोनवाय, कमरा नं. 1</v>
          </cell>
          <cell r="D278" t="str">
            <v>1. सोनवाय</v>
          </cell>
          <cell r="E278" t="str">
            <v>सभी के लिए</v>
          </cell>
        </row>
        <row r="279">
          <cell r="A279">
            <v>278</v>
          </cell>
          <cell r="B279" t="str">
            <v>मुण्डला दोस्तदार (ग्रामीण)</v>
          </cell>
          <cell r="C279" t="str">
            <v>शा.प्रा.वि. भवन, मुण्डला दोस्तदार, क.नं. 1</v>
          </cell>
          <cell r="D279" t="str">
            <v>1. मुण्डला दोस्तदार</v>
          </cell>
          <cell r="E279" t="str">
            <v>सभी के लिए</v>
          </cell>
        </row>
        <row r="280">
          <cell r="A280">
            <v>279</v>
          </cell>
          <cell r="B280" t="str">
            <v>राजधरा (ग्रामीण)</v>
          </cell>
          <cell r="C280" t="str">
            <v>शा.प्रा.वि. भवन, राजधरा, क.नं. 1</v>
          </cell>
          <cell r="D280" t="str">
            <v>1. राजधरा</v>
          </cell>
          <cell r="E280" t="str">
            <v>सभी के लिए</v>
          </cell>
        </row>
        <row r="281">
          <cell r="A281">
            <v>280</v>
          </cell>
          <cell r="B281" t="str">
            <v>जामनिया खुर्द (ग्रामीण)</v>
          </cell>
          <cell r="C281" t="str">
            <v>शा.प्रा.वि. भवन, जामनिया खुर्द, कमरा नं. 1</v>
          </cell>
          <cell r="D281" t="str">
            <v>1. ग्राम जामनिया खुर्द</v>
          </cell>
          <cell r="E281" t="str">
            <v>सभी के लिए</v>
          </cell>
        </row>
        <row r="282">
          <cell r="A282">
            <v>281</v>
          </cell>
          <cell r="B282" t="str">
            <v>तिल्लौर खुर्द (ग्रामीण)</v>
          </cell>
          <cell r="C282" t="str">
            <v>शा.मा.वि. भवन, क.नं. 1, तिल्लौर खुर्द</v>
          </cell>
          <cell r="D282" t="str">
            <v>1. तिल्लौर खुर्द</v>
          </cell>
          <cell r="E282" t="str">
            <v>सभी के लिए</v>
          </cell>
        </row>
        <row r="283">
          <cell r="A283">
            <v>282</v>
          </cell>
          <cell r="B283" t="str">
            <v>तिल्लौर खुर्द (ग्रामीण)</v>
          </cell>
          <cell r="C283" t="str">
            <v>शा.मा.वि. भवन, क.नं. 4, तिल्लौर खुर्द</v>
          </cell>
          <cell r="D283" t="str">
            <v>1. ग्राम तिल्लौर खुर्द</v>
          </cell>
          <cell r="E283" t="str">
            <v>सभी के लिए</v>
          </cell>
        </row>
        <row r="284">
          <cell r="A284">
            <v>283</v>
          </cell>
          <cell r="B284" t="str">
            <v>तिल्लौर खुर्द (ग्रामीण)</v>
          </cell>
          <cell r="C284" t="str">
            <v>शा.आ.क.मा.वि. भवन, क.नं. 2, तिल्लौर खुर्द</v>
          </cell>
          <cell r="D284" t="str">
            <v>1. तिल्लौर खुर्द</v>
          </cell>
          <cell r="E284" t="str">
            <v>सभी के लिए</v>
          </cell>
        </row>
        <row r="285">
          <cell r="A285">
            <v>284</v>
          </cell>
          <cell r="B285" t="str">
            <v>तिल्लौर खुर्द (ग्रामीण)</v>
          </cell>
          <cell r="C285" t="str">
            <v>शा.मा.वि. भवन, क.नं. 4, तिल्लौर खुर्द</v>
          </cell>
          <cell r="D285" t="str">
            <v>1. तिल्लौर खुर्द</v>
          </cell>
          <cell r="E285" t="str">
            <v>सभी के लिए</v>
          </cell>
        </row>
        <row r="286">
          <cell r="A286">
            <v>285</v>
          </cell>
          <cell r="B286" t="str">
            <v>काचरोट (ग्रामीण)</v>
          </cell>
          <cell r="C286" t="str">
            <v>शा.प्रा.वि. भवन, काचरोट, कमरा नं. 1</v>
          </cell>
          <cell r="D286" t="str">
            <v>1. काचरोट</v>
          </cell>
          <cell r="E286" t="str">
            <v>सभी के लिए</v>
          </cell>
        </row>
        <row r="287">
          <cell r="A287">
            <v>286</v>
          </cell>
          <cell r="B287" t="str">
            <v>तिन्छा (ग्रामीण)</v>
          </cell>
          <cell r="C287" t="str">
            <v>शा.प्रा.वि. भवन, तिन्छा, कमरा नं. 2</v>
          </cell>
          <cell r="D287" t="str">
            <v>1. तिन्छा</v>
          </cell>
          <cell r="E287" t="str">
            <v>सभी के लिए</v>
          </cell>
        </row>
        <row r="288">
          <cell r="A288">
            <v>287</v>
          </cell>
          <cell r="B288" t="str">
            <v>तिल्लौर बुजुर्ग (ग्रामीण)</v>
          </cell>
          <cell r="C288" t="str">
            <v>शा.प्रा.वि. भवन, क.नं. 1, तिल्लौर बुजुर्ग</v>
          </cell>
          <cell r="D288" t="str">
            <v>1. तिल्लौर बुजुर्ग</v>
          </cell>
          <cell r="E288" t="str">
            <v>सभी के लिए</v>
          </cell>
        </row>
        <row r="289">
          <cell r="A289">
            <v>288</v>
          </cell>
          <cell r="B289" t="str">
            <v>तिल्लौर बुजुर्ग (ग्रामीण)</v>
          </cell>
          <cell r="C289" t="str">
            <v>शा.प्रा.वि. भवन, क.नं. 2, तिल्लौर बुजुर्ग</v>
          </cell>
          <cell r="D289" t="str">
            <v>1. तिल्लौर बुजुर्ग</v>
          </cell>
          <cell r="E289" t="str">
            <v>सभी के लिए</v>
          </cell>
        </row>
        <row r="290">
          <cell r="A290">
            <v>289</v>
          </cell>
          <cell r="B290" t="str">
            <v>पिपल्दा</v>
          </cell>
          <cell r="C290" t="str">
            <v>शा.मा.वि. भवन,पिपल्दा क.नं. 4,</v>
          </cell>
          <cell r="D290" t="str">
            <v>1. ग्राम पिपल्दा</v>
          </cell>
          <cell r="E290" t="str">
            <v>सभी के लिए</v>
          </cell>
        </row>
        <row r="291">
          <cell r="A291">
            <v>290</v>
          </cell>
          <cell r="B291" t="str">
            <v>पिपल्दा</v>
          </cell>
          <cell r="C291" t="str">
            <v>शा.मा.वि. भवन, क.नं. 5, पिपल्दा</v>
          </cell>
          <cell r="D291" t="str">
            <v>1. ग्राम पिपल्दा</v>
          </cell>
          <cell r="E291" t="str">
            <v>सभी के लिए</v>
          </cell>
        </row>
        <row r="292">
          <cell r="A292">
            <v>291</v>
          </cell>
          <cell r="B292" t="str">
            <v>पिपल्दा (ग्रामीण)</v>
          </cell>
          <cell r="C292" t="str">
            <v>शा.मा.वि. भवन, क.नं. 3, पिपल्दा</v>
          </cell>
          <cell r="D292" t="str">
            <v>1. ग्राम पिपल्दा</v>
          </cell>
          <cell r="E292" t="str">
            <v>सभी के लिए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C2911C-FBA6-4597-8A43-4BF7B47F78A0}">
  <we:reference id="wa200005502" version="1.0.0.11" store="en-US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0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22.7109375" bestFit="1" customWidth="1"/>
    <col min="2" max="2" width="36.28515625" style="23" bestFit="1" customWidth="1"/>
    <col min="3" max="3" width="12.7109375" customWidth="1"/>
    <col min="4" max="4" width="24.7109375" bestFit="1" customWidth="1"/>
    <col min="5" max="5" width="23" customWidth="1"/>
    <col min="6" max="6" width="19.85546875" bestFit="1" customWidth="1"/>
    <col min="7" max="7" width="22.140625" bestFit="1" customWidth="1"/>
    <col min="8" max="8" width="23.7109375" bestFit="1" customWidth="1"/>
    <col min="9" max="9" width="12.28515625" bestFit="1" customWidth="1"/>
    <col min="10" max="10" width="29.28515625" bestFit="1" customWidth="1"/>
    <col min="11" max="11" width="15.7109375" bestFit="1" customWidth="1"/>
    <col min="12" max="12" width="15.28515625" bestFit="1" customWidth="1"/>
    <col min="13" max="13" width="18.28515625" bestFit="1" customWidth="1"/>
    <col min="14" max="14" width="19" bestFit="1" customWidth="1"/>
    <col min="15" max="15" width="21.42578125" bestFit="1" customWidth="1"/>
    <col min="18" max="18" width="22.140625" bestFit="1" customWidth="1"/>
    <col min="19" max="19" width="15.28515625" bestFit="1" customWidth="1"/>
    <col min="20" max="20" width="20.5703125" customWidth="1"/>
    <col min="21" max="21" width="40" customWidth="1"/>
    <col min="22" max="22" width="13.7109375" customWidth="1"/>
    <col min="23" max="23" width="12.5703125" customWidth="1"/>
  </cols>
  <sheetData>
    <row r="1" spans="1:24" s="8" customFormat="1" ht="30" x14ac:dyDescent="0.25">
      <c r="A1" s="5" t="s">
        <v>7</v>
      </c>
      <c r="B1" s="5" t="s">
        <v>376</v>
      </c>
      <c r="C1" s="5" t="s">
        <v>46</v>
      </c>
      <c r="D1" s="5" t="s">
        <v>8</v>
      </c>
      <c r="E1" s="5" t="s">
        <v>47</v>
      </c>
      <c r="F1" s="5" t="s">
        <v>10</v>
      </c>
      <c r="G1" s="5" t="s">
        <v>21</v>
      </c>
      <c r="H1" s="5" t="s">
        <v>20</v>
      </c>
      <c r="I1" s="5" t="s">
        <v>19</v>
      </c>
      <c r="J1" s="5" t="s">
        <v>18</v>
      </c>
      <c r="K1" s="5" t="s">
        <v>9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42</v>
      </c>
      <c r="T1" s="10" t="s">
        <v>52</v>
      </c>
      <c r="U1" s="11" t="s">
        <v>53</v>
      </c>
      <c r="V1" s="5" t="s">
        <v>44</v>
      </c>
      <c r="W1" s="5" t="s">
        <v>45</v>
      </c>
      <c r="X1" s="12"/>
    </row>
    <row r="2" spans="1:24" x14ac:dyDescent="0.25">
      <c r="A2" s="13">
        <v>1</v>
      </c>
      <c r="B2" s="24" t="s">
        <v>57</v>
      </c>
      <c r="C2" s="13">
        <v>184</v>
      </c>
      <c r="D2" s="13">
        <v>2</v>
      </c>
      <c r="E2" s="14">
        <v>679</v>
      </c>
      <c r="F2" s="13">
        <v>2</v>
      </c>
      <c r="G2" s="13">
        <v>0</v>
      </c>
      <c r="H2" s="13">
        <v>3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870</v>
      </c>
      <c r="O2" s="13">
        <v>0</v>
      </c>
      <c r="P2" s="13">
        <v>6</v>
      </c>
      <c r="Q2" s="13">
        <v>876</v>
      </c>
      <c r="R2" s="13">
        <v>0</v>
      </c>
      <c r="S2" s="13">
        <v>1111</v>
      </c>
      <c r="T2" s="13" t="str">
        <f>VLOOKUP(A2,'[1]210 RAU complete'!$A$1:$E$292,2,0)</f>
        <v>क्रांति कृपलानी नगर</v>
      </c>
      <c r="U2" s="13" t="str">
        <f>VLOOKUP(A2,'[1]210 RAU complete'!$A$1:$E$292,3,0)</f>
        <v>सिंधु भवन कांति कृपलानी नगर पूर्व भाग</v>
      </c>
      <c r="V2" s="13">
        <f t="shared" ref="V2:V65" si="0">MAX(E2,C2)-MIN(C2,E2)</f>
        <v>495</v>
      </c>
      <c r="W2" s="15">
        <f t="shared" ref="W2:W65" si="1">(Q2/S2)*100</f>
        <v>78.847884788478851</v>
      </c>
      <c r="X2" s="16"/>
    </row>
    <row r="3" spans="1:24" x14ac:dyDescent="0.25">
      <c r="A3" s="13">
        <v>2</v>
      </c>
      <c r="B3" s="24" t="s">
        <v>58</v>
      </c>
      <c r="C3" s="13">
        <v>239</v>
      </c>
      <c r="D3" s="13">
        <v>4</v>
      </c>
      <c r="E3" s="13">
        <v>628</v>
      </c>
      <c r="F3" s="13">
        <v>1</v>
      </c>
      <c r="G3" s="13">
        <v>0</v>
      </c>
      <c r="H3" s="13">
        <v>1</v>
      </c>
      <c r="I3" s="13">
        <v>0</v>
      </c>
      <c r="J3" s="13">
        <v>1</v>
      </c>
      <c r="K3" s="13">
        <v>5</v>
      </c>
      <c r="L3" s="13">
        <v>0</v>
      </c>
      <c r="M3" s="13">
        <v>0</v>
      </c>
      <c r="N3" s="13">
        <v>879</v>
      </c>
      <c r="O3" s="13">
        <v>0</v>
      </c>
      <c r="P3" s="13">
        <v>8</v>
      </c>
      <c r="Q3" s="13">
        <v>887</v>
      </c>
      <c r="R3" s="13">
        <v>0</v>
      </c>
      <c r="S3" s="13">
        <v>1282</v>
      </c>
      <c r="T3" s="13" t="str">
        <f>VLOOKUP(A3,'[1]210 RAU complete'!$A$1:$E$292,2,0)</f>
        <v>क्रांति कृपलानी नगर</v>
      </c>
      <c r="U3" s="13" t="str">
        <f>VLOOKUP(A3,'[1]210 RAU complete'!$A$1:$E$292,3,0)</f>
        <v>सिंधु भवन क्रांति कृपलानी नगर पश्चिम भाग</v>
      </c>
      <c r="V3" s="13">
        <f t="shared" si="0"/>
        <v>389</v>
      </c>
      <c r="W3" s="15">
        <f t="shared" si="1"/>
        <v>69.188767550702025</v>
      </c>
      <c r="X3" s="16"/>
    </row>
    <row r="4" spans="1:24" x14ac:dyDescent="0.25">
      <c r="A4" s="13">
        <v>3</v>
      </c>
      <c r="B4" s="24" t="s">
        <v>59</v>
      </c>
      <c r="C4" s="13">
        <v>456</v>
      </c>
      <c r="D4" s="13">
        <v>8</v>
      </c>
      <c r="E4" s="13">
        <v>497</v>
      </c>
      <c r="F4" s="13">
        <v>1</v>
      </c>
      <c r="G4" s="13">
        <v>2</v>
      </c>
      <c r="H4" s="13">
        <v>0</v>
      </c>
      <c r="I4" s="13">
        <v>1</v>
      </c>
      <c r="J4" s="13">
        <v>1</v>
      </c>
      <c r="K4" s="13">
        <v>2</v>
      </c>
      <c r="L4" s="13">
        <v>1</v>
      </c>
      <c r="M4" s="13">
        <v>1</v>
      </c>
      <c r="N4" s="13">
        <v>970</v>
      </c>
      <c r="O4" s="13">
        <v>0</v>
      </c>
      <c r="P4" s="13">
        <v>8</v>
      </c>
      <c r="Q4" s="13">
        <v>978</v>
      </c>
      <c r="R4" s="13">
        <v>0</v>
      </c>
      <c r="S4" s="13">
        <v>1332</v>
      </c>
      <c r="T4" s="13" t="str">
        <f>VLOOKUP(A4,'[1]210 RAU complete'!$A$1:$E$292,2,0)</f>
        <v>क्रांति कृपलानी नगर</v>
      </c>
      <c r="U4" s="13" t="str">
        <f>VLOOKUP(A4,'[1]210 RAU complete'!$A$1:$E$292,3,0)</f>
        <v>सिन्धु भवन क्रांति कृपलानी नगर दक्षिण भाग</v>
      </c>
      <c r="V4" s="13">
        <f t="shared" si="0"/>
        <v>41</v>
      </c>
      <c r="W4" s="15">
        <f t="shared" si="1"/>
        <v>73.423423423423429</v>
      </c>
      <c r="X4" s="16"/>
    </row>
    <row r="5" spans="1:24" x14ac:dyDescent="0.25">
      <c r="A5" s="13">
        <v>4</v>
      </c>
      <c r="B5" s="24" t="s">
        <v>60</v>
      </c>
      <c r="C5" s="13">
        <v>248</v>
      </c>
      <c r="D5" s="13">
        <v>3</v>
      </c>
      <c r="E5" s="13">
        <v>692</v>
      </c>
      <c r="F5" s="13">
        <v>2</v>
      </c>
      <c r="G5" s="13">
        <v>0</v>
      </c>
      <c r="H5" s="13">
        <v>0</v>
      </c>
      <c r="I5" s="13">
        <v>0</v>
      </c>
      <c r="J5" s="13">
        <v>0</v>
      </c>
      <c r="K5" s="13">
        <v>9</v>
      </c>
      <c r="L5" s="13">
        <v>0</v>
      </c>
      <c r="M5" s="13">
        <v>0</v>
      </c>
      <c r="N5" s="13">
        <v>954</v>
      </c>
      <c r="O5" s="13">
        <v>0</v>
      </c>
      <c r="P5" s="13">
        <v>7</v>
      </c>
      <c r="Q5" s="13">
        <v>961</v>
      </c>
      <c r="R5" s="13">
        <v>0</v>
      </c>
      <c r="S5" s="13">
        <v>1388</v>
      </c>
      <c r="T5" s="13" t="str">
        <f>VLOOKUP(A5,'[1]210 RAU complete'!$A$1:$E$292,2,0)</f>
        <v>अन्नपुर्णा रोड</v>
      </c>
      <c r="U5" s="13" t="str">
        <f>VLOOKUP(A5,'[1]210 RAU complete'!$A$1:$E$292,3,0)</f>
        <v>एनी बेसेन्ट स्कुल प्रिकांको कॉलोनी कमरा न. 3</v>
      </c>
      <c r="V5" s="13">
        <f t="shared" si="0"/>
        <v>444</v>
      </c>
      <c r="W5" s="15">
        <f t="shared" si="1"/>
        <v>69.236311239193085</v>
      </c>
      <c r="X5" s="16"/>
    </row>
    <row r="6" spans="1:24" x14ac:dyDescent="0.25">
      <c r="A6" s="13">
        <v>5</v>
      </c>
      <c r="B6" s="24" t="s">
        <v>61</v>
      </c>
      <c r="C6" s="13">
        <v>281</v>
      </c>
      <c r="D6" s="13">
        <v>1</v>
      </c>
      <c r="E6" s="13">
        <v>763</v>
      </c>
      <c r="F6" s="13">
        <v>1</v>
      </c>
      <c r="G6" s="13">
        <v>0</v>
      </c>
      <c r="H6" s="13">
        <v>0</v>
      </c>
      <c r="I6" s="13">
        <v>0</v>
      </c>
      <c r="J6" s="13">
        <v>0</v>
      </c>
      <c r="K6" s="13">
        <v>2</v>
      </c>
      <c r="L6" s="13">
        <v>0</v>
      </c>
      <c r="M6" s="13">
        <v>0</v>
      </c>
      <c r="N6" s="13">
        <v>1048</v>
      </c>
      <c r="O6" s="13">
        <v>0</v>
      </c>
      <c r="P6" s="13">
        <v>12</v>
      </c>
      <c r="Q6" s="13">
        <v>1060</v>
      </c>
      <c r="R6" s="13">
        <v>0</v>
      </c>
      <c r="S6" s="13">
        <v>1485</v>
      </c>
      <c r="T6" s="13" t="str">
        <f>VLOOKUP(A6,'[1]210 RAU complete'!$A$1:$E$292,2,0)</f>
        <v>नर्मदा नगर</v>
      </c>
      <c r="U6" s="13" t="str">
        <f>VLOOKUP(A6,'[1]210 RAU complete'!$A$1:$E$292,3,0)</f>
        <v>नर्मदा पैलेस क.न. 1 चाणक्यपुरी चौराहा</v>
      </c>
      <c r="V6" s="13">
        <f t="shared" si="0"/>
        <v>482</v>
      </c>
      <c r="W6" s="15">
        <f t="shared" si="1"/>
        <v>71.380471380471377</v>
      </c>
      <c r="X6" s="16"/>
    </row>
    <row r="7" spans="1:24" x14ac:dyDescent="0.25">
      <c r="A7" s="13">
        <v>6</v>
      </c>
      <c r="B7" s="24" t="s">
        <v>62</v>
      </c>
      <c r="C7" s="13">
        <v>185</v>
      </c>
      <c r="D7" s="13">
        <v>3</v>
      </c>
      <c r="E7" s="13">
        <v>680</v>
      </c>
      <c r="F7" s="13">
        <v>1</v>
      </c>
      <c r="G7" s="13">
        <v>0</v>
      </c>
      <c r="H7" s="13">
        <v>0</v>
      </c>
      <c r="I7" s="13">
        <v>0</v>
      </c>
      <c r="J7" s="13">
        <v>0</v>
      </c>
      <c r="K7" s="13">
        <v>2</v>
      </c>
      <c r="L7" s="13">
        <v>0</v>
      </c>
      <c r="M7" s="13">
        <v>0</v>
      </c>
      <c r="N7" s="13">
        <v>871</v>
      </c>
      <c r="O7" s="13">
        <v>0</v>
      </c>
      <c r="P7" s="13">
        <v>13</v>
      </c>
      <c r="Q7" s="13">
        <v>884</v>
      </c>
      <c r="R7" s="13">
        <v>0</v>
      </c>
      <c r="S7" s="13">
        <v>1200</v>
      </c>
      <c r="T7" s="13" t="str">
        <f>VLOOKUP(A7,'[1]210 RAU complete'!$A$1:$E$292,2,0)</f>
        <v>प्रिकांको कॉलोनी</v>
      </c>
      <c r="U7" s="13" t="str">
        <f>VLOOKUP(A7,'[1]210 RAU complete'!$A$1:$E$292,3,0)</f>
        <v>एनी बेसेन्ट स्कूल प्रिकांको कॉलोनी कमरा न. 1</v>
      </c>
      <c r="V7" s="13">
        <f t="shared" si="0"/>
        <v>495</v>
      </c>
      <c r="W7" s="15">
        <f t="shared" si="1"/>
        <v>73.666666666666671</v>
      </c>
      <c r="X7" s="16"/>
    </row>
    <row r="8" spans="1:24" x14ac:dyDescent="0.25">
      <c r="A8" s="13">
        <v>7</v>
      </c>
      <c r="B8" s="24" t="s">
        <v>63</v>
      </c>
      <c r="C8" s="13">
        <v>297</v>
      </c>
      <c r="D8" s="13">
        <v>7</v>
      </c>
      <c r="E8" s="13">
        <v>683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5</v>
      </c>
      <c r="L8" s="13">
        <v>0</v>
      </c>
      <c r="M8" s="13">
        <v>0</v>
      </c>
      <c r="N8" s="13">
        <v>994</v>
      </c>
      <c r="O8" s="13">
        <v>0</v>
      </c>
      <c r="P8" s="13">
        <v>13</v>
      </c>
      <c r="Q8" s="13">
        <v>1007</v>
      </c>
      <c r="R8" s="13">
        <v>0</v>
      </c>
      <c r="S8" s="13">
        <v>1380</v>
      </c>
      <c r="T8" s="13" t="str">
        <f>VLOOKUP(A8,'[1]210 RAU complete'!$A$1:$E$292,2,0)</f>
        <v>प्रिकांको कालोनी</v>
      </c>
      <c r="U8" s="13" t="str">
        <f>VLOOKUP(A8,'[1]210 RAU complete'!$A$1:$E$292,3,0)</f>
        <v>एनी बेसेन्ट स्कूल प्रिकांको कॉलोनी कमरा न. 2</v>
      </c>
      <c r="V8" s="13">
        <f t="shared" si="0"/>
        <v>386</v>
      </c>
      <c r="W8" s="15">
        <f t="shared" si="1"/>
        <v>72.971014492753625</v>
      </c>
      <c r="X8" s="16"/>
    </row>
    <row r="9" spans="1:24" x14ac:dyDescent="0.25">
      <c r="A9" s="13">
        <v>8</v>
      </c>
      <c r="B9" s="24" t="s">
        <v>64</v>
      </c>
      <c r="C9" s="13">
        <v>255</v>
      </c>
      <c r="D9" s="13">
        <v>3</v>
      </c>
      <c r="E9" s="13">
        <v>847</v>
      </c>
      <c r="F9" s="13">
        <v>3</v>
      </c>
      <c r="G9" s="13">
        <v>0</v>
      </c>
      <c r="H9" s="13">
        <v>0</v>
      </c>
      <c r="I9" s="13">
        <v>0</v>
      </c>
      <c r="J9" s="13">
        <v>0</v>
      </c>
      <c r="K9" s="13">
        <v>8</v>
      </c>
      <c r="L9" s="13">
        <v>0</v>
      </c>
      <c r="M9" s="13">
        <v>0</v>
      </c>
      <c r="N9" s="13">
        <v>1116</v>
      </c>
      <c r="O9" s="13">
        <v>0</v>
      </c>
      <c r="P9" s="13">
        <v>7</v>
      </c>
      <c r="Q9" s="13">
        <v>1123</v>
      </c>
      <c r="R9" s="13">
        <v>0</v>
      </c>
      <c r="S9" s="13">
        <v>1511</v>
      </c>
      <c r="T9" s="13" t="str">
        <f>VLOOKUP(A9,'[1]210 RAU complete'!$A$1:$E$292,2,0)</f>
        <v>प्रिकांको कालोनी</v>
      </c>
      <c r="U9" s="13" t="str">
        <f>VLOOKUP(A9,'[1]210 RAU complete'!$A$1:$E$292,3,0)</f>
        <v>दयानंद हा.से. स्कूल क.न. 2</v>
      </c>
      <c r="V9" s="13">
        <f t="shared" si="0"/>
        <v>592</v>
      </c>
      <c r="W9" s="15">
        <f t="shared" si="1"/>
        <v>74.321641297154201</v>
      </c>
      <c r="X9" s="16"/>
    </row>
    <row r="10" spans="1:24" x14ac:dyDescent="0.25">
      <c r="A10" s="13">
        <v>9</v>
      </c>
      <c r="B10" s="24" t="s">
        <v>65</v>
      </c>
      <c r="C10" s="13">
        <v>188</v>
      </c>
      <c r="D10" s="13">
        <v>0</v>
      </c>
      <c r="E10" s="13">
        <v>644</v>
      </c>
      <c r="F10" s="13">
        <v>1</v>
      </c>
      <c r="G10" s="13">
        <v>0</v>
      </c>
      <c r="H10" s="13">
        <v>0</v>
      </c>
      <c r="I10" s="13">
        <v>0</v>
      </c>
      <c r="J10" s="13">
        <v>0</v>
      </c>
      <c r="K10" s="13">
        <v>4</v>
      </c>
      <c r="L10" s="13">
        <v>0</v>
      </c>
      <c r="M10" s="13">
        <v>0</v>
      </c>
      <c r="N10" s="13">
        <v>837</v>
      </c>
      <c r="O10" s="13">
        <v>0</v>
      </c>
      <c r="P10" s="13">
        <v>2</v>
      </c>
      <c r="Q10" s="13">
        <v>839</v>
      </c>
      <c r="R10" s="13">
        <v>0</v>
      </c>
      <c r="S10" s="13">
        <v>1223</v>
      </c>
      <c r="T10" s="13" t="str">
        <f>VLOOKUP(A10,'[1]210 RAU complete'!$A$1:$E$292,2,0)</f>
        <v>वैशाली नगर</v>
      </c>
      <c r="U10" s="13" t="str">
        <f>VLOOKUP(A10,'[1]210 RAU complete'!$A$1:$E$292,3,0)</f>
        <v>माधव विद्या पीठ अहिल्या नगर क.न. 1</v>
      </c>
      <c r="V10" s="13">
        <f t="shared" si="0"/>
        <v>456</v>
      </c>
      <c r="W10" s="15">
        <f t="shared" si="1"/>
        <v>68.601798855273927</v>
      </c>
      <c r="X10" s="16"/>
    </row>
    <row r="11" spans="1:24" x14ac:dyDescent="0.25">
      <c r="A11" s="13">
        <v>10</v>
      </c>
      <c r="B11" s="24" t="s">
        <v>66</v>
      </c>
      <c r="C11" s="13">
        <v>362</v>
      </c>
      <c r="D11" s="13">
        <v>0</v>
      </c>
      <c r="E11" s="13">
        <v>680</v>
      </c>
      <c r="F11" s="13">
        <v>1</v>
      </c>
      <c r="G11" s="13">
        <v>0</v>
      </c>
      <c r="H11" s="13">
        <v>1</v>
      </c>
      <c r="I11" s="13">
        <v>0</v>
      </c>
      <c r="J11" s="13">
        <v>1</v>
      </c>
      <c r="K11" s="13">
        <v>5</v>
      </c>
      <c r="L11" s="13">
        <v>1</v>
      </c>
      <c r="M11" s="13">
        <v>0</v>
      </c>
      <c r="N11" s="13">
        <v>1051</v>
      </c>
      <c r="O11" s="13">
        <v>0</v>
      </c>
      <c r="P11" s="13">
        <v>8</v>
      </c>
      <c r="Q11" s="13">
        <v>1059</v>
      </c>
      <c r="R11" s="13">
        <v>0</v>
      </c>
      <c r="S11" s="13">
        <v>1511</v>
      </c>
      <c r="T11" s="13" t="str">
        <f>VLOOKUP(A11,'[1]210 RAU complete'!$A$1:$E$292,2,0)</f>
        <v>अहिल्या नगर</v>
      </c>
      <c r="U11" s="13" t="str">
        <f>VLOOKUP(A11,'[1]210 RAU complete'!$A$1:$E$292,3,0)</f>
        <v>माधव विद्यापीठ अहिल्या नगर क.नं. 2</v>
      </c>
      <c r="V11" s="13">
        <f t="shared" si="0"/>
        <v>318</v>
      </c>
      <c r="W11" s="15">
        <f t="shared" si="1"/>
        <v>70.086035737921904</v>
      </c>
      <c r="X11" s="16"/>
    </row>
    <row r="12" spans="1:24" x14ac:dyDescent="0.25">
      <c r="A12" s="13">
        <v>11</v>
      </c>
      <c r="B12" s="24" t="s">
        <v>67</v>
      </c>
      <c r="C12" s="13">
        <v>235</v>
      </c>
      <c r="D12" s="13">
        <v>2</v>
      </c>
      <c r="E12" s="13">
        <v>601</v>
      </c>
      <c r="F12" s="13">
        <v>2</v>
      </c>
      <c r="G12" s="13">
        <v>0</v>
      </c>
      <c r="H12" s="13">
        <v>1</v>
      </c>
      <c r="I12" s="13">
        <v>0</v>
      </c>
      <c r="J12" s="13">
        <v>0</v>
      </c>
      <c r="K12" s="13">
        <v>1</v>
      </c>
      <c r="L12" s="13">
        <v>1</v>
      </c>
      <c r="M12" s="13">
        <v>1</v>
      </c>
      <c r="N12" s="13">
        <v>844</v>
      </c>
      <c r="O12" s="13">
        <v>0</v>
      </c>
      <c r="P12" s="13">
        <v>6</v>
      </c>
      <c r="Q12" s="13">
        <v>850</v>
      </c>
      <c r="R12" s="13">
        <v>0</v>
      </c>
      <c r="S12" s="13">
        <v>1230</v>
      </c>
      <c r="T12" s="13" t="str">
        <f>VLOOKUP(A12,'[1]210 RAU complete'!$A$1:$E$292,2,0)</f>
        <v>अहिल्या नगर</v>
      </c>
      <c r="U12" s="13" t="str">
        <f>VLOOKUP(A12,'[1]210 RAU complete'!$A$1:$E$292,3,0)</f>
        <v>माधव विद्यापीठ अहिल्या नगर वैशाली नगर कमरा न 3</v>
      </c>
      <c r="V12" s="13">
        <f t="shared" si="0"/>
        <v>366</v>
      </c>
      <c r="W12" s="15">
        <f t="shared" si="1"/>
        <v>69.105691056910572</v>
      </c>
      <c r="X12" s="16"/>
    </row>
    <row r="13" spans="1:24" x14ac:dyDescent="0.25">
      <c r="A13" s="13">
        <v>12</v>
      </c>
      <c r="B13" s="24" t="s">
        <v>68</v>
      </c>
      <c r="C13" s="13">
        <v>282</v>
      </c>
      <c r="D13" s="13">
        <v>0</v>
      </c>
      <c r="E13" s="13">
        <v>380</v>
      </c>
      <c r="F13" s="13">
        <v>3</v>
      </c>
      <c r="G13" s="13">
        <v>0</v>
      </c>
      <c r="H13" s="13">
        <v>1</v>
      </c>
      <c r="I13" s="13">
        <v>0</v>
      </c>
      <c r="J13" s="13">
        <v>0</v>
      </c>
      <c r="K13" s="13">
        <v>0</v>
      </c>
      <c r="L13" s="13">
        <v>1</v>
      </c>
      <c r="M13" s="13">
        <v>0</v>
      </c>
      <c r="N13" s="13">
        <v>667</v>
      </c>
      <c r="O13" s="13">
        <v>0</v>
      </c>
      <c r="P13" s="13">
        <v>5</v>
      </c>
      <c r="Q13" s="13">
        <v>672</v>
      </c>
      <c r="R13" s="13">
        <v>0</v>
      </c>
      <c r="S13" s="13">
        <v>859</v>
      </c>
      <c r="T13" s="13" t="str">
        <f>VLOOKUP(A13,'[1]210 RAU complete'!$A$1:$E$292,2,0)</f>
        <v>सूर्यदेव नगर</v>
      </c>
      <c r="U13" s="13" t="str">
        <f>VLOOKUP(A13,'[1]210 RAU complete'!$A$1:$E$292,3,0)</f>
        <v>पांचाल धर्मशाला सुर्यदेव नगर पूर्व भाग</v>
      </c>
      <c r="V13" s="13">
        <f t="shared" si="0"/>
        <v>98</v>
      </c>
      <c r="W13" s="15">
        <f t="shared" si="1"/>
        <v>78.230500582072182</v>
      </c>
      <c r="X13" s="16"/>
    </row>
    <row r="14" spans="1:24" x14ac:dyDescent="0.25">
      <c r="A14" s="13">
        <v>13</v>
      </c>
      <c r="B14" s="24" t="s">
        <v>69</v>
      </c>
      <c r="C14" s="13">
        <v>293</v>
      </c>
      <c r="D14" s="13">
        <v>2</v>
      </c>
      <c r="E14" s="13">
        <v>676</v>
      </c>
      <c r="F14" s="13">
        <v>3</v>
      </c>
      <c r="G14" s="13">
        <v>1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975</v>
      </c>
      <c r="O14" s="13">
        <v>0</v>
      </c>
      <c r="P14" s="13">
        <v>5</v>
      </c>
      <c r="Q14" s="13">
        <v>980</v>
      </c>
      <c r="R14" s="13">
        <v>0</v>
      </c>
      <c r="S14" s="13">
        <v>1247</v>
      </c>
      <c r="T14" s="13" t="str">
        <f>VLOOKUP(A14,'[1]210 RAU complete'!$A$1:$E$292,2,0)</f>
        <v>सत्यदेव नगर</v>
      </c>
      <c r="U14" s="13" t="str">
        <f>VLOOKUP(A14,'[1]210 RAU complete'!$A$1:$E$292,3,0)</f>
        <v>पांचाल धर्मशाला सुर्यदेव नगर पश्चिम भाग</v>
      </c>
      <c r="V14" s="13">
        <f t="shared" si="0"/>
        <v>383</v>
      </c>
      <c r="W14" s="15">
        <f t="shared" si="1"/>
        <v>78.588612670408992</v>
      </c>
      <c r="X14" s="16"/>
    </row>
    <row r="15" spans="1:24" x14ac:dyDescent="0.25">
      <c r="A15" s="13">
        <v>14</v>
      </c>
      <c r="B15" s="24" t="s">
        <v>70</v>
      </c>
      <c r="C15" s="13">
        <v>197</v>
      </c>
      <c r="D15" s="13">
        <v>1</v>
      </c>
      <c r="E15" s="13">
        <v>555</v>
      </c>
      <c r="F15" s="13">
        <v>1</v>
      </c>
      <c r="G15" s="13">
        <v>0</v>
      </c>
      <c r="H15" s="13">
        <v>0</v>
      </c>
      <c r="I15" s="13">
        <v>0</v>
      </c>
      <c r="J15" s="13">
        <v>0</v>
      </c>
      <c r="K15" s="13">
        <v>2</v>
      </c>
      <c r="L15" s="13">
        <v>0</v>
      </c>
      <c r="M15" s="13">
        <v>0</v>
      </c>
      <c r="N15" s="13">
        <v>756</v>
      </c>
      <c r="O15" s="13">
        <v>0</v>
      </c>
      <c r="P15" s="13">
        <v>6</v>
      </c>
      <c r="Q15" s="13">
        <v>762</v>
      </c>
      <c r="R15" s="13">
        <v>0</v>
      </c>
      <c r="S15" s="13">
        <v>1261</v>
      </c>
      <c r="T15" s="13" t="str">
        <f>VLOOKUP(A15,'[1]210 RAU complete'!$A$1:$E$292,2,0)</f>
        <v>अहिल्या नगर</v>
      </c>
      <c r="U15" s="13" t="str">
        <f>VLOOKUP(A15,'[1]210 RAU complete'!$A$1:$E$292,3,0)</f>
        <v>दयानन्द हायर सेकेन्डरी स्कूल कक्ष क 1</v>
      </c>
      <c r="V15" s="13">
        <f t="shared" si="0"/>
        <v>358</v>
      </c>
      <c r="W15" s="15">
        <f t="shared" si="1"/>
        <v>60.428231562252179</v>
      </c>
      <c r="X15" s="16"/>
    </row>
    <row r="16" spans="1:24" x14ac:dyDescent="0.25">
      <c r="A16" s="13">
        <v>15</v>
      </c>
      <c r="B16" s="24" t="s">
        <v>71</v>
      </c>
      <c r="C16" s="13">
        <v>281</v>
      </c>
      <c r="D16" s="13">
        <v>3</v>
      </c>
      <c r="E16" s="13">
        <v>700</v>
      </c>
      <c r="F16" s="13">
        <v>3</v>
      </c>
      <c r="G16" s="13">
        <v>0</v>
      </c>
      <c r="H16" s="13">
        <v>0</v>
      </c>
      <c r="I16" s="13">
        <v>1</v>
      </c>
      <c r="J16" s="13">
        <v>0</v>
      </c>
      <c r="K16" s="13">
        <v>2</v>
      </c>
      <c r="L16" s="13">
        <v>1</v>
      </c>
      <c r="M16" s="13">
        <v>1</v>
      </c>
      <c r="N16" s="13">
        <v>992</v>
      </c>
      <c r="O16" s="13">
        <v>0</v>
      </c>
      <c r="P16" s="13">
        <v>11</v>
      </c>
      <c r="Q16" s="13">
        <v>1003</v>
      </c>
      <c r="R16" s="13">
        <v>0</v>
      </c>
      <c r="S16" s="13">
        <v>1387</v>
      </c>
      <c r="T16" s="13" t="str">
        <f>VLOOKUP(A16,'[1]210 RAU complete'!$A$1:$E$292,2,0)</f>
        <v>अहिल्या नगर</v>
      </c>
      <c r="U16" s="13" t="str">
        <f>VLOOKUP(A16,'[1]210 RAU complete'!$A$1:$E$292,3,0)</f>
        <v>पांचाल धर्मशाला सूर्यदेव नगर उत्तर भाग</v>
      </c>
      <c r="V16" s="13">
        <f t="shared" si="0"/>
        <v>419</v>
      </c>
      <c r="W16" s="15">
        <f t="shared" si="1"/>
        <v>72.314347512617161</v>
      </c>
      <c r="X16" s="16" t="s">
        <v>48</v>
      </c>
    </row>
    <row r="17" spans="1:24" x14ac:dyDescent="0.25">
      <c r="A17" s="13">
        <v>16</v>
      </c>
      <c r="B17" s="24" t="s">
        <v>72</v>
      </c>
      <c r="C17" s="13">
        <v>313</v>
      </c>
      <c r="D17" s="13">
        <v>3</v>
      </c>
      <c r="E17" s="13">
        <v>686</v>
      </c>
      <c r="F17" s="13">
        <v>1</v>
      </c>
      <c r="G17" s="13">
        <v>0</v>
      </c>
      <c r="H17" s="13">
        <v>0</v>
      </c>
      <c r="I17" s="13">
        <v>0</v>
      </c>
      <c r="J17" s="13">
        <v>1</v>
      </c>
      <c r="K17" s="13">
        <v>2</v>
      </c>
      <c r="L17" s="13">
        <v>0</v>
      </c>
      <c r="M17" s="13">
        <v>1</v>
      </c>
      <c r="N17" s="13">
        <v>1007</v>
      </c>
      <c r="O17" s="13">
        <v>0</v>
      </c>
      <c r="P17" s="13">
        <v>10</v>
      </c>
      <c r="Q17" s="13">
        <v>1017</v>
      </c>
      <c r="R17" s="13">
        <v>0</v>
      </c>
      <c r="S17" s="13">
        <v>1412</v>
      </c>
      <c r="T17" s="13" t="str">
        <f>VLOOKUP(A17,'[1]210 RAU complete'!$A$1:$E$292,2,0)</f>
        <v>सूर्यदेव नगर</v>
      </c>
      <c r="U17" s="13" t="str">
        <f>VLOOKUP(A17,'[1]210 RAU complete'!$A$1:$E$292,3,0)</f>
        <v>सेंट मेरी चैम्पियन स्कूल उत्तर तरफ का गेट के पास का कक्ष क्र. 1</v>
      </c>
      <c r="V17" s="13">
        <f t="shared" si="0"/>
        <v>373</v>
      </c>
      <c r="W17" s="15">
        <f t="shared" si="1"/>
        <v>72.025495750708217</v>
      </c>
      <c r="X17" s="16"/>
    </row>
    <row r="18" spans="1:24" x14ac:dyDescent="0.25">
      <c r="A18" s="13">
        <v>17</v>
      </c>
      <c r="B18" s="24" t="s">
        <v>73</v>
      </c>
      <c r="C18" s="13">
        <v>319</v>
      </c>
      <c r="D18" s="13">
        <v>12</v>
      </c>
      <c r="E18" s="13">
        <v>679</v>
      </c>
      <c r="F18" s="13">
        <v>4</v>
      </c>
      <c r="G18" s="13">
        <v>1</v>
      </c>
      <c r="H18" s="13">
        <v>1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1016</v>
      </c>
      <c r="O18" s="13">
        <v>0</v>
      </c>
      <c r="P18" s="13">
        <v>13</v>
      </c>
      <c r="Q18" s="13">
        <v>1029</v>
      </c>
      <c r="R18" s="13">
        <v>0</v>
      </c>
      <c r="S18" s="13">
        <v>1417</v>
      </c>
      <c r="T18" s="13" t="str">
        <f>VLOOKUP(A18,'[1]210 RAU complete'!$A$1:$E$292,2,0)</f>
        <v>सूर्यदेव नगर</v>
      </c>
      <c r="U18" s="13" t="str">
        <f>VLOOKUP(A18,'[1]210 RAU complete'!$A$1:$E$292,3,0)</f>
        <v>सेंट मेरी चैम्पियन स्कूल उत्तर तरफ का गेट के पास का कक्ष कमरा न 2</v>
      </c>
      <c r="V18" s="13">
        <f t="shared" si="0"/>
        <v>360</v>
      </c>
      <c r="W18" s="15">
        <f t="shared" si="1"/>
        <v>72.618207480592801</v>
      </c>
      <c r="X18" s="16"/>
    </row>
    <row r="19" spans="1:24" x14ac:dyDescent="0.25">
      <c r="A19" s="13">
        <v>18</v>
      </c>
      <c r="B19" s="24" t="s">
        <v>74</v>
      </c>
      <c r="C19" s="13">
        <v>234</v>
      </c>
      <c r="D19" s="13">
        <v>0</v>
      </c>
      <c r="E19" s="13">
        <v>673</v>
      </c>
      <c r="F19" s="13">
        <v>2</v>
      </c>
      <c r="G19" s="13">
        <v>0</v>
      </c>
      <c r="H19" s="13">
        <v>2</v>
      </c>
      <c r="I19" s="13">
        <v>0</v>
      </c>
      <c r="J19" s="13">
        <v>0</v>
      </c>
      <c r="K19" s="13">
        <v>2</v>
      </c>
      <c r="L19" s="13">
        <v>0</v>
      </c>
      <c r="M19" s="13">
        <v>4</v>
      </c>
      <c r="N19" s="13">
        <v>917</v>
      </c>
      <c r="O19" s="13">
        <v>0</v>
      </c>
      <c r="P19" s="13">
        <v>7</v>
      </c>
      <c r="Q19" s="13">
        <v>924</v>
      </c>
      <c r="R19" s="13">
        <v>0</v>
      </c>
      <c r="S19" s="13">
        <v>1200</v>
      </c>
      <c r="T19" s="13" t="str">
        <f>VLOOKUP(A19,'[1]210 RAU complete'!$A$1:$E$292,2,0)</f>
        <v>सूर्यदेव नगर</v>
      </c>
      <c r="U19" s="13" t="str">
        <f>VLOOKUP(A19,'[1]210 RAU complete'!$A$1:$E$292,3,0)</f>
        <v>सेंटमेरी चैम्पियन स्कुल उत्तर तरफ का गेट के पास का कक्ष कमरा न 3</v>
      </c>
      <c r="V19" s="13">
        <f t="shared" si="0"/>
        <v>439</v>
      </c>
      <c r="W19" s="15">
        <f t="shared" si="1"/>
        <v>77</v>
      </c>
      <c r="X19" s="16"/>
    </row>
    <row r="20" spans="1:24" x14ac:dyDescent="0.25">
      <c r="A20" s="13">
        <v>19</v>
      </c>
      <c r="B20" s="24" t="s">
        <v>75</v>
      </c>
      <c r="C20" s="13">
        <v>330</v>
      </c>
      <c r="D20" s="13">
        <v>4</v>
      </c>
      <c r="E20" s="13">
        <v>656</v>
      </c>
      <c r="F20" s="13">
        <v>2</v>
      </c>
      <c r="G20" s="13">
        <v>0</v>
      </c>
      <c r="H20" s="13">
        <v>0</v>
      </c>
      <c r="I20" s="13">
        <v>0</v>
      </c>
      <c r="J20" s="13">
        <v>0</v>
      </c>
      <c r="K20" s="13">
        <v>3</v>
      </c>
      <c r="L20" s="13">
        <v>1</v>
      </c>
      <c r="M20" s="13">
        <v>1</v>
      </c>
      <c r="N20" s="13">
        <v>997</v>
      </c>
      <c r="O20" s="13">
        <v>0</v>
      </c>
      <c r="P20" s="13">
        <v>7</v>
      </c>
      <c r="Q20" s="13">
        <v>1004</v>
      </c>
      <c r="R20" s="13">
        <v>0</v>
      </c>
      <c r="S20" s="13">
        <v>1346</v>
      </c>
      <c r="T20" s="13" t="str">
        <f>VLOOKUP(A20,'[1]210 RAU complete'!$A$1:$E$292,2,0)</f>
        <v>सूर्यदेव नगर</v>
      </c>
      <c r="U20" s="13" t="str">
        <f>VLOOKUP(A20,'[1]210 RAU complete'!$A$1:$E$292,3,0)</f>
        <v>सेंटमेरी चैम्पियन स्कूल कमरा नंबर 4 दक्षिण भाग</v>
      </c>
      <c r="V20" s="13">
        <f t="shared" si="0"/>
        <v>326</v>
      </c>
      <c r="W20" s="15">
        <f t="shared" si="1"/>
        <v>74.591381872213972</v>
      </c>
      <c r="X20" s="16"/>
    </row>
    <row r="21" spans="1:24" x14ac:dyDescent="0.25">
      <c r="A21" s="13">
        <v>20</v>
      </c>
      <c r="B21" s="24" t="s">
        <v>76</v>
      </c>
      <c r="C21" s="13">
        <v>217</v>
      </c>
      <c r="D21" s="13">
        <v>4</v>
      </c>
      <c r="E21" s="13">
        <v>732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5</v>
      </c>
      <c r="L21" s="13">
        <v>0</v>
      </c>
      <c r="M21" s="13">
        <v>1</v>
      </c>
      <c r="N21" s="13">
        <v>959</v>
      </c>
      <c r="O21" s="13">
        <v>0</v>
      </c>
      <c r="P21" s="13">
        <v>5</v>
      </c>
      <c r="Q21" s="13">
        <v>964</v>
      </c>
      <c r="R21" s="13">
        <v>0</v>
      </c>
      <c r="S21" s="13">
        <v>1486</v>
      </c>
      <c r="T21" s="13" t="str">
        <f>VLOOKUP(A21,'[1]210 RAU complete'!$A$1:$E$292,2,0)</f>
        <v>नर्मदा नगर</v>
      </c>
      <c r="U21" s="13" t="str">
        <f>VLOOKUP(A21,'[1]210 RAU complete'!$A$1:$E$292,3,0)</f>
        <v>नर्मदा पैलेस स्कूल क.न. 2 चाणक्यपुरी चौराहा</v>
      </c>
      <c r="V21" s="13">
        <f t="shared" si="0"/>
        <v>515</v>
      </c>
      <c r="W21" s="15">
        <f t="shared" si="1"/>
        <v>64.872139973082099</v>
      </c>
      <c r="X21" s="16"/>
    </row>
    <row r="22" spans="1:24" x14ac:dyDescent="0.25">
      <c r="A22" s="13">
        <v>21</v>
      </c>
      <c r="B22" s="24" t="s">
        <v>77</v>
      </c>
      <c r="C22" s="13">
        <v>177</v>
      </c>
      <c r="D22" s="13">
        <v>1</v>
      </c>
      <c r="E22" s="13">
        <v>646</v>
      </c>
      <c r="F22" s="13">
        <v>4</v>
      </c>
      <c r="G22" s="13">
        <v>0</v>
      </c>
      <c r="H22" s="13">
        <v>0</v>
      </c>
      <c r="I22" s="13">
        <v>0</v>
      </c>
      <c r="J22" s="13">
        <v>0</v>
      </c>
      <c r="K22" s="13">
        <v>2</v>
      </c>
      <c r="L22" s="13">
        <v>0</v>
      </c>
      <c r="M22" s="13">
        <v>0</v>
      </c>
      <c r="N22" s="13">
        <v>830</v>
      </c>
      <c r="O22" s="13">
        <v>0</v>
      </c>
      <c r="P22" s="13">
        <v>13</v>
      </c>
      <c r="Q22" s="13">
        <v>843</v>
      </c>
      <c r="R22" s="13">
        <v>0</v>
      </c>
      <c r="S22" s="13">
        <v>1163</v>
      </c>
      <c r="T22" s="13" t="str">
        <f>VLOOKUP(A22,'[1]210 RAU complete'!$A$1:$E$292,2,0)</f>
        <v>अन्नपूर्णा नगर</v>
      </c>
      <c r="U22" s="13" t="str">
        <f>VLOOKUP(A22,'[1]210 RAU complete'!$A$1:$E$292,3,0)</f>
        <v>न्यू गोल्डन स्कूल क.नं. 1 भवानीपुर कॉलोनी</v>
      </c>
      <c r="V22" s="13">
        <f t="shared" si="0"/>
        <v>469</v>
      </c>
      <c r="W22" s="15">
        <f t="shared" si="1"/>
        <v>72.484952708512466</v>
      </c>
      <c r="X22" s="16"/>
    </row>
    <row r="23" spans="1:24" x14ac:dyDescent="0.25">
      <c r="A23" s="13">
        <v>22</v>
      </c>
      <c r="B23" s="24" t="s">
        <v>78</v>
      </c>
      <c r="C23" s="13">
        <v>249</v>
      </c>
      <c r="D23" s="13">
        <v>1</v>
      </c>
      <c r="E23" s="13">
        <v>588</v>
      </c>
      <c r="F23" s="13">
        <v>2</v>
      </c>
      <c r="G23" s="13">
        <v>0</v>
      </c>
      <c r="H23" s="13">
        <v>0</v>
      </c>
      <c r="I23" s="13">
        <v>0</v>
      </c>
      <c r="J23" s="13">
        <v>0</v>
      </c>
      <c r="K23" s="13">
        <v>2</v>
      </c>
      <c r="L23" s="13">
        <v>0</v>
      </c>
      <c r="M23" s="13">
        <v>0</v>
      </c>
      <c r="N23" s="13">
        <v>842</v>
      </c>
      <c r="O23" s="13">
        <v>0</v>
      </c>
      <c r="P23" s="13">
        <v>6</v>
      </c>
      <c r="Q23" s="13">
        <v>848</v>
      </c>
      <c r="R23" s="13">
        <v>0</v>
      </c>
      <c r="S23" s="13">
        <v>1144</v>
      </c>
      <c r="T23" s="13" t="str">
        <f>VLOOKUP(A23,'[1]210 RAU complete'!$A$1:$E$292,2,0)</f>
        <v>अन्नपूर्णा नगर</v>
      </c>
      <c r="U23" s="13" t="str">
        <f>VLOOKUP(A23,'[1]210 RAU complete'!$A$1:$E$292,3,0)</f>
        <v>प्रोग्रेसिव एज्युकेशन स्कूल क.नं. 1 अन्नपूर्णा रोड</v>
      </c>
      <c r="V23" s="13">
        <f t="shared" si="0"/>
        <v>339</v>
      </c>
      <c r="W23" s="15">
        <f t="shared" si="1"/>
        <v>74.12587412587412</v>
      </c>
      <c r="X23" s="16"/>
    </row>
    <row r="24" spans="1:24" x14ac:dyDescent="0.25">
      <c r="A24" s="13">
        <v>23</v>
      </c>
      <c r="B24" s="24" t="s">
        <v>79</v>
      </c>
      <c r="C24" s="13">
        <v>197</v>
      </c>
      <c r="D24" s="13">
        <v>1</v>
      </c>
      <c r="E24" s="13">
        <v>612</v>
      </c>
      <c r="F24" s="13">
        <v>2</v>
      </c>
      <c r="G24" s="13">
        <v>0</v>
      </c>
      <c r="H24" s="13">
        <v>1</v>
      </c>
      <c r="I24" s="13">
        <v>0</v>
      </c>
      <c r="J24" s="13">
        <v>0</v>
      </c>
      <c r="K24" s="13">
        <v>3</v>
      </c>
      <c r="L24" s="13">
        <v>1</v>
      </c>
      <c r="M24" s="13">
        <v>0</v>
      </c>
      <c r="N24" s="13">
        <v>817</v>
      </c>
      <c r="O24" s="13">
        <v>0</v>
      </c>
      <c r="P24" s="13">
        <v>13</v>
      </c>
      <c r="Q24" s="13">
        <v>830</v>
      </c>
      <c r="R24" s="13">
        <v>0</v>
      </c>
      <c r="S24" s="13">
        <v>1084</v>
      </c>
      <c r="T24" s="13" t="str">
        <f>VLOOKUP(A24,'[1]210 RAU complete'!$A$1:$E$292,2,0)</f>
        <v>अन्नपूर्णा नगर</v>
      </c>
      <c r="U24" s="13" t="str">
        <f>VLOOKUP(A24,'[1]210 RAU complete'!$A$1:$E$292,3,0)</f>
        <v>माधव विद्यापीठ अहिल्या नगर क.न. 5</v>
      </c>
      <c r="V24" s="13">
        <f t="shared" si="0"/>
        <v>415</v>
      </c>
      <c r="W24" s="15">
        <f t="shared" si="1"/>
        <v>76.568265682656829</v>
      </c>
      <c r="X24" s="16"/>
    </row>
    <row r="25" spans="1:24" x14ac:dyDescent="0.25">
      <c r="A25" s="17">
        <v>25</v>
      </c>
      <c r="B25" s="24" t="s">
        <v>80</v>
      </c>
      <c r="C25" s="17">
        <v>570</v>
      </c>
      <c r="D25" s="17">
        <v>27</v>
      </c>
      <c r="E25" s="17">
        <v>345</v>
      </c>
      <c r="F25" s="17">
        <v>4</v>
      </c>
      <c r="G25" s="17">
        <v>1</v>
      </c>
      <c r="H25" s="17">
        <v>0</v>
      </c>
      <c r="I25" s="17">
        <v>0</v>
      </c>
      <c r="J25" s="17">
        <v>0</v>
      </c>
      <c r="K25" s="17">
        <v>2</v>
      </c>
      <c r="L25" s="17">
        <v>1</v>
      </c>
      <c r="M25" s="17">
        <v>3</v>
      </c>
      <c r="N25" s="17">
        <v>953</v>
      </c>
      <c r="O25" s="17">
        <v>0</v>
      </c>
      <c r="P25" s="17">
        <v>8</v>
      </c>
      <c r="Q25" s="17">
        <v>961</v>
      </c>
      <c r="R25" s="17">
        <v>0</v>
      </c>
      <c r="S25" s="17">
        <v>1231</v>
      </c>
      <c r="T25" s="13" t="str">
        <f>VLOOKUP(A25,'[1]210 RAU complete'!$A$1:$E$292,2,0)</f>
        <v>राजेन्द्र नगर</v>
      </c>
      <c r="U25" s="13" t="str">
        <f>VLOOKUP(A25,'[1]210 RAU complete'!$A$1:$E$292,3,0)</f>
        <v>अल्पाईन हा.से. स्कूल (प्राथमिक) कक्ष क.-2, विज्ञान नगर</v>
      </c>
      <c r="V25" s="17">
        <f t="shared" si="0"/>
        <v>225</v>
      </c>
      <c r="W25" s="18">
        <f t="shared" si="1"/>
        <v>78.066612510154343</v>
      </c>
      <c r="X25" s="16"/>
    </row>
    <row r="26" spans="1:24" x14ac:dyDescent="0.25">
      <c r="A26" s="13">
        <v>26</v>
      </c>
      <c r="B26" s="24" t="s">
        <v>81</v>
      </c>
      <c r="C26" s="13">
        <v>354</v>
      </c>
      <c r="D26" s="13">
        <v>3</v>
      </c>
      <c r="E26" s="13">
        <v>654</v>
      </c>
      <c r="F26" s="13">
        <v>2</v>
      </c>
      <c r="G26" s="13">
        <v>0</v>
      </c>
      <c r="H26" s="13">
        <v>0</v>
      </c>
      <c r="I26" s="13">
        <v>0</v>
      </c>
      <c r="J26" s="13">
        <v>0</v>
      </c>
      <c r="K26" s="13">
        <v>6</v>
      </c>
      <c r="L26" s="13">
        <v>0</v>
      </c>
      <c r="M26" s="13">
        <v>0</v>
      </c>
      <c r="N26" s="13">
        <v>1019</v>
      </c>
      <c r="O26" s="13">
        <v>0</v>
      </c>
      <c r="P26" s="13">
        <v>4</v>
      </c>
      <c r="Q26" s="13">
        <v>1023</v>
      </c>
      <c r="R26" s="13">
        <v>0</v>
      </c>
      <c r="S26" s="13">
        <v>1447</v>
      </c>
      <c r="T26" s="13" t="str">
        <f>VLOOKUP(A26,'[1]210 RAU complete'!$A$1:$E$292,2,0)</f>
        <v>राजेन्द्र नगर</v>
      </c>
      <c r="U26" s="13" t="str">
        <f>VLOOKUP(A26,'[1]210 RAU complete'!$A$1:$E$292,3,0)</f>
        <v>अल्पाइन हायर से. स्कूल क.न 4 विज्ञान नगर</v>
      </c>
      <c r="V26" s="13">
        <f t="shared" si="0"/>
        <v>300</v>
      </c>
      <c r="W26" s="15">
        <f t="shared" si="1"/>
        <v>70.697995853489985</v>
      </c>
      <c r="X26" s="16"/>
    </row>
    <row r="27" spans="1:24" x14ac:dyDescent="0.25">
      <c r="A27" s="13">
        <v>27</v>
      </c>
      <c r="B27" s="24" t="s">
        <v>82</v>
      </c>
      <c r="C27" s="13">
        <v>315</v>
      </c>
      <c r="D27" s="13">
        <v>2</v>
      </c>
      <c r="E27" s="13">
        <v>637</v>
      </c>
      <c r="F27" s="13">
        <v>2</v>
      </c>
      <c r="G27" s="13">
        <v>0</v>
      </c>
      <c r="H27" s="13">
        <v>1</v>
      </c>
      <c r="I27" s="13">
        <v>0</v>
      </c>
      <c r="J27" s="13">
        <v>0</v>
      </c>
      <c r="K27" s="13">
        <v>2</v>
      </c>
      <c r="L27" s="13">
        <v>0</v>
      </c>
      <c r="M27" s="13">
        <v>1</v>
      </c>
      <c r="N27" s="13">
        <v>960</v>
      </c>
      <c r="O27" s="13">
        <v>0</v>
      </c>
      <c r="P27" s="13">
        <v>6</v>
      </c>
      <c r="Q27" s="13">
        <v>966</v>
      </c>
      <c r="R27" s="13">
        <v>0</v>
      </c>
      <c r="S27" s="13">
        <v>1427</v>
      </c>
      <c r="T27" s="13" t="str">
        <f>VLOOKUP(A27,'[1]210 RAU complete'!$A$1:$E$292,2,0)</f>
        <v>राजेन्द्र नगर</v>
      </c>
      <c r="U27" s="13" t="str">
        <f>VLOOKUP(A27,'[1]210 RAU complete'!$A$1:$E$292,3,0)</f>
        <v>शा.क.उ.मा.विद्यालय क.न. 6 राजेन्द्र नगर</v>
      </c>
      <c r="V27" s="13">
        <f t="shared" si="0"/>
        <v>322</v>
      </c>
      <c r="W27" s="15">
        <f t="shared" si="1"/>
        <v>67.694463910301323</v>
      </c>
      <c r="X27" s="16"/>
    </row>
    <row r="28" spans="1:24" x14ac:dyDescent="0.25">
      <c r="A28" s="13">
        <v>28</v>
      </c>
      <c r="B28" s="24" t="s">
        <v>83</v>
      </c>
      <c r="C28" s="13">
        <v>327</v>
      </c>
      <c r="D28" s="13">
        <v>2</v>
      </c>
      <c r="E28" s="13">
        <v>694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1</v>
      </c>
      <c r="L28" s="13">
        <v>0</v>
      </c>
      <c r="M28" s="13">
        <v>0</v>
      </c>
      <c r="N28" s="13">
        <v>1027</v>
      </c>
      <c r="O28" s="13">
        <v>0</v>
      </c>
      <c r="P28" s="13">
        <v>11</v>
      </c>
      <c r="Q28" s="13">
        <v>1038</v>
      </c>
      <c r="R28" s="13">
        <v>0</v>
      </c>
      <c r="S28" s="13">
        <v>1414</v>
      </c>
      <c r="T28" s="13" t="str">
        <f>VLOOKUP(A28,'[1]210 RAU complete'!$A$1:$E$292,2,0)</f>
        <v>राजेन्द्र नगर</v>
      </c>
      <c r="U28" s="13" t="str">
        <f>VLOOKUP(A28,'[1]210 RAU complete'!$A$1:$E$292,3,0)</f>
        <v>शा.क.उ.मा.विद्यालय क.नं. 2 राजेन्द्र नगर</v>
      </c>
      <c r="V28" s="13">
        <f t="shared" si="0"/>
        <v>367</v>
      </c>
      <c r="W28" s="15">
        <f t="shared" si="1"/>
        <v>73.408769448373405</v>
      </c>
      <c r="X28" s="16"/>
    </row>
    <row r="29" spans="1:24" x14ac:dyDescent="0.25">
      <c r="A29" s="13">
        <v>29</v>
      </c>
      <c r="B29" s="24" t="s">
        <v>84</v>
      </c>
      <c r="C29" s="13">
        <v>340</v>
      </c>
      <c r="D29" s="13">
        <v>0</v>
      </c>
      <c r="E29" s="13">
        <v>684</v>
      </c>
      <c r="F29" s="13">
        <v>2</v>
      </c>
      <c r="G29" s="13">
        <v>0</v>
      </c>
      <c r="H29" s="13">
        <v>1</v>
      </c>
      <c r="I29" s="13">
        <v>0</v>
      </c>
      <c r="J29" s="13">
        <v>1</v>
      </c>
      <c r="K29" s="13">
        <v>4</v>
      </c>
      <c r="L29" s="13">
        <v>0</v>
      </c>
      <c r="M29" s="13">
        <v>1</v>
      </c>
      <c r="N29" s="13">
        <v>1033</v>
      </c>
      <c r="O29" s="13">
        <v>0</v>
      </c>
      <c r="P29" s="13">
        <v>9</v>
      </c>
      <c r="Q29" s="13">
        <v>1042</v>
      </c>
      <c r="R29" s="13">
        <v>0</v>
      </c>
      <c r="S29" s="13">
        <v>1472</v>
      </c>
      <c r="T29" s="13" t="str">
        <f>VLOOKUP(A29,'[1]210 RAU complete'!$A$1:$E$292,2,0)</f>
        <v>राजेन्द्र नगर</v>
      </c>
      <c r="U29" s="13" t="str">
        <f>VLOOKUP(A29,'[1]210 RAU complete'!$A$1:$E$292,3,0)</f>
        <v>जवाहर सभा गृह उप नगर मंडल मार्या. राजेन्द्र नगर पश्चिम भाग</v>
      </c>
      <c r="V29" s="13">
        <f t="shared" si="0"/>
        <v>344</v>
      </c>
      <c r="W29" s="15">
        <f t="shared" si="1"/>
        <v>70.78804347826086</v>
      </c>
      <c r="X29" s="16"/>
    </row>
    <row r="30" spans="1:24" x14ac:dyDescent="0.25">
      <c r="A30" s="13">
        <v>30</v>
      </c>
      <c r="B30" s="24" t="s">
        <v>85</v>
      </c>
      <c r="C30" s="13">
        <v>376</v>
      </c>
      <c r="D30" s="13">
        <v>5</v>
      </c>
      <c r="E30" s="13">
        <v>674</v>
      </c>
      <c r="F30" s="13">
        <v>0</v>
      </c>
      <c r="G30" s="13">
        <v>1</v>
      </c>
      <c r="H30" s="13">
        <v>0</v>
      </c>
      <c r="I30" s="13">
        <v>1</v>
      </c>
      <c r="J30" s="13">
        <v>0</v>
      </c>
      <c r="K30" s="13">
        <v>4</v>
      </c>
      <c r="L30" s="13">
        <v>1</v>
      </c>
      <c r="M30" s="13">
        <v>1</v>
      </c>
      <c r="N30" s="13">
        <v>1063</v>
      </c>
      <c r="O30" s="13">
        <v>0</v>
      </c>
      <c r="P30" s="13">
        <v>8</v>
      </c>
      <c r="Q30" s="13">
        <v>1071</v>
      </c>
      <c r="R30" s="13">
        <v>0</v>
      </c>
      <c r="S30" s="13">
        <v>1265</v>
      </c>
      <c r="T30" s="13" t="str">
        <f>VLOOKUP(A30,'[1]210 RAU complete'!$A$1:$E$292,2,0)</f>
        <v>राजेन्द्र नगर</v>
      </c>
      <c r="U30" s="13" t="str">
        <f>VLOOKUP(A30,'[1]210 RAU complete'!$A$1:$E$292,3,0)</f>
        <v>शा.कन्या उ.मा. वि. क.नं. 7 राजेन्द्र नगर</v>
      </c>
      <c r="V30" s="13">
        <f t="shared" si="0"/>
        <v>298</v>
      </c>
      <c r="W30" s="15">
        <f t="shared" si="1"/>
        <v>84.664031620553359</v>
      </c>
      <c r="X30" s="16"/>
    </row>
    <row r="31" spans="1:24" x14ac:dyDescent="0.25">
      <c r="A31" s="13">
        <v>31</v>
      </c>
      <c r="B31" s="24" t="s">
        <v>86</v>
      </c>
      <c r="C31" s="13">
        <v>304</v>
      </c>
      <c r="D31" s="13">
        <v>1</v>
      </c>
      <c r="E31" s="13">
        <v>616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2</v>
      </c>
      <c r="L31" s="13">
        <v>1</v>
      </c>
      <c r="M31" s="13">
        <v>0</v>
      </c>
      <c r="N31" s="13">
        <v>925</v>
      </c>
      <c r="O31" s="13">
        <v>0</v>
      </c>
      <c r="P31" s="13">
        <v>4</v>
      </c>
      <c r="Q31" s="13">
        <v>929</v>
      </c>
      <c r="R31" s="13">
        <v>0</v>
      </c>
      <c r="S31" s="13">
        <v>1105</v>
      </c>
      <c r="T31" s="13" t="str">
        <f>VLOOKUP(A31,'[1]210 RAU complete'!$A$1:$E$292,2,0)</f>
        <v>राजेन्द्र नगर</v>
      </c>
      <c r="U31" s="13" t="str">
        <f>VLOOKUP(A31,'[1]210 RAU complete'!$A$1:$E$292,3,0)</f>
        <v>शा.कन्या उ.मा. वि. क.नं. 8 राजेन्द्र नगर</v>
      </c>
      <c r="V31" s="13">
        <f t="shared" si="0"/>
        <v>312</v>
      </c>
      <c r="W31" s="15">
        <f t="shared" si="1"/>
        <v>84.072398190045249</v>
      </c>
      <c r="X31" s="16"/>
    </row>
    <row r="32" spans="1:24" x14ac:dyDescent="0.25">
      <c r="A32" s="13">
        <v>32</v>
      </c>
      <c r="B32" s="24" t="s">
        <v>87</v>
      </c>
      <c r="C32" s="13">
        <v>201</v>
      </c>
      <c r="D32" s="13">
        <v>1</v>
      </c>
      <c r="E32" s="13">
        <v>469</v>
      </c>
      <c r="F32" s="13">
        <v>1</v>
      </c>
      <c r="G32" s="13">
        <v>0</v>
      </c>
      <c r="H32" s="13">
        <v>0</v>
      </c>
      <c r="I32" s="13">
        <v>0</v>
      </c>
      <c r="J32" s="13">
        <v>0</v>
      </c>
      <c r="K32" s="13">
        <v>2</v>
      </c>
      <c r="L32" s="13">
        <v>1</v>
      </c>
      <c r="M32" s="13">
        <v>0</v>
      </c>
      <c r="N32" s="13">
        <v>675</v>
      </c>
      <c r="O32" s="13">
        <v>0</v>
      </c>
      <c r="P32" s="13">
        <v>3</v>
      </c>
      <c r="Q32" s="13">
        <v>678</v>
      </c>
      <c r="R32" s="13">
        <v>0</v>
      </c>
      <c r="S32" s="13">
        <v>1313</v>
      </c>
      <c r="T32" s="13" t="str">
        <f>VLOOKUP(A32,'[1]210 RAU complete'!$A$1:$E$292,2,0)</f>
        <v>धनवंतरी नगर</v>
      </c>
      <c r="U32" s="13" t="str">
        <f>VLOOKUP(A32,'[1]210 RAU complete'!$A$1:$E$292,3,0)</f>
        <v>शा.मा.वि. क. 48 नया भवन क.नं. 1 धनवंतरी नगर</v>
      </c>
      <c r="V32" s="13">
        <f t="shared" si="0"/>
        <v>268</v>
      </c>
      <c r="W32" s="15">
        <f t="shared" si="1"/>
        <v>51.63747143945163</v>
      </c>
      <c r="X32" s="16"/>
    </row>
    <row r="33" spans="1:24" x14ac:dyDescent="0.25">
      <c r="A33" s="13">
        <v>33</v>
      </c>
      <c r="B33" s="24" t="s">
        <v>88</v>
      </c>
      <c r="C33" s="13">
        <v>179</v>
      </c>
      <c r="D33" s="13">
        <v>0</v>
      </c>
      <c r="E33" s="13">
        <v>590</v>
      </c>
      <c r="F33" s="13">
        <v>1</v>
      </c>
      <c r="G33" s="13">
        <v>0</v>
      </c>
      <c r="H33" s="13">
        <v>0</v>
      </c>
      <c r="I33" s="13">
        <v>0</v>
      </c>
      <c r="J33" s="13">
        <v>0</v>
      </c>
      <c r="K33" s="13">
        <v>2</v>
      </c>
      <c r="L33" s="13">
        <v>0</v>
      </c>
      <c r="M33" s="13">
        <v>0</v>
      </c>
      <c r="N33" s="13">
        <v>772</v>
      </c>
      <c r="O33" s="13">
        <v>0</v>
      </c>
      <c r="P33" s="13">
        <v>6</v>
      </c>
      <c r="Q33" s="13">
        <v>778</v>
      </c>
      <c r="R33" s="13">
        <v>0</v>
      </c>
      <c r="S33" s="13">
        <v>1464</v>
      </c>
      <c r="T33" s="13" t="str">
        <f>VLOOKUP(A33,'[1]210 RAU complete'!$A$1:$E$292,2,0)</f>
        <v>धनवंतरी नगर</v>
      </c>
      <c r="U33" s="13" t="str">
        <f>VLOOKUP(A33,'[1]210 RAU complete'!$A$1:$E$292,3,0)</f>
        <v>शा.मा.वि. क. 48 नया भवन क. नं. 2 धनवंतरी नगर</v>
      </c>
      <c r="V33" s="13">
        <f t="shared" si="0"/>
        <v>411</v>
      </c>
      <c r="W33" s="15">
        <f t="shared" si="1"/>
        <v>53.142076502732237</v>
      </c>
      <c r="X33" s="16"/>
    </row>
    <row r="34" spans="1:24" x14ac:dyDescent="0.25">
      <c r="A34" s="13">
        <v>34</v>
      </c>
      <c r="B34" s="24" t="s">
        <v>89</v>
      </c>
      <c r="C34" s="13">
        <v>182</v>
      </c>
      <c r="D34" s="13">
        <v>1</v>
      </c>
      <c r="E34" s="13">
        <v>548</v>
      </c>
      <c r="F34" s="13">
        <v>1</v>
      </c>
      <c r="G34" s="13">
        <v>0</v>
      </c>
      <c r="H34" s="13">
        <v>0</v>
      </c>
      <c r="I34" s="13">
        <v>1</v>
      </c>
      <c r="J34" s="13">
        <v>0</v>
      </c>
      <c r="K34" s="13">
        <v>6</v>
      </c>
      <c r="L34" s="13">
        <v>0</v>
      </c>
      <c r="M34" s="13">
        <v>0</v>
      </c>
      <c r="N34" s="13">
        <v>739</v>
      </c>
      <c r="O34" s="13">
        <v>0</v>
      </c>
      <c r="P34" s="13">
        <v>4</v>
      </c>
      <c r="Q34" s="13">
        <v>743</v>
      </c>
      <c r="R34" s="13">
        <v>0</v>
      </c>
      <c r="S34" s="13">
        <v>1103</v>
      </c>
      <c r="T34" s="13" t="str">
        <f>VLOOKUP(A34,'[1]210 RAU complete'!$A$1:$E$292,2,0)</f>
        <v>धनवंतरी नगर</v>
      </c>
      <c r="U34" s="13" t="str">
        <f>VLOOKUP(A34,'[1]210 RAU complete'!$A$1:$E$292,3,0)</f>
        <v>शा.प्रा.वि. क. 48 हॉल क.-1 धनवंतरी नगर</v>
      </c>
      <c r="V34" s="13">
        <f t="shared" si="0"/>
        <v>366</v>
      </c>
      <c r="W34" s="15">
        <f t="shared" si="1"/>
        <v>67.361740707162284</v>
      </c>
      <c r="X34" s="16"/>
    </row>
    <row r="35" spans="1:24" x14ac:dyDescent="0.25">
      <c r="A35" s="13">
        <v>35</v>
      </c>
      <c r="B35" s="24" t="s">
        <v>90</v>
      </c>
      <c r="C35" s="13">
        <v>261</v>
      </c>
      <c r="D35" s="13">
        <v>3</v>
      </c>
      <c r="E35" s="13">
        <v>795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9</v>
      </c>
      <c r="L35" s="13">
        <v>0</v>
      </c>
      <c r="M35" s="13">
        <v>0</v>
      </c>
      <c r="N35" s="13">
        <v>1068</v>
      </c>
      <c r="O35" s="13">
        <v>0</v>
      </c>
      <c r="P35" s="13">
        <v>11</v>
      </c>
      <c r="Q35" s="13">
        <v>1079</v>
      </c>
      <c r="R35" s="13">
        <v>0</v>
      </c>
      <c r="S35" s="13">
        <v>1268</v>
      </c>
      <c r="T35" s="13" t="str">
        <f>VLOOKUP(A35,'[1]210 RAU complete'!$A$1:$E$292,2,0)</f>
        <v>धनवंतरी नगर</v>
      </c>
      <c r="U35" s="13" t="str">
        <f>VLOOKUP(A35,'[1]210 RAU complete'!$A$1:$E$292,3,0)</f>
        <v>वैष्णव लॉ कॉलेज कमरा नं. 1 राजेन्द्र नगर</v>
      </c>
      <c r="V35" s="13">
        <f t="shared" si="0"/>
        <v>534</v>
      </c>
      <c r="W35" s="15">
        <f t="shared" si="1"/>
        <v>85.094637223974772</v>
      </c>
      <c r="X35" s="16"/>
    </row>
    <row r="36" spans="1:24" x14ac:dyDescent="0.25">
      <c r="A36" s="13">
        <v>36</v>
      </c>
      <c r="B36" s="24" t="s">
        <v>91</v>
      </c>
      <c r="C36" s="13">
        <v>149</v>
      </c>
      <c r="D36" s="13">
        <v>0</v>
      </c>
      <c r="E36" s="13">
        <v>440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2</v>
      </c>
      <c r="L36" s="13">
        <v>0</v>
      </c>
      <c r="M36" s="13">
        <v>0</v>
      </c>
      <c r="N36" s="13">
        <v>591</v>
      </c>
      <c r="O36" s="13">
        <v>0</v>
      </c>
      <c r="P36" s="13">
        <v>7</v>
      </c>
      <c r="Q36" s="13">
        <v>598</v>
      </c>
      <c r="R36" s="13">
        <v>0</v>
      </c>
      <c r="S36" s="13">
        <v>1147</v>
      </c>
      <c r="T36" s="13" t="str">
        <f>VLOOKUP(A36,'[1]210 RAU complete'!$A$1:$E$292,2,0)</f>
        <v>धनवंतरी नगर</v>
      </c>
      <c r="U36" s="13" t="str">
        <f>VLOOKUP(A36,'[1]210 RAU complete'!$A$1:$E$292,3,0)</f>
        <v>वैष्णव लॉ कॉलेज कमरा नं. 2 राजेन्द्र नगर</v>
      </c>
      <c r="V36" s="13">
        <f t="shared" si="0"/>
        <v>291</v>
      </c>
      <c r="W36" s="15">
        <f t="shared" si="1"/>
        <v>52.136006974716651</v>
      </c>
      <c r="X36" s="16"/>
    </row>
    <row r="37" spans="1:24" x14ac:dyDescent="0.25">
      <c r="A37" s="17">
        <v>37</v>
      </c>
      <c r="B37" s="24" t="s">
        <v>92</v>
      </c>
      <c r="C37" s="17">
        <v>533</v>
      </c>
      <c r="D37" s="17">
        <v>19</v>
      </c>
      <c r="E37" s="17">
        <v>154</v>
      </c>
      <c r="F37" s="17">
        <v>1</v>
      </c>
      <c r="G37" s="17">
        <v>1</v>
      </c>
      <c r="H37" s="17">
        <v>1</v>
      </c>
      <c r="I37" s="17">
        <v>0</v>
      </c>
      <c r="J37" s="17">
        <v>0</v>
      </c>
      <c r="K37" s="17">
        <v>0</v>
      </c>
      <c r="L37" s="17">
        <v>2</v>
      </c>
      <c r="M37" s="17">
        <v>0</v>
      </c>
      <c r="N37" s="17">
        <v>711</v>
      </c>
      <c r="O37" s="17">
        <v>0</v>
      </c>
      <c r="P37" s="17">
        <v>13</v>
      </c>
      <c r="Q37" s="17">
        <v>724</v>
      </c>
      <c r="R37" s="17">
        <v>0</v>
      </c>
      <c r="S37" s="17">
        <v>1039</v>
      </c>
      <c r="T37" s="13" t="str">
        <f>VLOOKUP(A37,'[1]210 RAU complete'!$A$1:$E$292,2,0)</f>
        <v>राजेन्द्र नगर</v>
      </c>
      <c r="U37" s="13" t="str">
        <f>VLOOKUP(A37,'[1]210 RAU complete'!$A$1:$E$292,3,0)</f>
        <v>शा. नवीन मा.वि. कमरा नं. राजेन्द्र नगर थाने के पीछे</v>
      </c>
      <c r="V37" s="17">
        <f t="shared" si="0"/>
        <v>379</v>
      </c>
      <c r="W37" s="18">
        <f t="shared" si="1"/>
        <v>69.682386910490862</v>
      </c>
      <c r="X37" s="16"/>
    </row>
    <row r="38" spans="1:24" x14ac:dyDescent="0.25">
      <c r="A38" s="13">
        <v>38</v>
      </c>
      <c r="B38" s="24" t="s">
        <v>93</v>
      </c>
      <c r="C38" s="13">
        <v>227</v>
      </c>
      <c r="D38" s="13">
        <v>1</v>
      </c>
      <c r="E38" s="13">
        <v>311</v>
      </c>
      <c r="F38" s="13">
        <v>2</v>
      </c>
      <c r="G38" s="13">
        <v>0</v>
      </c>
      <c r="H38" s="13">
        <v>1</v>
      </c>
      <c r="I38" s="13">
        <v>0</v>
      </c>
      <c r="J38" s="13">
        <v>0</v>
      </c>
      <c r="K38" s="13">
        <v>1</v>
      </c>
      <c r="L38" s="13">
        <v>0</v>
      </c>
      <c r="M38" s="13">
        <v>0</v>
      </c>
      <c r="N38" s="13">
        <v>543</v>
      </c>
      <c r="O38" s="13">
        <v>0</v>
      </c>
      <c r="P38" s="13">
        <v>7</v>
      </c>
      <c r="Q38" s="13">
        <v>550</v>
      </c>
      <c r="R38" s="13">
        <v>0</v>
      </c>
      <c r="S38" s="13">
        <v>987</v>
      </c>
      <c r="T38" s="13" t="str">
        <f>VLOOKUP(A38,'[1]210 RAU complete'!$A$1:$E$292,2,0)</f>
        <v>राजेन्द्र नगर</v>
      </c>
      <c r="U38" s="13" t="str">
        <f>VLOOKUP(A38,'[1]210 RAU complete'!$A$1:$E$292,3,0)</f>
        <v>बाल विहार हाई स्कूल क.नं. 2 राजेन्द्र नगर</v>
      </c>
      <c r="V38" s="13">
        <f t="shared" si="0"/>
        <v>84</v>
      </c>
      <c r="W38" s="15">
        <f t="shared" si="1"/>
        <v>55.724417426545081</v>
      </c>
      <c r="X38" s="16"/>
    </row>
    <row r="39" spans="1:24" x14ac:dyDescent="0.25">
      <c r="A39" s="13">
        <v>39</v>
      </c>
      <c r="B39" s="24" t="s">
        <v>94</v>
      </c>
      <c r="C39" s="13">
        <v>175</v>
      </c>
      <c r="D39" s="13">
        <v>1</v>
      </c>
      <c r="E39" s="13">
        <v>211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387</v>
      </c>
      <c r="O39" s="13">
        <v>0</v>
      </c>
      <c r="P39" s="13">
        <v>1</v>
      </c>
      <c r="Q39" s="13">
        <v>388</v>
      </c>
      <c r="R39" s="13">
        <v>0</v>
      </c>
      <c r="S39" s="13">
        <v>1059</v>
      </c>
      <c r="T39" s="13" t="str">
        <f>VLOOKUP(A39,'[1]210 RAU complete'!$A$1:$E$292,2,0)</f>
        <v>राजेन्द्र नगर</v>
      </c>
      <c r="U39" s="13" t="str">
        <f>VLOOKUP(A39,'[1]210 RAU complete'!$A$1:$E$292,3,0)</f>
        <v>शा. नवीन मा.वि. कमरा नं. 2 राजेन्द्र नगर थाने के पीछे</v>
      </c>
      <c r="V39" s="13">
        <f t="shared" si="0"/>
        <v>36</v>
      </c>
      <c r="W39" s="15">
        <f t="shared" si="1"/>
        <v>36.638338054768646</v>
      </c>
      <c r="X39" s="16"/>
    </row>
    <row r="40" spans="1:24" x14ac:dyDescent="0.25">
      <c r="A40" s="17">
        <v>40</v>
      </c>
      <c r="B40" s="24" t="s">
        <v>95</v>
      </c>
      <c r="C40" s="17">
        <v>367</v>
      </c>
      <c r="D40" s="17">
        <v>1</v>
      </c>
      <c r="E40" s="17">
        <v>191</v>
      </c>
      <c r="F40" s="17">
        <v>0</v>
      </c>
      <c r="G40" s="17">
        <v>0</v>
      </c>
      <c r="H40" s="17">
        <v>0</v>
      </c>
      <c r="I40" s="17">
        <v>1</v>
      </c>
      <c r="J40" s="17">
        <v>0</v>
      </c>
      <c r="K40" s="17">
        <v>1</v>
      </c>
      <c r="L40" s="17">
        <v>0</v>
      </c>
      <c r="M40" s="17">
        <v>0</v>
      </c>
      <c r="N40" s="17">
        <v>561</v>
      </c>
      <c r="O40" s="17">
        <v>0</v>
      </c>
      <c r="P40" s="17">
        <v>4</v>
      </c>
      <c r="Q40" s="17">
        <v>565</v>
      </c>
      <c r="R40" s="17">
        <v>0</v>
      </c>
      <c r="S40" s="17">
        <v>780</v>
      </c>
      <c r="T40" s="13" t="str">
        <f>VLOOKUP(A40,'[1]210 RAU complete'!$A$1:$E$292,2,0)</f>
        <v>चोइथराम अस्पताल परिसर</v>
      </c>
      <c r="U40" s="13" t="str">
        <f>VLOOKUP(A40,'[1]210 RAU complete'!$A$1:$E$292,3,0)</f>
        <v>उ.मा.वि. चोइथराम क.नं. 1 चोइथराम अस्पताल परिसर</v>
      </c>
      <c r="V40" s="17">
        <f t="shared" si="0"/>
        <v>176</v>
      </c>
      <c r="W40" s="18">
        <f t="shared" si="1"/>
        <v>72.435897435897431</v>
      </c>
      <c r="X40" s="16"/>
    </row>
    <row r="41" spans="1:24" x14ac:dyDescent="0.25">
      <c r="A41" s="17">
        <v>41</v>
      </c>
      <c r="B41" s="24" t="s">
        <v>96</v>
      </c>
      <c r="C41" s="17">
        <v>507</v>
      </c>
      <c r="D41" s="17">
        <v>10</v>
      </c>
      <c r="E41" s="17">
        <v>338</v>
      </c>
      <c r="F41" s="17">
        <v>1</v>
      </c>
      <c r="G41" s="17">
        <v>1</v>
      </c>
      <c r="H41" s="17">
        <v>1</v>
      </c>
      <c r="I41" s="17">
        <v>0</v>
      </c>
      <c r="J41" s="17">
        <v>1</v>
      </c>
      <c r="K41" s="17">
        <v>1</v>
      </c>
      <c r="L41" s="17">
        <v>1</v>
      </c>
      <c r="M41" s="17">
        <v>1</v>
      </c>
      <c r="N41" s="17">
        <v>862</v>
      </c>
      <c r="O41" s="17">
        <v>0</v>
      </c>
      <c r="P41" s="17">
        <v>6</v>
      </c>
      <c r="Q41" s="17">
        <v>868</v>
      </c>
      <c r="R41" s="17">
        <v>0</v>
      </c>
      <c r="S41" s="17">
        <v>1055</v>
      </c>
      <c r="T41" s="13" t="str">
        <f>VLOOKUP(A41,'[1]210 RAU complete'!$A$1:$E$292,2,0)</f>
        <v>तेजपुर गड़बड़ी</v>
      </c>
      <c r="U41" s="13" t="str">
        <f>VLOOKUP(A41,'[1]210 RAU complete'!$A$1:$E$292,3,0)</f>
        <v>आंगनवाड़ी केन्द्र मार्तण्ड नगर</v>
      </c>
      <c r="V41" s="17">
        <f t="shared" si="0"/>
        <v>169</v>
      </c>
      <c r="W41" s="18">
        <f t="shared" si="1"/>
        <v>82.274881516587669</v>
      </c>
      <c r="X41" s="16"/>
    </row>
    <row r="42" spans="1:24" x14ac:dyDescent="0.25">
      <c r="A42" s="17">
        <v>42</v>
      </c>
      <c r="B42" s="24" t="s">
        <v>97</v>
      </c>
      <c r="C42" s="17">
        <v>547</v>
      </c>
      <c r="D42" s="17">
        <v>0</v>
      </c>
      <c r="E42" s="17">
        <v>105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1</v>
      </c>
      <c r="L42" s="17">
        <v>0</v>
      </c>
      <c r="M42" s="17">
        <v>0</v>
      </c>
      <c r="N42" s="17">
        <v>653</v>
      </c>
      <c r="O42" s="17">
        <v>0</v>
      </c>
      <c r="P42" s="17">
        <v>8</v>
      </c>
      <c r="Q42" s="17">
        <v>661</v>
      </c>
      <c r="R42" s="17">
        <v>0</v>
      </c>
      <c r="S42" s="17">
        <v>820</v>
      </c>
      <c r="T42" s="13" t="str">
        <f>VLOOKUP(A42,'[1]210 RAU complete'!$A$1:$E$292,2,0)</f>
        <v>तेजपुर गड़बड़ी</v>
      </c>
      <c r="U42" s="13" t="str">
        <f>VLOOKUP(A42,'[1]210 RAU complete'!$A$1:$E$292,3,0)</f>
        <v>क्लब हाउस हैदरी टाउनशिप बिजलपुर</v>
      </c>
      <c r="V42" s="17">
        <f t="shared" si="0"/>
        <v>442</v>
      </c>
      <c r="W42" s="18">
        <f t="shared" si="1"/>
        <v>80.609756097560975</v>
      </c>
      <c r="X42" s="16"/>
    </row>
    <row r="43" spans="1:24" x14ac:dyDescent="0.25">
      <c r="A43" s="13">
        <v>43</v>
      </c>
      <c r="B43" s="24" t="s">
        <v>98</v>
      </c>
      <c r="C43" s="13">
        <v>224</v>
      </c>
      <c r="D43" s="13">
        <v>0</v>
      </c>
      <c r="E43" s="13">
        <v>438</v>
      </c>
      <c r="F43" s="13">
        <v>1</v>
      </c>
      <c r="G43" s="13">
        <v>1</v>
      </c>
      <c r="H43" s="13">
        <v>0</v>
      </c>
      <c r="I43" s="13">
        <v>0</v>
      </c>
      <c r="J43" s="13">
        <v>0</v>
      </c>
      <c r="K43" s="13">
        <v>1</v>
      </c>
      <c r="L43" s="13">
        <v>0</v>
      </c>
      <c r="M43" s="13">
        <v>1</v>
      </c>
      <c r="N43" s="13">
        <v>666</v>
      </c>
      <c r="O43" s="13">
        <v>0</v>
      </c>
      <c r="P43" s="13">
        <v>2</v>
      </c>
      <c r="Q43" s="13">
        <v>668</v>
      </c>
      <c r="R43" s="13">
        <v>0</v>
      </c>
      <c r="S43" s="13">
        <v>1233</v>
      </c>
      <c r="T43" s="13" t="str">
        <f>VLOOKUP(A43,'[1]210 RAU complete'!$A$1:$E$292,2,0)</f>
        <v>तेजपुर गड़बड़ी</v>
      </c>
      <c r="U43" s="13" t="str">
        <f>VLOOKUP(A43,'[1]210 RAU complete'!$A$1:$E$292,3,0)</f>
        <v>क्लब हाउस ट्रेजर टाउनशिप बिजलपुर</v>
      </c>
      <c r="V43" s="13">
        <f t="shared" si="0"/>
        <v>214</v>
      </c>
      <c r="W43" s="15">
        <f t="shared" si="1"/>
        <v>54.176804541768043</v>
      </c>
      <c r="X43" s="16"/>
    </row>
    <row r="44" spans="1:24" x14ac:dyDescent="0.25">
      <c r="A44" s="13">
        <v>44</v>
      </c>
      <c r="B44" s="24" t="s">
        <v>99</v>
      </c>
      <c r="C44" s="13">
        <v>310</v>
      </c>
      <c r="D44" s="13">
        <v>1</v>
      </c>
      <c r="E44" s="13">
        <v>463</v>
      </c>
      <c r="F44" s="13">
        <v>2</v>
      </c>
      <c r="G44" s="13">
        <v>0</v>
      </c>
      <c r="H44" s="13">
        <v>0</v>
      </c>
      <c r="I44" s="13">
        <v>0</v>
      </c>
      <c r="J44" s="13">
        <v>0</v>
      </c>
      <c r="K44" s="13">
        <v>8</v>
      </c>
      <c r="L44" s="13">
        <v>0</v>
      </c>
      <c r="M44" s="13">
        <v>0</v>
      </c>
      <c r="N44" s="13">
        <v>784</v>
      </c>
      <c r="O44" s="13">
        <v>0</v>
      </c>
      <c r="P44" s="13">
        <v>7</v>
      </c>
      <c r="Q44" s="13">
        <v>791</v>
      </c>
      <c r="R44" s="13">
        <v>0</v>
      </c>
      <c r="S44" s="13">
        <v>1131</v>
      </c>
      <c r="T44" s="13" t="str">
        <f>VLOOKUP(A44,'[1]210 RAU complete'!$A$1:$E$292,2,0)</f>
        <v>तेजपुर गड़बड़ी</v>
      </c>
      <c r="U44" s="13" t="str">
        <f>VLOOKUP(A44,'[1]210 RAU complete'!$A$1:$E$292,3,0)</f>
        <v>सेंट जोसेफ कॉन्वेंट स्कूल क. नं. 1 ए.बी. रोड</v>
      </c>
      <c r="V44" s="13">
        <f t="shared" si="0"/>
        <v>153</v>
      </c>
      <c r="W44" s="15">
        <f t="shared" si="1"/>
        <v>69.938107869142357</v>
      </c>
      <c r="X44" s="16"/>
    </row>
    <row r="45" spans="1:24" x14ac:dyDescent="0.25">
      <c r="A45" s="13">
        <v>45</v>
      </c>
      <c r="B45" s="24" t="s">
        <v>100</v>
      </c>
      <c r="C45" s="13">
        <v>263</v>
      </c>
      <c r="D45" s="13">
        <v>3</v>
      </c>
      <c r="E45" s="13">
        <v>331</v>
      </c>
      <c r="F45" s="13">
        <v>2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3</v>
      </c>
      <c r="N45" s="13">
        <v>602</v>
      </c>
      <c r="O45" s="13">
        <v>0</v>
      </c>
      <c r="P45" s="13">
        <v>6</v>
      </c>
      <c r="Q45" s="13">
        <v>608</v>
      </c>
      <c r="R45" s="13">
        <v>0</v>
      </c>
      <c r="S45" s="13">
        <v>1174</v>
      </c>
      <c r="T45" s="13" t="str">
        <f>VLOOKUP(A45,'[1]210 RAU complete'!$A$1:$E$292,2,0)</f>
        <v>तेजपुर गड़बड़ी</v>
      </c>
      <c r="U45" s="13" t="str">
        <f>VLOOKUP(A45,'[1]210 RAU complete'!$A$1:$E$292,3,0)</f>
        <v>सेंट जोसेफ कॉन्वेंट स्कूल ए.बी. रोड कक्ष क्र. 3</v>
      </c>
      <c r="V45" s="13">
        <f t="shared" si="0"/>
        <v>68</v>
      </c>
      <c r="W45" s="15">
        <f t="shared" si="1"/>
        <v>51.788756388415671</v>
      </c>
      <c r="X45" s="16"/>
    </row>
    <row r="46" spans="1:24" x14ac:dyDescent="0.25">
      <c r="A46" s="13">
        <v>46</v>
      </c>
      <c r="B46" s="24" t="s">
        <v>101</v>
      </c>
      <c r="C46" s="13">
        <v>271</v>
      </c>
      <c r="D46" s="13">
        <v>5</v>
      </c>
      <c r="E46" s="13">
        <v>476</v>
      </c>
      <c r="F46" s="13">
        <v>0</v>
      </c>
      <c r="G46" s="13">
        <v>0</v>
      </c>
      <c r="H46" s="13">
        <v>0</v>
      </c>
      <c r="I46" s="13">
        <v>0</v>
      </c>
      <c r="J46" s="13">
        <v>2</v>
      </c>
      <c r="K46" s="13">
        <v>0</v>
      </c>
      <c r="L46" s="13">
        <v>1</v>
      </c>
      <c r="M46" s="13">
        <v>2</v>
      </c>
      <c r="N46" s="13">
        <v>757</v>
      </c>
      <c r="O46" s="13">
        <v>0</v>
      </c>
      <c r="P46" s="13">
        <v>5</v>
      </c>
      <c r="Q46" s="13">
        <v>762</v>
      </c>
      <c r="R46" s="13">
        <v>0</v>
      </c>
      <c r="S46" s="13">
        <v>1119</v>
      </c>
      <c r="T46" s="13" t="str">
        <f>VLOOKUP(A46,'[1]210 RAU complete'!$A$1:$E$292,2,0)</f>
        <v>तेजपुर गड़बड़ी</v>
      </c>
      <c r="U46" s="13" t="str">
        <f>VLOOKUP(A46,'[1]210 RAU complete'!$A$1:$E$292,3,0)</f>
        <v>सेन्ट जोसफ कॉन्वेंट स्कूल ए. बी रोड कक्ष क्र. 4</v>
      </c>
      <c r="V46" s="13">
        <f t="shared" si="0"/>
        <v>205</v>
      </c>
      <c r="W46" s="15">
        <f t="shared" si="1"/>
        <v>68.096514745308312</v>
      </c>
      <c r="X46" s="16"/>
    </row>
    <row r="47" spans="1:24" x14ac:dyDescent="0.25">
      <c r="A47" s="17">
        <v>47</v>
      </c>
      <c r="B47" s="24" t="s">
        <v>102</v>
      </c>
      <c r="C47" s="17">
        <v>375</v>
      </c>
      <c r="D47" s="17">
        <v>18</v>
      </c>
      <c r="E47" s="17">
        <v>362</v>
      </c>
      <c r="F47" s="17">
        <v>3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2</v>
      </c>
      <c r="N47" s="17">
        <v>760</v>
      </c>
      <c r="O47" s="17">
        <v>0</v>
      </c>
      <c r="P47" s="17">
        <v>10</v>
      </c>
      <c r="Q47" s="17">
        <v>770</v>
      </c>
      <c r="R47" s="17">
        <v>0</v>
      </c>
      <c r="S47" s="17">
        <v>1217</v>
      </c>
      <c r="T47" s="13" t="str">
        <f>VLOOKUP(A47,'[1]210 RAU complete'!$A$1:$E$292,2,0)</f>
        <v>महादेव नगर</v>
      </c>
      <c r="U47" s="13" t="str">
        <f>VLOOKUP(A47,'[1]210 RAU complete'!$A$1:$E$292,3,0)</f>
        <v>शा. मा.वि. क. 28 क.नं. 1 महादेव नगर</v>
      </c>
      <c r="V47" s="17">
        <f t="shared" si="0"/>
        <v>13</v>
      </c>
      <c r="W47" s="18">
        <f t="shared" si="1"/>
        <v>63.270336894001645</v>
      </c>
      <c r="X47" s="16"/>
    </row>
    <row r="48" spans="1:24" x14ac:dyDescent="0.25">
      <c r="A48" s="17">
        <v>48</v>
      </c>
      <c r="B48" s="24" t="s">
        <v>103</v>
      </c>
      <c r="C48" s="17">
        <v>286</v>
      </c>
      <c r="D48" s="17">
        <v>2</v>
      </c>
      <c r="E48" s="17">
        <v>236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1</v>
      </c>
      <c r="L48" s="17">
        <v>2</v>
      </c>
      <c r="M48" s="17">
        <v>3</v>
      </c>
      <c r="N48" s="17">
        <v>530</v>
      </c>
      <c r="O48" s="17">
        <v>0</v>
      </c>
      <c r="P48" s="17">
        <v>6</v>
      </c>
      <c r="Q48" s="17">
        <v>536</v>
      </c>
      <c r="R48" s="17">
        <v>0</v>
      </c>
      <c r="S48" s="17">
        <v>1242</v>
      </c>
      <c r="T48" s="13" t="str">
        <f>VLOOKUP(A48,'[1]210 RAU complete'!$A$1:$E$292,2,0)</f>
        <v>महादेव नगर</v>
      </c>
      <c r="U48" s="13" t="str">
        <f>VLOOKUP(A48,'[1]210 RAU complete'!$A$1:$E$292,3,0)</f>
        <v>शा. मा.वि. क. 28 कमरा नं. 2 महादेव नगर</v>
      </c>
      <c r="V48" s="17">
        <f t="shared" si="0"/>
        <v>50</v>
      </c>
      <c r="W48" s="18">
        <f t="shared" si="1"/>
        <v>43.156199677938808</v>
      </c>
      <c r="X48" s="16"/>
    </row>
    <row r="49" spans="1:24" x14ac:dyDescent="0.25">
      <c r="A49" s="13">
        <v>49</v>
      </c>
      <c r="B49" s="24" t="s">
        <v>104</v>
      </c>
      <c r="C49" s="13">
        <v>257</v>
      </c>
      <c r="D49" s="13">
        <v>4</v>
      </c>
      <c r="E49" s="13">
        <v>433</v>
      </c>
      <c r="F49" s="13">
        <v>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1</v>
      </c>
      <c r="N49" s="13">
        <v>700</v>
      </c>
      <c r="O49" s="13">
        <v>0</v>
      </c>
      <c r="P49" s="13">
        <v>2</v>
      </c>
      <c r="Q49" s="13">
        <v>702</v>
      </c>
      <c r="R49" s="13">
        <v>0</v>
      </c>
      <c r="S49" s="13">
        <v>1086</v>
      </c>
      <c r="T49" s="13" t="str">
        <f>VLOOKUP(A49,'[1]210 RAU complete'!$A$1:$E$292,2,0)</f>
        <v>तेजपुर गड़बड़ी</v>
      </c>
      <c r="U49" s="13" t="str">
        <f>VLOOKUP(A49,'[1]210 RAU complete'!$A$1:$E$292,3,0)</f>
        <v>मंडी कार्यालय हॉल तेजपुर गड़बड़ी पश्चिम भाग कक्ष क्र.1</v>
      </c>
      <c r="V49" s="13">
        <f t="shared" si="0"/>
        <v>176</v>
      </c>
      <c r="W49" s="15">
        <f t="shared" si="1"/>
        <v>64.640883977900558</v>
      </c>
      <c r="X49" s="16"/>
    </row>
    <row r="50" spans="1:24" x14ac:dyDescent="0.25">
      <c r="A50" s="13">
        <v>50</v>
      </c>
      <c r="B50" s="24" t="s">
        <v>105</v>
      </c>
      <c r="C50" s="13">
        <v>400</v>
      </c>
      <c r="D50" s="13">
        <v>8</v>
      </c>
      <c r="E50" s="13">
        <v>565</v>
      </c>
      <c r="F50" s="13">
        <v>3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1</v>
      </c>
      <c r="M50" s="13">
        <v>2</v>
      </c>
      <c r="N50" s="13">
        <v>979</v>
      </c>
      <c r="O50" s="13">
        <v>0</v>
      </c>
      <c r="P50" s="13">
        <v>7</v>
      </c>
      <c r="Q50" s="13">
        <v>986</v>
      </c>
      <c r="R50" s="13">
        <v>0</v>
      </c>
      <c r="S50" s="13">
        <v>1130</v>
      </c>
      <c r="T50" s="13" t="str">
        <f>VLOOKUP(A50,'[1]210 RAU complete'!$A$1:$E$292,2,0)</f>
        <v>तेजपुर गड़बड़ी</v>
      </c>
      <c r="U50" s="13" t="str">
        <f>VLOOKUP(A50,'[1]210 RAU complete'!$A$1:$E$292,3,0)</f>
        <v>मंडी कार्यालय हॉल तेजपुर गड़बड़ी पूर्व भाग</v>
      </c>
      <c r="V50" s="13">
        <f t="shared" si="0"/>
        <v>165</v>
      </c>
      <c r="W50" s="15">
        <f t="shared" si="1"/>
        <v>87.256637168141594</v>
      </c>
      <c r="X50" s="16"/>
    </row>
    <row r="51" spans="1:24" x14ac:dyDescent="0.25">
      <c r="A51" s="13">
        <v>51</v>
      </c>
      <c r="B51" s="24" t="s">
        <v>106</v>
      </c>
      <c r="C51" s="13">
        <v>388</v>
      </c>
      <c r="D51" s="13">
        <v>1</v>
      </c>
      <c r="E51" s="13">
        <v>393</v>
      </c>
      <c r="F51" s="13">
        <v>1</v>
      </c>
      <c r="G51" s="13">
        <v>0</v>
      </c>
      <c r="H51" s="13">
        <v>2</v>
      </c>
      <c r="I51" s="13">
        <v>0</v>
      </c>
      <c r="J51" s="13">
        <v>0</v>
      </c>
      <c r="K51" s="13">
        <v>2</v>
      </c>
      <c r="L51" s="13">
        <v>0</v>
      </c>
      <c r="M51" s="13">
        <v>1</v>
      </c>
      <c r="N51" s="13">
        <v>788</v>
      </c>
      <c r="O51" s="13">
        <v>0</v>
      </c>
      <c r="P51" s="13">
        <v>4</v>
      </c>
      <c r="Q51" s="13">
        <v>792</v>
      </c>
      <c r="R51" s="13">
        <v>0</v>
      </c>
      <c r="S51" s="13">
        <v>950</v>
      </c>
      <c r="T51" s="13" t="str">
        <f>VLOOKUP(A51,'[1]210 RAU complete'!$A$1:$E$292,2,0)</f>
        <v>पिपलिया राव</v>
      </c>
      <c r="U51" s="13" t="str">
        <f>VLOOKUP(A51,'[1]210 RAU complete'!$A$1:$E$292,3,0)</f>
        <v>छत्रपति स्कूल कमरा नं. 1 गणेश नगर मेन रोड</v>
      </c>
      <c r="V51" s="13">
        <f t="shared" si="0"/>
        <v>5</v>
      </c>
      <c r="W51" s="15">
        <f t="shared" si="1"/>
        <v>83.368421052631575</v>
      </c>
      <c r="X51" s="16"/>
    </row>
    <row r="52" spans="1:24" x14ac:dyDescent="0.25">
      <c r="A52" s="13">
        <v>52</v>
      </c>
      <c r="B52" s="24" t="s">
        <v>107</v>
      </c>
      <c r="C52" s="13">
        <v>101</v>
      </c>
      <c r="D52" s="13">
        <v>0</v>
      </c>
      <c r="E52" s="13">
        <v>464</v>
      </c>
      <c r="F52" s="13">
        <v>2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567</v>
      </c>
      <c r="O52" s="13">
        <v>0</v>
      </c>
      <c r="P52" s="13">
        <v>3</v>
      </c>
      <c r="Q52" s="13">
        <v>570</v>
      </c>
      <c r="R52" s="13">
        <v>0</v>
      </c>
      <c r="S52" s="13">
        <v>644</v>
      </c>
      <c r="T52" s="13" t="str">
        <f>VLOOKUP(A52,'[1]210 RAU complete'!$A$1:$E$292,2,0)</f>
        <v>पिपलिया राव</v>
      </c>
      <c r="U52" s="13" t="str">
        <f>VLOOKUP(A52,'[1]210 RAU complete'!$A$1:$E$292,3,0)</f>
        <v>बिलावली झोन कमरा नं. 2</v>
      </c>
      <c r="V52" s="13">
        <f t="shared" si="0"/>
        <v>363</v>
      </c>
      <c r="W52" s="15">
        <f t="shared" si="1"/>
        <v>88.509316770186331</v>
      </c>
      <c r="X52" s="16"/>
    </row>
    <row r="53" spans="1:24" x14ac:dyDescent="0.25">
      <c r="A53" s="13">
        <v>53</v>
      </c>
      <c r="B53" s="24" t="s">
        <v>108</v>
      </c>
      <c r="C53" s="13">
        <v>308</v>
      </c>
      <c r="D53" s="13">
        <v>2</v>
      </c>
      <c r="E53" s="13">
        <v>579</v>
      </c>
      <c r="F53" s="13">
        <v>3</v>
      </c>
      <c r="G53" s="13">
        <v>0</v>
      </c>
      <c r="H53" s="13">
        <v>0</v>
      </c>
      <c r="I53" s="13">
        <v>0</v>
      </c>
      <c r="J53" s="13">
        <v>1</v>
      </c>
      <c r="K53" s="13">
        <v>2</v>
      </c>
      <c r="L53" s="13">
        <v>0</v>
      </c>
      <c r="M53" s="13">
        <v>0</v>
      </c>
      <c r="N53" s="13">
        <v>895</v>
      </c>
      <c r="O53" s="13">
        <v>0</v>
      </c>
      <c r="P53" s="13">
        <v>12</v>
      </c>
      <c r="Q53" s="13">
        <v>907</v>
      </c>
      <c r="R53" s="13">
        <v>0</v>
      </c>
      <c r="S53" s="13">
        <v>1034</v>
      </c>
      <c r="T53" s="13" t="str">
        <f>VLOOKUP(A53,'[1]210 RAU complete'!$A$1:$E$292,2,0)</f>
        <v>पिपलिया राव</v>
      </c>
      <c r="U53" s="13" t="str">
        <f>VLOOKUP(A53,'[1]210 RAU complete'!$A$1:$E$292,3,0)</f>
        <v>बिलावली झोन कमरा नं. 3</v>
      </c>
      <c r="V53" s="13">
        <f t="shared" si="0"/>
        <v>271</v>
      </c>
      <c r="W53" s="15">
        <f t="shared" si="1"/>
        <v>87.717601547388782</v>
      </c>
      <c r="X53" s="16"/>
    </row>
    <row r="54" spans="1:24" x14ac:dyDescent="0.25">
      <c r="A54" s="13">
        <v>54</v>
      </c>
      <c r="B54" s="24" t="s">
        <v>109</v>
      </c>
      <c r="C54" s="13">
        <v>324</v>
      </c>
      <c r="D54" s="13">
        <v>2</v>
      </c>
      <c r="E54" s="13">
        <v>521</v>
      </c>
      <c r="F54" s="13">
        <v>1</v>
      </c>
      <c r="G54" s="13">
        <v>0</v>
      </c>
      <c r="H54" s="13">
        <v>0</v>
      </c>
      <c r="I54" s="13">
        <v>0</v>
      </c>
      <c r="J54" s="13">
        <v>1</v>
      </c>
      <c r="K54" s="13">
        <v>0</v>
      </c>
      <c r="L54" s="13">
        <v>0</v>
      </c>
      <c r="M54" s="13">
        <v>0</v>
      </c>
      <c r="N54" s="13">
        <v>849</v>
      </c>
      <c r="O54" s="13">
        <v>0</v>
      </c>
      <c r="P54" s="13">
        <v>5</v>
      </c>
      <c r="Q54" s="13">
        <v>854</v>
      </c>
      <c r="R54" s="13">
        <v>0</v>
      </c>
      <c r="S54" s="13">
        <v>1219</v>
      </c>
      <c r="T54" s="13" t="str">
        <f>VLOOKUP(A54,'[1]210 RAU complete'!$A$1:$E$292,2,0)</f>
        <v>पिपलिया राव</v>
      </c>
      <c r="U54" s="13" t="str">
        <f>VLOOKUP(A54,'[1]210 RAU complete'!$A$1:$E$292,3,0)</f>
        <v>बिलावली झोन कमरा नं. 4</v>
      </c>
      <c r="V54" s="13">
        <f t="shared" si="0"/>
        <v>197</v>
      </c>
      <c r="W54" s="15">
        <f t="shared" si="1"/>
        <v>70.057424118129617</v>
      </c>
      <c r="X54" s="16"/>
    </row>
    <row r="55" spans="1:24" x14ac:dyDescent="0.25">
      <c r="A55" s="13">
        <v>55</v>
      </c>
      <c r="B55" s="24" t="s">
        <v>110</v>
      </c>
      <c r="C55" s="13">
        <v>358</v>
      </c>
      <c r="D55" s="13">
        <v>3</v>
      </c>
      <c r="E55" s="13">
        <v>604</v>
      </c>
      <c r="F55" s="13">
        <v>2</v>
      </c>
      <c r="G55" s="13">
        <v>0</v>
      </c>
      <c r="H55" s="13">
        <v>2</v>
      </c>
      <c r="I55" s="13">
        <v>1</v>
      </c>
      <c r="J55" s="13">
        <v>1</v>
      </c>
      <c r="K55" s="13">
        <v>0</v>
      </c>
      <c r="L55" s="13">
        <v>0</v>
      </c>
      <c r="M55" s="13">
        <v>1</v>
      </c>
      <c r="N55" s="13">
        <v>972</v>
      </c>
      <c r="O55" s="13">
        <v>0</v>
      </c>
      <c r="P55" s="13">
        <v>2</v>
      </c>
      <c r="Q55" s="13">
        <v>974</v>
      </c>
      <c r="R55" s="13">
        <v>0</v>
      </c>
      <c r="S55" s="13">
        <v>1194</v>
      </c>
      <c r="T55" s="13" t="str">
        <f>VLOOKUP(A55,'[1]210 RAU complete'!$A$1:$E$292,2,0)</f>
        <v>पिपलिया राव</v>
      </c>
      <c r="U55" s="13" t="str">
        <f>VLOOKUP(A55,'[1]210 RAU complete'!$A$1:$E$292,3,0)</f>
        <v>शा.मा. विद्यालय भवन, पिपलिया राव कमरा नं. 1</v>
      </c>
      <c r="V55" s="13">
        <f t="shared" si="0"/>
        <v>246</v>
      </c>
      <c r="W55" s="15">
        <f t="shared" si="1"/>
        <v>81.574539363484092</v>
      </c>
      <c r="X55" s="16"/>
    </row>
    <row r="56" spans="1:24" x14ac:dyDescent="0.25">
      <c r="A56" s="13">
        <v>56</v>
      </c>
      <c r="B56" s="24" t="s">
        <v>111</v>
      </c>
      <c r="C56" s="13">
        <v>171</v>
      </c>
      <c r="D56" s="13">
        <v>2</v>
      </c>
      <c r="E56" s="13">
        <v>383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556</v>
      </c>
      <c r="O56" s="13">
        <v>0</v>
      </c>
      <c r="P56" s="13">
        <v>7</v>
      </c>
      <c r="Q56" s="13">
        <v>563</v>
      </c>
      <c r="R56" s="13">
        <v>0</v>
      </c>
      <c r="S56" s="13">
        <v>1432</v>
      </c>
      <c r="T56" s="13" t="str">
        <f>VLOOKUP(A56,'[1]210 RAU complete'!$A$1:$E$292,2,0)</f>
        <v>पिपलिया राव</v>
      </c>
      <c r="U56" s="13" t="str">
        <f>VLOOKUP(A56,'[1]210 RAU complete'!$A$1:$E$292,3,0)</f>
        <v>शा.मा.वि.भवन पिपल्याराव क.नं. 4</v>
      </c>
      <c r="V56" s="13">
        <f t="shared" si="0"/>
        <v>212</v>
      </c>
      <c r="W56" s="15">
        <f t="shared" si="1"/>
        <v>39.315642458100555</v>
      </c>
      <c r="X56" s="16"/>
    </row>
    <row r="57" spans="1:24" x14ac:dyDescent="0.25">
      <c r="A57" s="13">
        <v>57</v>
      </c>
      <c r="B57" s="24" t="s">
        <v>112</v>
      </c>
      <c r="C57" s="13">
        <v>370</v>
      </c>
      <c r="D57" s="13">
        <v>2</v>
      </c>
      <c r="E57" s="13">
        <v>662</v>
      </c>
      <c r="F57" s="13">
        <v>0</v>
      </c>
      <c r="G57" s="13">
        <v>0</v>
      </c>
      <c r="H57" s="13">
        <v>1</v>
      </c>
      <c r="I57" s="13">
        <v>0</v>
      </c>
      <c r="J57" s="13">
        <v>1</v>
      </c>
      <c r="K57" s="13">
        <v>0</v>
      </c>
      <c r="L57" s="13">
        <v>0</v>
      </c>
      <c r="M57" s="13">
        <v>1</v>
      </c>
      <c r="N57" s="13">
        <v>1037</v>
      </c>
      <c r="O57" s="13">
        <v>0</v>
      </c>
      <c r="P57" s="13">
        <v>6</v>
      </c>
      <c r="Q57" s="13">
        <v>1043</v>
      </c>
      <c r="R57" s="13">
        <v>0</v>
      </c>
      <c r="S57" s="13">
        <v>1436</v>
      </c>
      <c r="T57" s="13" t="str">
        <f>VLOOKUP(A57,'[1]210 RAU complete'!$A$1:$E$292,2,0)</f>
        <v>पिपलिया राव</v>
      </c>
      <c r="U57" s="13" t="str">
        <f>VLOOKUP(A57,'[1]210 RAU complete'!$A$1:$E$292,3,0)</f>
        <v>शा.मा. विद्यालय भवन, पिपलिया राव कमरा नं. 3</v>
      </c>
      <c r="V57" s="13">
        <f t="shared" si="0"/>
        <v>292</v>
      </c>
      <c r="W57" s="15">
        <f t="shared" si="1"/>
        <v>72.632311977715887</v>
      </c>
      <c r="X57" s="16"/>
    </row>
    <row r="58" spans="1:24" x14ac:dyDescent="0.25">
      <c r="A58" s="13">
        <v>58</v>
      </c>
      <c r="B58" s="24" t="s">
        <v>113</v>
      </c>
      <c r="C58" s="13">
        <v>196</v>
      </c>
      <c r="D58" s="13">
        <v>1</v>
      </c>
      <c r="E58" s="13">
        <v>516</v>
      </c>
      <c r="F58" s="13">
        <v>2</v>
      </c>
      <c r="G58" s="13">
        <v>0</v>
      </c>
      <c r="H58" s="13">
        <v>1</v>
      </c>
      <c r="I58" s="13">
        <v>0</v>
      </c>
      <c r="J58" s="13">
        <v>0</v>
      </c>
      <c r="K58" s="13">
        <v>1</v>
      </c>
      <c r="L58" s="13">
        <v>1</v>
      </c>
      <c r="M58" s="13">
        <v>0</v>
      </c>
      <c r="N58" s="13">
        <v>718</v>
      </c>
      <c r="O58" s="13">
        <v>0</v>
      </c>
      <c r="P58" s="13">
        <v>4</v>
      </c>
      <c r="Q58" s="13">
        <v>722</v>
      </c>
      <c r="R58" s="13">
        <v>0</v>
      </c>
      <c r="S58" s="13">
        <v>1023</v>
      </c>
      <c r="T58" s="13" t="str">
        <f>VLOOKUP(A58,'[1]210 RAU complete'!$A$1:$E$292,2,0)</f>
        <v>पिपलिया राव</v>
      </c>
      <c r="U58" s="13" t="str">
        <f>VLOOKUP(A58,'[1]210 RAU complete'!$A$1:$E$292,3,0)</f>
        <v>अमर मेमोरियल स्कूल क.नं. 2 पिपल्याराव</v>
      </c>
      <c r="V58" s="13">
        <f t="shared" si="0"/>
        <v>320</v>
      </c>
      <c r="W58" s="15">
        <f t="shared" si="1"/>
        <v>70.576735092864126</v>
      </c>
      <c r="X58" s="16"/>
    </row>
    <row r="59" spans="1:24" x14ac:dyDescent="0.25">
      <c r="A59" s="17">
        <v>59</v>
      </c>
      <c r="B59" s="24" t="s">
        <v>114</v>
      </c>
      <c r="C59" s="17">
        <v>360</v>
      </c>
      <c r="D59" s="17">
        <v>11</v>
      </c>
      <c r="E59" s="17">
        <v>298</v>
      </c>
      <c r="F59" s="17">
        <v>3</v>
      </c>
      <c r="G59" s="17">
        <v>0</v>
      </c>
      <c r="H59" s="17">
        <v>1</v>
      </c>
      <c r="I59" s="17">
        <v>1</v>
      </c>
      <c r="J59" s="17">
        <v>1</v>
      </c>
      <c r="K59" s="17">
        <v>1</v>
      </c>
      <c r="L59" s="17">
        <v>1</v>
      </c>
      <c r="M59" s="17">
        <v>0</v>
      </c>
      <c r="N59" s="17">
        <v>677</v>
      </c>
      <c r="O59" s="17">
        <v>0</v>
      </c>
      <c r="P59" s="17">
        <v>5</v>
      </c>
      <c r="Q59" s="17">
        <v>682</v>
      </c>
      <c r="R59" s="17">
        <v>0</v>
      </c>
      <c r="S59" s="17">
        <v>1282</v>
      </c>
      <c r="T59" s="13" t="str">
        <f>VLOOKUP(A59,'[1]210 RAU complete'!$A$1:$E$292,2,0)</f>
        <v>सोनिया गांधी नगर</v>
      </c>
      <c r="U59" s="13" t="str">
        <f>VLOOKUP(A59,'[1]210 RAU complete'!$A$1:$E$292,3,0)</f>
        <v>अमर मेमोरियल स्कूल, कमरा नं. 1 पिपलिया राव</v>
      </c>
      <c r="V59" s="17">
        <f t="shared" si="0"/>
        <v>62</v>
      </c>
      <c r="W59" s="18">
        <f t="shared" si="1"/>
        <v>53.198127925116999</v>
      </c>
      <c r="X59" s="16"/>
    </row>
    <row r="60" spans="1:24" x14ac:dyDescent="0.25">
      <c r="A60" s="13">
        <v>60</v>
      </c>
      <c r="B60" s="24" t="s">
        <v>115</v>
      </c>
      <c r="C60" s="13">
        <v>369</v>
      </c>
      <c r="D60" s="13">
        <v>1</v>
      </c>
      <c r="E60" s="13">
        <v>664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4</v>
      </c>
      <c r="L60" s="13">
        <v>1</v>
      </c>
      <c r="M60" s="13">
        <v>0</v>
      </c>
      <c r="N60" s="13">
        <v>1040</v>
      </c>
      <c r="O60" s="13">
        <v>0</v>
      </c>
      <c r="P60" s="13">
        <v>6</v>
      </c>
      <c r="Q60" s="13">
        <v>1046</v>
      </c>
      <c r="R60" s="13">
        <v>0</v>
      </c>
      <c r="S60" s="13">
        <v>1252</v>
      </c>
      <c r="T60" s="13" t="str">
        <f>VLOOKUP(A60,'[1]210 RAU complete'!$A$1:$E$292,2,0)</f>
        <v>पिपलिया पाला</v>
      </c>
      <c r="U60" s="13" t="str">
        <f>VLOOKUP(A60,'[1]210 RAU complete'!$A$1:$E$292,3,0)</f>
        <v>हजारीलाल मुरारी मोर्य समाज की धर्मशाला, कमरा नं. 1</v>
      </c>
      <c r="V60" s="13">
        <f t="shared" si="0"/>
        <v>295</v>
      </c>
      <c r="W60" s="15">
        <f t="shared" si="1"/>
        <v>83.546325878594246</v>
      </c>
      <c r="X60" s="16"/>
    </row>
    <row r="61" spans="1:24" x14ac:dyDescent="0.25">
      <c r="A61" s="13">
        <v>61</v>
      </c>
      <c r="B61" s="24" t="s">
        <v>116</v>
      </c>
      <c r="C61" s="13">
        <v>313</v>
      </c>
      <c r="D61" s="13">
        <v>3</v>
      </c>
      <c r="E61" s="13">
        <v>485</v>
      </c>
      <c r="F61" s="13">
        <v>2</v>
      </c>
      <c r="G61" s="13">
        <v>0</v>
      </c>
      <c r="H61" s="13">
        <v>0</v>
      </c>
      <c r="I61" s="13">
        <v>1</v>
      </c>
      <c r="J61" s="13">
        <v>1</v>
      </c>
      <c r="K61" s="13">
        <v>1</v>
      </c>
      <c r="L61" s="13">
        <v>0</v>
      </c>
      <c r="M61" s="13">
        <v>0</v>
      </c>
      <c r="N61" s="13">
        <v>806</v>
      </c>
      <c r="O61" s="13">
        <v>0</v>
      </c>
      <c r="P61" s="13">
        <v>10</v>
      </c>
      <c r="Q61" s="13">
        <v>816</v>
      </c>
      <c r="R61" s="13">
        <v>0</v>
      </c>
      <c r="S61" s="13">
        <v>1405</v>
      </c>
      <c r="T61" s="13" t="str">
        <f>VLOOKUP(A61,'[1]210 RAU complete'!$A$1:$E$292,2,0)</f>
        <v>पिपल्यापाला</v>
      </c>
      <c r="U61" s="13" t="str">
        <f>VLOOKUP(A61,'[1]210 RAU complete'!$A$1:$E$292,3,0)</f>
        <v>नव निर्मित जमनाबाई हजारीलाल मुरारी मोर्य समाज की धर्मशाला क.नं. 2</v>
      </c>
      <c r="V61" s="13">
        <f t="shared" si="0"/>
        <v>172</v>
      </c>
      <c r="W61" s="15">
        <f t="shared" si="1"/>
        <v>58.078291814946617</v>
      </c>
      <c r="X61" s="16"/>
    </row>
    <row r="62" spans="1:24" x14ac:dyDescent="0.25">
      <c r="A62" s="13">
        <v>62</v>
      </c>
      <c r="B62" s="24" t="s">
        <v>117</v>
      </c>
      <c r="C62" s="13">
        <v>135</v>
      </c>
      <c r="D62" s="13">
        <v>2</v>
      </c>
      <c r="E62" s="13">
        <v>568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3</v>
      </c>
      <c r="L62" s="13">
        <v>0</v>
      </c>
      <c r="M62" s="13">
        <v>1</v>
      </c>
      <c r="N62" s="13">
        <v>709</v>
      </c>
      <c r="O62" s="13">
        <v>0</v>
      </c>
      <c r="P62" s="13">
        <v>4</v>
      </c>
      <c r="Q62" s="13">
        <v>713</v>
      </c>
      <c r="R62" s="13">
        <v>0</v>
      </c>
      <c r="S62" s="13">
        <v>1016</v>
      </c>
      <c r="T62" s="13" t="str">
        <f>VLOOKUP(A62,'[1]210 RAU complete'!$A$1:$E$292,2,0)</f>
        <v>ए.बी. रोड</v>
      </c>
      <c r="U62" s="13" t="str">
        <f>VLOOKUP(A62,'[1]210 RAU complete'!$A$1:$E$292,3,0)</f>
        <v>माता गुजरी कॉलेज के.जी. भवन ए.बी. रोड कमरा नं. 1</v>
      </c>
      <c r="V62" s="13">
        <f t="shared" si="0"/>
        <v>433</v>
      </c>
      <c r="W62" s="15">
        <f t="shared" si="1"/>
        <v>70.177165354330711</v>
      </c>
      <c r="X62" s="16"/>
    </row>
    <row r="63" spans="1:24" x14ac:dyDescent="0.25">
      <c r="A63" s="17">
        <v>63</v>
      </c>
      <c r="B63" s="24" t="s">
        <v>118</v>
      </c>
      <c r="C63" s="17">
        <v>387</v>
      </c>
      <c r="D63" s="17">
        <v>3</v>
      </c>
      <c r="E63" s="17">
        <v>355</v>
      </c>
      <c r="F63" s="17">
        <v>0</v>
      </c>
      <c r="G63" s="17">
        <v>1</v>
      </c>
      <c r="H63" s="17">
        <v>1</v>
      </c>
      <c r="I63" s="17">
        <v>0</v>
      </c>
      <c r="J63" s="17">
        <v>3</v>
      </c>
      <c r="K63" s="17">
        <v>0</v>
      </c>
      <c r="L63" s="17">
        <v>0</v>
      </c>
      <c r="M63" s="17">
        <v>2</v>
      </c>
      <c r="N63" s="17">
        <v>752</v>
      </c>
      <c r="O63" s="17">
        <v>0</v>
      </c>
      <c r="P63" s="17">
        <v>8</v>
      </c>
      <c r="Q63" s="17">
        <v>760</v>
      </c>
      <c r="R63" s="17">
        <v>0</v>
      </c>
      <c r="S63" s="17">
        <v>844</v>
      </c>
      <c r="T63" s="13" t="str">
        <f>VLOOKUP(A63,'[1]210 RAU complete'!$A$1:$E$292,2,0)</f>
        <v>राहुल गांधी नगर</v>
      </c>
      <c r="U63" s="13" t="str">
        <f>VLOOKUP(A63,'[1]210 RAU complete'!$A$1:$E$292,3,0)</f>
        <v>शा प्रा वि राहुल गांधी नगर कमरा नं 2</v>
      </c>
      <c r="V63" s="17">
        <f t="shared" si="0"/>
        <v>32</v>
      </c>
      <c r="W63" s="18">
        <f t="shared" si="1"/>
        <v>90.047393364928908</v>
      </c>
      <c r="X63" s="16"/>
    </row>
    <row r="64" spans="1:24" x14ac:dyDescent="0.25">
      <c r="A64" s="17">
        <v>64</v>
      </c>
      <c r="B64" s="24" t="s">
        <v>119</v>
      </c>
      <c r="C64" s="17">
        <v>328</v>
      </c>
      <c r="D64" s="17">
        <v>4</v>
      </c>
      <c r="E64" s="17">
        <v>232</v>
      </c>
      <c r="F64" s="17">
        <v>1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3</v>
      </c>
      <c r="M64" s="17">
        <v>2</v>
      </c>
      <c r="N64" s="17">
        <v>570</v>
      </c>
      <c r="O64" s="17">
        <v>0</v>
      </c>
      <c r="P64" s="17">
        <v>5</v>
      </c>
      <c r="Q64" s="17">
        <v>575</v>
      </c>
      <c r="R64" s="17">
        <v>0</v>
      </c>
      <c r="S64" s="17">
        <v>1412</v>
      </c>
      <c r="T64" s="13" t="str">
        <f>VLOOKUP(A64,'[1]210 RAU complete'!$A$1:$E$292,2,0)</f>
        <v>एकता नगर</v>
      </c>
      <c r="U64" s="13" t="str">
        <f>VLOOKUP(A64,'[1]210 RAU complete'!$A$1:$E$292,3,0)</f>
        <v>शा. प्रा. वि. एकता नगर कमरा नं. 1</v>
      </c>
      <c r="V64" s="17">
        <f t="shared" si="0"/>
        <v>96</v>
      </c>
      <c r="W64" s="18">
        <f t="shared" si="1"/>
        <v>40.722379603399432</v>
      </c>
      <c r="X64" s="16"/>
    </row>
    <row r="65" spans="1:24" x14ac:dyDescent="0.25">
      <c r="A65" s="17">
        <v>65</v>
      </c>
      <c r="B65" s="24" t="s">
        <v>120</v>
      </c>
      <c r="C65" s="17">
        <v>558</v>
      </c>
      <c r="D65" s="17">
        <v>2</v>
      </c>
      <c r="E65" s="17">
        <v>387</v>
      </c>
      <c r="F65" s="17">
        <v>1</v>
      </c>
      <c r="G65" s="17">
        <v>0</v>
      </c>
      <c r="H65" s="17">
        <v>0</v>
      </c>
      <c r="I65" s="17">
        <v>0</v>
      </c>
      <c r="J65" s="17">
        <v>0</v>
      </c>
      <c r="K65" s="17">
        <v>2</v>
      </c>
      <c r="L65" s="17">
        <v>2</v>
      </c>
      <c r="M65" s="17">
        <v>1</v>
      </c>
      <c r="N65" s="17">
        <v>953</v>
      </c>
      <c r="O65" s="17">
        <v>0</v>
      </c>
      <c r="P65" s="17">
        <v>11</v>
      </c>
      <c r="Q65" s="17">
        <v>964</v>
      </c>
      <c r="R65" s="17">
        <v>0</v>
      </c>
      <c r="S65" s="17">
        <v>1340</v>
      </c>
      <c r="T65" s="13" t="str">
        <f>VLOOKUP(A65,'[1]210 RAU complete'!$A$1:$E$292,2,0)</f>
        <v>पिपलिया राव</v>
      </c>
      <c r="U65" s="13" t="str">
        <f>VLOOKUP(A65,'[1]210 RAU complete'!$A$1:$E$292,3,0)</f>
        <v>नवनिर्मित जमनाबाई हजारीलाल मुरारी मौर्य समाज की धर्मशाला हॉल का पूर्व भाग पिपल्यापाला कमरा नं. 3</v>
      </c>
      <c r="V65" s="17">
        <f t="shared" si="0"/>
        <v>171</v>
      </c>
      <c r="W65" s="18">
        <f t="shared" si="1"/>
        <v>71.940298507462686</v>
      </c>
      <c r="X65" s="16"/>
    </row>
    <row r="66" spans="1:24" x14ac:dyDescent="0.25">
      <c r="A66" s="13">
        <v>66</v>
      </c>
      <c r="B66" s="24" t="s">
        <v>121</v>
      </c>
      <c r="C66" s="13">
        <v>368</v>
      </c>
      <c r="D66" s="13">
        <v>1</v>
      </c>
      <c r="E66" s="13">
        <v>551</v>
      </c>
      <c r="F66" s="13">
        <v>1</v>
      </c>
      <c r="G66" s="13">
        <v>0</v>
      </c>
      <c r="H66" s="13">
        <v>1</v>
      </c>
      <c r="I66" s="13">
        <v>0</v>
      </c>
      <c r="J66" s="13">
        <v>0</v>
      </c>
      <c r="K66" s="13">
        <v>1</v>
      </c>
      <c r="L66" s="13">
        <v>0</v>
      </c>
      <c r="M66" s="13">
        <v>0</v>
      </c>
      <c r="N66" s="13">
        <v>923</v>
      </c>
      <c r="O66" s="13">
        <v>0</v>
      </c>
      <c r="P66" s="13">
        <v>7</v>
      </c>
      <c r="Q66" s="13">
        <v>930</v>
      </c>
      <c r="R66" s="13">
        <v>0</v>
      </c>
      <c r="S66" s="13">
        <v>996</v>
      </c>
      <c r="T66" s="13" t="str">
        <f>VLOOKUP(A66,'[1]210 RAU complete'!$A$1:$E$292,2,0)</f>
        <v>बी.के. सिन्धी कॉलोनी</v>
      </c>
      <c r="U66" s="13" t="str">
        <f>VLOOKUP(A66,'[1]210 RAU complete'!$A$1:$E$292,3,0)</f>
        <v>पंजवानी कन्या हा.से. स्कूल क.नं. 5, बी.के. सिन्धी कॉलोनी</v>
      </c>
      <c r="V66" s="13">
        <f t="shared" ref="V66:V129" si="2">MAX(E66,C66)-MIN(C66,E66)</f>
        <v>183</v>
      </c>
      <c r="W66" s="15">
        <f t="shared" ref="W66:W129" si="3">(Q66/S66)*100</f>
        <v>93.373493975903614</v>
      </c>
      <c r="X66" s="16"/>
    </row>
    <row r="67" spans="1:24" x14ac:dyDescent="0.25">
      <c r="A67" s="13">
        <v>67</v>
      </c>
      <c r="B67" s="24" t="s">
        <v>122</v>
      </c>
      <c r="C67" s="13">
        <v>267</v>
      </c>
      <c r="D67" s="13">
        <v>1</v>
      </c>
      <c r="E67" s="13">
        <v>593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3</v>
      </c>
      <c r="L67" s="13">
        <v>1</v>
      </c>
      <c r="M67" s="13">
        <v>0</v>
      </c>
      <c r="N67" s="13">
        <v>865</v>
      </c>
      <c r="O67" s="13">
        <v>0</v>
      </c>
      <c r="P67" s="13">
        <v>4</v>
      </c>
      <c r="Q67" s="13">
        <v>869</v>
      </c>
      <c r="R67" s="13">
        <v>0</v>
      </c>
      <c r="S67" s="13">
        <v>966</v>
      </c>
      <c r="T67" s="13" t="str">
        <f>VLOOKUP(A67,'[1]210 RAU complete'!$A$1:$E$292,2,0)</f>
        <v>बी.के. सिन्धी कॉलोनी</v>
      </c>
      <c r="U67" s="13" t="str">
        <f>VLOOKUP(A67,'[1]210 RAU complete'!$A$1:$E$292,3,0)</f>
        <v>टेलेन्ट हा.से. स्कूल कक्ष क. 1, जानकी नगर</v>
      </c>
      <c r="V67" s="13">
        <f t="shared" si="2"/>
        <v>326</v>
      </c>
      <c r="W67" s="15">
        <f t="shared" si="3"/>
        <v>89.958592132505174</v>
      </c>
      <c r="X67" s="16"/>
    </row>
    <row r="68" spans="1:24" x14ac:dyDescent="0.25">
      <c r="A68" s="13">
        <v>68</v>
      </c>
      <c r="B68" s="24" t="s">
        <v>123</v>
      </c>
      <c r="C68" s="13">
        <v>303</v>
      </c>
      <c r="D68" s="13">
        <v>0</v>
      </c>
      <c r="E68" s="13">
        <v>471</v>
      </c>
      <c r="F68" s="13">
        <v>2</v>
      </c>
      <c r="G68" s="13">
        <v>1</v>
      </c>
      <c r="H68" s="13">
        <v>1</v>
      </c>
      <c r="I68" s="13">
        <v>1</v>
      </c>
      <c r="J68" s="13">
        <v>0</v>
      </c>
      <c r="K68" s="13">
        <v>6</v>
      </c>
      <c r="L68" s="13">
        <v>0</v>
      </c>
      <c r="M68" s="13">
        <v>1</v>
      </c>
      <c r="N68" s="13">
        <v>786</v>
      </c>
      <c r="O68" s="13">
        <v>0</v>
      </c>
      <c r="P68" s="13">
        <v>13</v>
      </c>
      <c r="Q68" s="13">
        <v>799</v>
      </c>
      <c r="R68" s="13">
        <v>0</v>
      </c>
      <c r="S68" s="13">
        <v>1313</v>
      </c>
      <c r="T68" s="13" t="str">
        <f>VLOOKUP(A68,'[1]210 RAU complete'!$A$1:$E$292,2,0)</f>
        <v>बी.के. सिन्धी कॉलोनी</v>
      </c>
      <c r="U68" s="13" t="str">
        <f>VLOOKUP(A68,'[1]210 RAU complete'!$A$1:$E$292,3,0)</f>
        <v>पंजवानी कन्या हा. से. स्कूल क.न. 3 बी.के. सिन्धी कॉलोनी</v>
      </c>
      <c r="V68" s="13">
        <f t="shared" si="2"/>
        <v>168</v>
      </c>
      <c r="W68" s="15">
        <f t="shared" si="3"/>
        <v>60.853008377760851</v>
      </c>
      <c r="X68" s="16"/>
    </row>
    <row r="69" spans="1:24" x14ac:dyDescent="0.25">
      <c r="A69" s="13">
        <v>69</v>
      </c>
      <c r="B69" s="24" t="s">
        <v>124</v>
      </c>
      <c r="C69" s="13">
        <v>266</v>
      </c>
      <c r="D69" s="13">
        <v>2</v>
      </c>
      <c r="E69" s="13">
        <v>608</v>
      </c>
      <c r="F69" s="13">
        <v>2</v>
      </c>
      <c r="G69" s="13">
        <v>0</v>
      </c>
      <c r="H69" s="13">
        <v>0</v>
      </c>
      <c r="I69" s="13">
        <v>0</v>
      </c>
      <c r="J69" s="13">
        <v>1</v>
      </c>
      <c r="K69" s="13">
        <v>4</v>
      </c>
      <c r="L69" s="13">
        <v>1</v>
      </c>
      <c r="M69" s="13">
        <v>0</v>
      </c>
      <c r="N69" s="13">
        <v>884</v>
      </c>
      <c r="O69" s="13">
        <v>0</v>
      </c>
      <c r="P69" s="13">
        <v>18</v>
      </c>
      <c r="Q69" s="13">
        <v>902</v>
      </c>
      <c r="R69" s="13">
        <v>0</v>
      </c>
      <c r="S69" s="13">
        <v>1271</v>
      </c>
      <c r="T69" s="13" t="str">
        <f>VLOOKUP(A69,'[1]210 RAU complete'!$A$1:$E$292,2,0)</f>
        <v>इन्द्रपुरी कॉलोनी</v>
      </c>
      <c r="U69" s="13" t="str">
        <f>VLOOKUP(A69,'[1]210 RAU complete'!$A$1:$E$292,3,0)</f>
        <v>माता गुजरी कॉलेज ए.बी. रोड कक्ष क्र. 04</v>
      </c>
      <c r="V69" s="13">
        <f t="shared" si="2"/>
        <v>342</v>
      </c>
      <c r="W69" s="15">
        <f t="shared" si="3"/>
        <v>70.967741935483872</v>
      </c>
      <c r="X69" s="16"/>
    </row>
    <row r="70" spans="1:24" x14ac:dyDescent="0.25">
      <c r="A70" s="13">
        <v>70</v>
      </c>
      <c r="B70" s="24" t="s">
        <v>125</v>
      </c>
      <c r="C70" s="13">
        <v>269</v>
      </c>
      <c r="D70" s="13">
        <v>4</v>
      </c>
      <c r="E70" s="13">
        <v>363</v>
      </c>
      <c r="F70" s="13">
        <v>2</v>
      </c>
      <c r="G70" s="13">
        <v>0</v>
      </c>
      <c r="H70" s="13">
        <v>0</v>
      </c>
      <c r="I70" s="13">
        <v>0</v>
      </c>
      <c r="J70" s="13">
        <v>0</v>
      </c>
      <c r="K70" s="13">
        <v>5</v>
      </c>
      <c r="L70" s="13">
        <v>0</v>
      </c>
      <c r="M70" s="13">
        <v>0</v>
      </c>
      <c r="N70" s="13">
        <v>643</v>
      </c>
      <c r="O70" s="13">
        <v>0</v>
      </c>
      <c r="P70" s="13">
        <v>9</v>
      </c>
      <c r="Q70" s="13">
        <v>652</v>
      </c>
      <c r="R70" s="13">
        <v>0</v>
      </c>
      <c r="S70" s="13">
        <v>1275</v>
      </c>
      <c r="T70" s="13" t="str">
        <f>VLOOKUP(A70,'[1]210 RAU complete'!$A$1:$E$292,2,0)</f>
        <v>इन्द्रपुरी कॉलोनी</v>
      </c>
      <c r="U70" s="13" t="str">
        <f>VLOOKUP(A70,'[1]210 RAU complete'!$A$1:$E$292,3,0)</f>
        <v>माता गुजरी कॉलेज ए.बी. रोड नर्सरी भवन बी</v>
      </c>
      <c r="V70" s="13">
        <f t="shared" si="2"/>
        <v>94</v>
      </c>
      <c r="W70" s="15">
        <f t="shared" si="3"/>
        <v>51.13725490196078</v>
      </c>
      <c r="X70" s="16"/>
    </row>
    <row r="71" spans="1:24" x14ac:dyDescent="0.25">
      <c r="A71" s="17">
        <v>71</v>
      </c>
      <c r="B71" s="24" t="s">
        <v>126</v>
      </c>
      <c r="C71" s="17">
        <v>439</v>
      </c>
      <c r="D71" s="17">
        <v>1</v>
      </c>
      <c r="E71" s="17">
        <v>397</v>
      </c>
      <c r="F71" s="17">
        <v>2</v>
      </c>
      <c r="G71" s="17">
        <v>0</v>
      </c>
      <c r="H71" s="17">
        <v>0</v>
      </c>
      <c r="I71" s="17">
        <v>0</v>
      </c>
      <c r="J71" s="17">
        <v>0</v>
      </c>
      <c r="K71" s="17">
        <v>3</v>
      </c>
      <c r="L71" s="17">
        <v>0</v>
      </c>
      <c r="M71" s="17">
        <v>2</v>
      </c>
      <c r="N71" s="17">
        <v>844</v>
      </c>
      <c r="O71" s="17">
        <v>0</v>
      </c>
      <c r="P71" s="17">
        <v>5</v>
      </c>
      <c r="Q71" s="17">
        <v>849</v>
      </c>
      <c r="R71" s="17">
        <v>0</v>
      </c>
      <c r="S71" s="17">
        <v>1263</v>
      </c>
      <c r="T71" s="13" t="str">
        <f>VLOOKUP(A71,'[1]210 RAU complete'!$A$1:$E$292,2,0)</f>
        <v>इन्द्रपुरी कॉलोनी</v>
      </c>
      <c r="U71" s="13" t="str">
        <f>VLOOKUP(A71,'[1]210 RAU complete'!$A$1:$E$292,3,0)</f>
        <v>माता गुजरी कॉलेज ए.बी रोड नर्सरी भवन सी</v>
      </c>
      <c r="V71" s="17">
        <f t="shared" si="2"/>
        <v>42</v>
      </c>
      <c r="W71" s="18">
        <f t="shared" si="3"/>
        <v>67.220902612826606</v>
      </c>
      <c r="X71" s="16"/>
    </row>
    <row r="72" spans="1:24" x14ac:dyDescent="0.25">
      <c r="A72" s="13">
        <v>72</v>
      </c>
      <c r="B72" s="24" t="s">
        <v>127</v>
      </c>
      <c r="C72" s="13">
        <v>165</v>
      </c>
      <c r="D72" s="13">
        <v>0</v>
      </c>
      <c r="E72" s="13">
        <v>566</v>
      </c>
      <c r="F72" s="13">
        <v>4</v>
      </c>
      <c r="G72" s="13">
        <v>0</v>
      </c>
      <c r="H72" s="13">
        <v>0</v>
      </c>
      <c r="I72" s="13">
        <v>0</v>
      </c>
      <c r="J72" s="13">
        <v>1</v>
      </c>
      <c r="K72" s="13">
        <v>3</v>
      </c>
      <c r="L72" s="13">
        <v>0</v>
      </c>
      <c r="M72" s="13">
        <v>0</v>
      </c>
      <c r="N72" s="13">
        <v>739</v>
      </c>
      <c r="O72" s="13">
        <v>0</v>
      </c>
      <c r="P72" s="13">
        <v>15</v>
      </c>
      <c r="Q72" s="13">
        <v>754</v>
      </c>
      <c r="R72" s="13">
        <v>0</v>
      </c>
      <c r="S72" s="13">
        <v>1132</v>
      </c>
      <c r="T72" s="13" t="str">
        <f>VLOOKUP(A72,'[1]210 RAU complete'!$A$1:$E$292,2,0)</f>
        <v>ए.बी. रोड</v>
      </c>
      <c r="U72" s="13" t="str">
        <f>VLOOKUP(A72,'[1]210 RAU complete'!$A$1:$E$292,3,0)</f>
        <v>माता गुजरी कॉलेज ए.बी. रोड कमरा न 2</v>
      </c>
      <c r="V72" s="13">
        <f t="shared" si="2"/>
        <v>401</v>
      </c>
      <c r="W72" s="15">
        <f t="shared" si="3"/>
        <v>66.607773851590096</v>
      </c>
      <c r="X72" s="16"/>
    </row>
    <row r="73" spans="1:24" x14ac:dyDescent="0.25">
      <c r="A73" s="13">
        <v>73</v>
      </c>
      <c r="B73" s="24" t="s">
        <v>128</v>
      </c>
      <c r="C73" s="13">
        <v>123</v>
      </c>
      <c r="D73" s="13">
        <v>2</v>
      </c>
      <c r="E73" s="13">
        <v>558</v>
      </c>
      <c r="F73" s="13">
        <v>1</v>
      </c>
      <c r="G73" s="13">
        <v>0</v>
      </c>
      <c r="H73" s="13">
        <v>0</v>
      </c>
      <c r="I73" s="13">
        <v>0</v>
      </c>
      <c r="J73" s="13">
        <v>0</v>
      </c>
      <c r="K73" s="13">
        <v>5</v>
      </c>
      <c r="L73" s="13">
        <v>0</v>
      </c>
      <c r="M73" s="13">
        <v>1</v>
      </c>
      <c r="N73" s="13">
        <v>690</v>
      </c>
      <c r="O73" s="13">
        <v>0</v>
      </c>
      <c r="P73" s="13">
        <v>8</v>
      </c>
      <c r="Q73" s="13">
        <v>698</v>
      </c>
      <c r="R73" s="13">
        <v>0</v>
      </c>
      <c r="S73" s="13">
        <v>1397</v>
      </c>
      <c r="T73" s="13" t="str">
        <f>VLOOKUP(A73,'[1]210 RAU complete'!$A$1:$E$292,2,0)</f>
        <v>इन्द्रपुरी कॉलोनी</v>
      </c>
      <c r="U73" s="13" t="str">
        <f>VLOOKUP(A73,'[1]210 RAU complete'!$A$1:$E$292,3,0)</f>
        <v>माता गुजरी कॉलेज क.न. 3 ए.बी. रोड</v>
      </c>
      <c r="V73" s="13">
        <f t="shared" si="2"/>
        <v>435</v>
      </c>
      <c r="W73" s="15">
        <f t="shared" si="3"/>
        <v>49.964209019327129</v>
      </c>
      <c r="X73" s="16"/>
    </row>
    <row r="74" spans="1:24" x14ac:dyDescent="0.25">
      <c r="A74" s="13">
        <v>74</v>
      </c>
      <c r="B74" s="24" t="s">
        <v>129</v>
      </c>
      <c r="C74" s="13">
        <v>337</v>
      </c>
      <c r="D74" s="13">
        <v>3</v>
      </c>
      <c r="E74" s="13">
        <v>543</v>
      </c>
      <c r="F74" s="13">
        <v>1</v>
      </c>
      <c r="G74" s="13">
        <v>0</v>
      </c>
      <c r="H74" s="13">
        <v>1</v>
      </c>
      <c r="I74" s="13">
        <v>0</v>
      </c>
      <c r="J74" s="13">
        <v>1</v>
      </c>
      <c r="K74" s="13">
        <v>1</v>
      </c>
      <c r="L74" s="13">
        <v>1</v>
      </c>
      <c r="M74" s="13">
        <v>1</v>
      </c>
      <c r="N74" s="13">
        <v>889</v>
      </c>
      <c r="O74" s="13">
        <v>0</v>
      </c>
      <c r="P74" s="13">
        <v>8</v>
      </c>
      <c r="Q74" s="13">
        <v>897</v>
      </c>
      <c r="R74" s="13">
        <v>0</v>
      </c>
      <c r="S74" s="13">
        <v>995</v>
      </c>
      <c r="T74" s="13" t="str">
        <f>VLOOKUP(A74,'[1]210 RAU complete'!$A$1:$E$292,2,0)</f>
        <v>केसर बाग रोड</v>
      </c>
      <c r="U74" s="13" t="str">
        <f>VLOOKUP(A74,'[1]210 RAU complete'!$A$1:$E$292,3,0)</f>
        <v>पानी की टंकी हॉल, नेमा नगर</v>
      </c>
      <c r="V74" s="13">
        <f t="shared" si="2"/>
        <v>206</v>
      </c>
      <c r="W74" s="15">
        <f t="shared" si="3"/>
        <v>90.150753768844211</v>
      </c>
      <c r="X74" s="16"/>
    </row>
    <row r="75" spans="1:24" x14ac:dyDescent="0.25">
      <c r="A75" s="13">
        <v>75</v>
      </c>
      <c r="B75" s="24" t="s">
        <v>130</v>
      </c>
      <c r="C75" s="13">
        <v>309</v>
      </c>
      <c r="D75" s="13">
        <v>1</v>
      </c>
      <c r="E75" s="13">
        <v>673</v>
      </c>
      <c r="F75" s="13">
        <v>1</v>
      </c>
      <c r="G75" s="13">
        <v>0</v>
      </c>
      <c r="H75" s="13">
        <v>0</v>
      </c>
      <c r="I75" s="13">
        <v>0</v>
      </c>
      <c r="J75" s="13">
        <v>0</v>
      </c>
      <c r="K75" s="13">
        <v>4</v>
      </c>
      <c r="L75" s="13">
        <v>0</v>
      </c>
      <c r="M75" s="13">
        <v>0</v>
      </c>
      <c r="N75" s="13">
        <v>988</v>
      </c>
      <c r="O75" s="13">
        <v>0</v>
      </c>
      <c r="P75" s="13">
        <v>12</v>
      </c>
      <c r="Q75" s="13">
        <v>1000</v>
      </c>
      <c r="R75" s="13">
        <v>0</v>
      </c>
      <c r="S75" s="13">
        <v>1182</v>
      </c>
      <c r="T75" s="13" t="str">
        <f>VLOOKUP(A75,'[1]210 RAU complete'!$A$1:$E$292,2,0)</f>
        <v>नेमा नगर</v>
      </c>
      <c r="U75" s="13" t="str">
        <f>VLOOKUP(A75,'[1]210 RAU complete'!$A$1:$E$292,3,0)</f>
        <v>चमेलीदेवी स्कूल केसर बाग रोड क.नं. 1</v>
      </c>
      <c r="V75" s="13">
        <f t="shared" si="2"/>
        <v>364</v>
      </c>
      <c r="W75" s="15">
        <f t="shared" si="3"/>
        <v>84.602368866328263</v>
      </c>
      <c r="X75" s="16"/>
    </row>
    <row r="76" spans="1:24" x14ac:dyDescent="0.25">
      <c r="A76" s="13">
        <v>76</v>
      </c>
      <c r="B76" s="24" t="s">
        <v>131</v>
      </c>
      <c r="C76" s="13">
        <v>296</v>
      </c>
      <c r="D76" s="13">
        <v>1</v>
      </c>
      <c r="E76" s="13">
        <v>575</v>
      </c>
      <c r="F76" s="13">
        <v>4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1</v>
      </c>
      <c r="N76" s="13">
        <v>877</v>
      </c>
      <c r="O76" s="13">
        <v>0</v>
      </c>
      <c r="P76" s="13">
        <v>4</v>
      </c>
      <c r="Q76" s="13">
        <v>881</v>
      </c>
      <c r="R76" s="13">
        <v>0</v>
      </c>
      <c r="S76" s="13">
        <v>1054</v>
      </c>
      <c r="T76" s="13" t="str">
        <f>VLOOKUP(A76,'[1]210 RAU complete'!$A$1:$E$292,2,0)</f>
        <v>केसर बाग रोड</v>
      </c>
      <c r="U76" s="13" t="str">
        <f>VLOOKUP(A76,'[1]210 RAU complete'!$A$1:$E$292,3,0)</f>
        <v>गौशाला अहिल्या माता ट्रस्ट, केसर बाग रोड उत्तर</v>
      </c>
      <c r="V76" s="13">
        <f t="shared" si="2"/>
        <v>279</v>
      </c>
      <c r="W76" s="15">
        <f t="shared" si="3"/>
        <v>83.586337760910808</v>
      </c>
      <c r="X76" s="16"/>
    </row>
    <row r="77" spans="1:24" x14ac:dyDescent="0.25">
      <c r="A77" s="13">
        <v>77</v>
      </c>
      <c r="B77" s="24" t="s">
        <v>132</v>
      </c>
      <c r="C77" s="13">
        <v>174</v>
      </c>
      <c r="D77" s="13">
        <v>0</v>
      </c>
      <c r="E77" s="13">
        <v>385</v>
      </c>
      <c r="F77" s="13">
        <v>1</v>
      </c>
      <c r="G77" s="13">
        <v>1</v>
      </c>
      <c r="H77" s="13">
        <v>0</v>
      </c>
      <c r="I77" s="13">
        <v>0</v>
      </c>
      <c r="J77" s="13">
        <v>0</v>
      </c>
      <c r="K77" s="13">
        <v>3</v>
      </c>
      <c r="L77" s="13">
        <v>0</v>
      </c>
      <c r="M77" s="13">
        <v>0</v>
      </c>
      <c r="N77" s="13">
        <v>564</v>
      </c>
      <c r="O77" s="13">
        <v>0</v>
      </c>
      <c r="P77" s="13">
        <v>10</v>
      </c>
      <c r="Q77" s="13">
        <v>574</v>
      </c>
      <c r="R77" s="13">
        <v>0</v>
      </c>
      <c r="S77" s="13">
        <v>1086</v>
      </c>
      <c r="T77" s="13" t="str">
        <f>VLOOKUP(A77,'[1]210 RAU complete'!$A$1:$E$292,2,0)</f>
        <v>केसर बाग रोड</v>
      </c>
      <c r="U77" s="13" t="str">
        <f>VLOOKUP(A77,'[1]210 RAU complete'!$A$1:$E$292,3,0)</f>
        <v>चमेलीदेवी स्कूल, केसर बाग रोड क.नं. 2</v>
      </c>
      <c r="V77" s="13">
        <f t="shared" si="2"/>
        <v>211</v>
      </c>
      <c r="W77" s="15">
        <f t="shared" si="3"/>
        <v>52.85451197053407</v>
      </c>
      <c r="X77" s="16"/>
    </row>
    <row r="78" spans="1:24" x14ac:dyDescent="0.25">
      <c r="A78" s="13">
        <v>78</v>
      </c>
      <c r="B78" s="24" t="s">
        <v>133</v>
      </c>
      <c r="C78" s="13">
        <v>210</v>
      </c>
      <c r="D78" s="13">
        <v>3</v>
      </c>
      <c r="E78" s="13">
        <v>547</v>
      </c>
      <c r="F78" s="13">
        <v>1</v>
      </c>
      <c r="G78" s="13">
        <v>0</v>
      </c>
      <c r="H78" s="13">
        <v>0</v>
      </c>
      <c r="I78" s="13">
        <v>0</v>
      </c>
      <c r="J78" s="13">
        <v>1</v>
      </c>
      <c r="K78" s="13">
        <v>5</v>
      </c>
      <c r="L78" s="13">
        <v>0</v>
      </c>
      <c r="M78" s="13">
        <v>1</v>
      </c>
      <c r="N78" s="13">
        <v>768</v>
      </c>
      <c r="O78" s="13">
        <v>0</v>
      </c>
      <c r="P78" s="13">
        <v>7</v>
      </c>
      <c r="Q78" s="13">
        <v>775</v>
      </c>
      <c r="R78" s="13">
        <v>0</v>
      </c>
      <c r="S78" s="13">
        <v>1321</v>
      </c>
      <c r="T78" s="13" t="str">
        <f>VLOOKUP(A78,'[1]210 RAU complete'!$A$1:$E$292,2,0)</f>
        <v>केसर बाग रोड</v>
      </c>
      <c r="U78" s="13" t="str">
        <f>VLOOKUP(A78,'[1]210 RAU complete'!$A$1:$E$292,3,0)</f>
        <v>चमेलीदेवी स्कूल, केसर बाग रोड क.नं. 3</v>
      </c>
      <c r="V78" s="13">
        <f t="shared" si="2"/>
        <v>337</v>
      </c>
      <c r="W78" s="15">
        <f t="shared" si="3"/>
        <v>58.667676003028014</v>
      </c>
      <c r="X78" s="16"/>
    </row>
    <row r="79" spans="1:24" x14ac:dyDescent="0.25">
      <c r="A79" s="13">
        <v>79</v>
      </c>
      <c r="B79" s="24" t="s">
        <v>134</v>
      </c>
      <c r="C79" s="13">
        <v>216</v>
      </c>
      <c r="D79" s="13">
        <v>2</v>
      </c>
      <c r="E79" s="13">
        <v>563</v>
      </c>
      <c r="F79" s="13">
        <v>1</v>
      </c>
      <c r="G79" s="13">
        <v>0</v>
      </c>
      <c r="H79" s="13">
        <v>0</v>
      </c>
      <c r="I79" s="13">
        <v>0</v>
      </c>
      <c r="J79" s="13">
        <v>0</v>
      </c>
      <c r="K79" s="13">
        <v>4</v>
      </c>
      <c r="L79" s="13">
        <v>0</v>
      </c>
      <c r="M79" s="13">
        <v>0</v>
      </c>
      <c r="N79" s="13">
        <v>786</v>
      </c>
      <c r="O79" s="13">
        <v>0</v>
      </c>
      <c r="P79" s="13">
        <v>10</v>
      </c>
      <c r="Q79" s="13">
        <v>796</v>
      </c>
      <c r="R79" s="13">
        <v>0</v>
      </c>
      <c r="S79" s="13">
        <v>1502</v>
      </c>
      <c r="T79" s="13" t="str">
        <f>VLOOKUP(A79,'[1]210 RAU complete'!$A$1:$E$292,2,0)</f>
        <v>केसर बाग रोड</v>
      </c>
      <c r="U79" s="13" t="str">
        <f>VLOOKUP(A79,'[1]210 RAU complete'!$A$1:$E$292,3,0)</f>
        <v>चमेलीदेवी स्कूल, केसर बाग रोड क.नं. 4</v>
      </c>
      <c r="V79" s="13">
        <f t="shared" si="2"/>
        <v>347</v>
      </c>
      <c r="W79" s="15">
        <f t="shared" si="3"/>
        <v>52.996005326231689</v>
      </c>
      <c r="X79" s="16"/>
    </row>
    <row r="80" spans="1:24" x14ac:dyDescent="0.25">
      <c r="A80" s="13">
        <v>80</v>
      </c>
      <c r="B80" s="24" t="s">
        <v>135</v>
      </c>
      <c r="C80" s="13">
        <v>302</v>
      </c>
      <c r="D80" s="13">
        <v>7</v>
      </c>
      <c r="E80" s="13">
        <v>410</v>
      </c>
      <c r="F80" s="13">
        <v>1</v>
      </c>
      <c r="G80" s="13">
        <v>2</v>
      </c>
      <c r="H80" s="13">
        <v>0</v>
      </c>
      <c r="I80" s="13">
        <v>0</v>
      </c>
      <c r="J80" s="13">
        <v>0</v>
      </c>
      <c r="K80" s="13">
        <v>2</v>
      </c>
      <c r="L80" s="13">
        <v>1</v>
      </c>
      <c r="M80" s="13">
        <v>6</v>
      </c>
      <c r="N80" s="13">
        <v>731</v>
      </c>
      <c r="O80" s="13">
        <v>0</v>
      </c>
      <c r="P80" s="13">
        <v>14</v>
      </c>
      <c r="Q80" s="13">
        <v>745</v>
      </c>
      <c r="R80" s="13">
        <v>0</v>
      </c>
      <c r="S80" s="13">
        <v>1092</v>
      </c>
      <c r="T80" s="13" t="str">
        <f>VLOOKUP(A80,'[1]210 RAU complete'!$A$1:$E$292,2,0)</f>
        <v>हॉल तेजपुर गड़बड़ी</v>
      </c>
      <c r="U80" s="13" t="str">
        <f>VLOOKUP(A80,'[1]210 RAU complete'!$A$1:$E$292,3,0)</f>
        <v>शा.प्रा.वि. क. नं. 1, गणगौर नगर</v>
      </c>
      <c r="V80" s="13">
        <f t="shared" si="2"/>
        <v>108</v>
      </c>
      <c r="W80" s="15">
        <f t="shared" si="3"/>
        <v>68.223443223443226</v>
      </c>
      <c r="X80" s="16"/>
    </row>
    <row r="81" spans="1:24" x14ac:dyDescent="0.25">
      <c r="A81" s="13">
        <v>81</v>
      </c>
      <c r="B81" s="24" t="s">
        <v>136</v>
      </c>
      <c r="C81" s="13">
        <v>438</v>
      </c>
      <c r="D81" s="13">
        <v>23</v>
      </c>
      <c r="E81" s="13">
        <v>526</v>
      </c>
      <c r="F81" s="13">
        <v>7</v>
      </c>
      <c r="G81" s="13">
        <v>1</v>
      </c>
      <c r="H81" s="13">
        <v>1</v>
      </c>
      <c r="I81" s="13">
        <v>0</v>
      </c>
      <c r="J81" s="13">
        <v>2</v>
      </c>
      <c r="K81" s="13">
        <v>2</v>
      </c>
      <c r="L81" s="13">
        <v>3</v>
      </c>
      <c r="M81" s="13">
        <v>4</v>
      </c>
      <c r="N81" s="13">
        <v>1007</v>
      </c>
      <c r="O81" s="13">
        <v>0</v>
      </c>
      <c r="P81" s="13">
        <v>10</v>
      </c>
      <c r="Q81" s="13">
        <v>1017</v>
      </c>
      <c r="R81" s="13">
        <v>0</v>
      </c>
      <c r="S81" s="13">
        <v>1287</v>
      </c>
      <c r="T81" s="13" t="str">
        <f>VLOOKUP(A81,'[1]210 RAU complete'!$A$1:$E$292,2,0)</f>
        <v>हॉल तेजपुर गड़बड़ी</v>
      </c>
      <c r="U81" s="13" t="str">
        <f>VLOOKUP(A81,'[1]210 RAU complete'!$A$1:$E$292,3,0)</f>
        <v>शा.प्रा.वि. क. नं. 2, गणगौर नगर</v>
      </c>
      <c r="V81" s="13">
        <f t="shared" si="2"/>
        <v>88</v>
      </c>
      <c r="W81" s="15">
        <f t="shared" si="3"/>
        <v>79.020979020979027</v>
      </c>
      <c r="X81" s="16"/>
    </row>
    <row r="82" spans="1:24" x14ac:dyDescent="0.25">
      <c r="A82" s="17">
        <v>82</v>
      </c>
      <c r="B82" s="24" t="s">
        <v>137</v>
      </c>
      <c r="C82" s="17">
        <v>469</v>
      </c>
      <c r="D82" s="17">
        <v>16</v>
      </c>
      <c r="E82" s="17">
        <v>427</v>
      </c>
      <c r="F82" s="17">
        <v>0</v>
      </c>
      <c r="G82" s="17">
        <v>2</v>
      </c>
      <c r="H82" s="17">
        <v>0</v>
      </c>
      <c r="I82" s="17">
        <v>0</v>
      </c>
      <c r="J82" s="17">
        <v>0</v>
      </c>
      <c r="K82" s="17">
        <v>2</v>
      </c>
      <c r="L82" s="17">
        <v>1</v>
      </c>
      <c r="M82" s="17">
        <v>4</v>
      </c>
      <c r="N82" s="17">
        <v>921</v>
      </c>
      <c r="O82" s="17">
        <v>0</v>
      </c>
      <c r="P82" s="17">
        <v>13</v>
      </c>
      <c r="Q82" s="17">
        <v>934</v>
      </c>
      <c r="R82" s="17">
        <v>0</v>
      </c>
      <c r="S82" s="17">
        <v>1102</v>
      </c>
      <c r="T82" s="13" t="str">
        <f>VLOOKUP(A82,'[1]210 RAU complete'!$A$1:$E$292,2,0)</f>
        <v>हॉल तेजपुर गड़बड़ी</v>
      </c>
      <c r="U82" s="13" t="str">
        <f>VLOOKUP(A82,'[1]210 RAU complete'!$A$1:$E$292,3,0)</f>
        <v>शा.मा.वि. क्र. 28, कमरा नं. 3, महादेव नगर</v>
      </c>
      <c r="V82" s="17">
        <f t="shared" si="2"/>
        <v>42</v>
      </c>
      <c r="W82" s="18">
        <f t="shared" si="3"/>
        <v>84.754990925589837</v>
      </c>
      <c r="X82" s="16"/>
    </row>
    <row r="83" spans="1:24" x14ac:dyDescent="0.25">
      <c r="A83" s="17">
        <v>83</v>
      </c>
      <c r="B83" s="24" t="s">
        <v>138</v>
      </c>
      <c r="C83" s="17">
        <v>725</v>
      </c>
      <c r="D83" s="17">
        <v>3</v>
      </c>
      <c r="E83" s="17">
        <v>262</v>
      </c>
      <c r="F83" s="17">
        <v>1</v>
      </c>
      <c r="G83" s="17">
        <v>1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2</v>
      </c>
      <c r="N83" s="17">
        <v>994</v>
      </c>
      <c r="O83" s="17">
        <v>0</v>
      </c>
      <c r="P83" s="17">
        <v>7</v>
      </c>
      <c r="Q83" s="17">
        <v>1001</v>
      </c>
      <c r="R83" s="17">
        <v>0</v>
      </c>
      <c r="S83" s="17">
        <v>1357</v>
      </c>
      <c r="T83" s="13" t="str">
        <f>VLOOKUP(A83,'[1]210 RAU complete'!$A$1:$E$292,2,0)</f>
        <v>बिजलपुर</v>
      </c>
      <c r="U83" s="13" t="str">
        <f>VLOOKUP(A83,'[1]210 RAU complete'!$A$1:$E$292,3,0)</f>
        <v>शा.कन्या उ.मा.वि., पूर्व भाग बिजलपुर</v>
      </c>
      <c r="V83" s="17">
        <f t="shared" si="2"/>
        <v>463</v>
      </c>
      <c r="W83" s="18">
        <f t="shared" si="3"/>
        <v>73.765659543109791</v>
      </c>
      <c r="X83" s="16"/>
    </row>
    <row r="84" spans="1:24" x14ac:dyDescent="0.25">
      <c r="A84" s="17">
        <v>84</v>
      </c>
      <c r="B84" s="24" t="s">
        <v>139</v>
      </c>
      <c r="C84" s="17">
        <v>609</v>
      </c>
      <c r="D84" s="17">
        <v>3</v>
      </c>
      <c r="E84" s="17">
        <v>422</v>
      </c>
      <c r="F84" s="17">
        <v>5</v>
      </c>
      <c r="G84" s="17">
        <v>0</v>
      </c>
      <c r="H84" s="17">
        <v>3</v>
      </c>
      <c r="I84" s="17">
        <v>0</v>
      </c>
      <c r="J84" s="17">
        <v>1</v>
      </c>
      <c r="K84" s="17">
        <v>0</v>
      </c>
      <c r="L84" s="17">
        <v>1</v>
      </c>
      <c r="M84" s="17">
        <v>0</v>
      </c>
      <c r="N84" s="17">
        <v>1044</v>
      </c>
      <c r="O84" s="17">
        <v>0</v>
      </c>
      <c r="P84" s="17">
        <v>2</v>
      </c>
      <c r="Q84" s="17">
        <v>1046</v>
      </c>
      <c r="R84" s="17">
        <v>0</v>
      </c>
      <c r="S84" s="17">
        <v>1203</v>
      </c>
      <c r="T84" s="13" t="str">
        <f>VLOOKUP(A84,'[1]210 RAU complete'!$A$1:$E$292,2,0)</f>
        <v>बिजलपुर मालीपुरा</v>
      </c>
      <c r="U84" s="13" t="str">
        <f>VLOOKUP(A84,'[1]210 RAU complete'!$A$1:$E$292,3,0)</f>
        <v>शा. कन्या उ.मा.वि., बिजलपुर, कमरा नं. 1</v>
      </c>
      <c r="V84" s="17">
        <f t="shared" si="2"/>
        <v>187</v>
      </c>
      <c r="W84" s="18">
        <f t="shared" si="3"/>
        <v>86.949293433083952</v>
      </c>
      <c r="X84" s="16"/>
    </row>
    <row r="85" spans="1:24" x14ac:dyDescent="0.25">
      <c r="A85" s="17">
        <v>85</v>
      </c>
      <c r="B85" s="24" t="s">
        <v>140</v>
      </c>
      <c r="C85" s="17">
        <v>821</v>
      </c>
      <c r="D85" s="17">
        <v>3</v>
      </c>
      <c r="E85" s="17">
        <v>216</v>
      </c>
      <c r="F85" s="17">
        <v>1</v>
      </c>
      <c r="G85" s="17">
        <v>0</v>
      </c>
      <c r="H85" s="17">
        <v>1</v>
      </c>
      <c r="I85" s="17">
        <v>0</v>
      </c>
      <c r="J85" s="17">
        <v>1</v>
      </c>
      <c r="K85" s="17">
        <v>0</v>
      </c>
      <c r="L85" s="17">
        <v>2</v>
      </c>
      <c r="M85" s="17">
        <v>0</v>
      </c>
      <c r="N85" s="17">
        <v>1045</v>
      </c>
      <c r="O85" s="17">
        <v>0</v>
      </c>
      <c r="P85" s="17">
        <v>6</v>
      </c>
      <c r="Q85" s="17">
        <v>1051</v>
      </c>
      <c r="R85" s="17">
        <v>0</v>
      </c>
      <c r="S85" s="17">
        <v>1201</v>
      </c>
      <c r="T85" s="13" t="str">
        <f>VLOOKUP(A85,'[1]210 RAU complete'!$A$1:$E$292,2,0)</f>
        <v>बिजलपुर</v>
      </c>
      <c r="U85" s="13" t="str">
        <f>VLOOKUP(A85,'[1]210 RAU complete'!$A$1:$E$292,3,0)</f>
        <v>शा.क.मा.वि., बिजलपुर क.नं. 5</v>
      </c>
      <c r="V85" s="17">
        <f t="shared" si="2"/>
        <v>605</v>
      </c>
      <c r="W85" s="18">
        <f t="shared" si="3"/>
        <v>87.510407993338873</v>
      </c>
      <c r="X85" s="16"/>
    </row>
    <row r="86" spans="1:24" x14ac:dyDescent="0.25">
      <c r="A86" s="17">
        <v>86</v>
      </c>
      <c r="B86" s="24" t="s">
        <v>141</v>
      </c>
      <c r="C86" s="17">
        <v>654</v>
      </c>
      <c r="D86" s="17">
        <v>5</v>
      </c>
      <c r="E86" s="17">
        <v>280</v>
      </c>
      <c r="F86" s="17">
        <v>1</v>
      </c>
      <c r="G86" s="17">
        <v>0</v>
      </c>
      <c r="H86" s="17">
        <v>0</v>
      </c>
      <c r="I86" s="17">
        <v>3</v>
      </c>
      <c r="J86" s="17">
        <v>0</v>
      </c>
      <c r="K86" s="17">
        <v>1</v>
      </c>
      <c r="L86" s="17">
        <v>1</v>
      </c>
      <c r="M86" s="17">
        <v>1</v>
      </c>
      <c r="N86" s="17">
        <v>946</v>
      </c>
      <c r="O86" s="17">
        <v>0</v>
      </c>
      <c r="P86" s="17">
        <v>7</v>
      </c>
      <c r="Q86" s="17">
        <v>953</v>
      </c>
      <c r="R86" s="17">
        <v>0</v>
      </c>
      <c r="S86" s="17">
        <v>1390</v>
      </c>
      <c r="T86" s="13" t="str">
        <f>VLOOKUP(A86,'[1]210 RAU complete'!$A$1:$E$292,2,0)</f>
        <v>बिजलपुर</v>
      </c>
      <c r="U86" s="13" t="str">
        <f>VLOOKUP(A86,'[1]210 RAU complete'!$A$1:$E$292,3,0)</f>
        <v>शा.क.हा.से. स्कूल, बिजलपुर क.नं. 6</v>
      </c>
      <c r="V86" s="17">
        <f t="shared" si="2"/>
        <v>374</v>
      </c>
      <c r="W86" s="18">
        <f t="shared" si="3"/>
        <v>68.561151079136692</v>
      </c>
      <c r="X86" s="16"/>
    </row>
    <row r="87" spans="1:24" x14ac:dyDescent="0.25">
      <c r="A87" s="13">
        <v>87</v>
      </c>
      <c r="B87" s="24" t="s">
        <v>142</v>
      </c>
      <c r="C87" s="13">
        <v>352</v>
      </c>
      <c r="D87" s="13">
        <v>1</v>
      </c>
      <c r="E87" s="13">
        <v>579</v>
      </c>
      <c r="F87" s="13">
        <v>1</v>
      </c>
      <c r="G87" s="13">
        <v>1</v>
      </c>
      <c r="H87" s="13">
        <v>0</v>
      </c>
      <c r="I87" s="13">
        <v>0</v>
      </c>
      <c r="J87" s="13">
        <v>0</v>
      </c>
      <c r="K87" s="13">
        <v>1</v>
      </c>
      <c r="L87" s="13">
        <v>2</v>
      </c>
      <c r="M87" s="13">
        <v>0</v>
      </c>
      <c r="N87" s="13">
        <v>937</v>
      </c>
      <c r="O87" s="13">
        <v>0</v>
      </c>
      <c r="P87" s="13">
        <v>5</v>
      </c>
      <c r="Q87" s="13">
        <v>942</v>
      </c>
      <c r="R87" s="13">
        <v>0</v>
      </c>
      <c r="S87" s="13">
        <v>1280</v>
      </c>
      <c r="T87" s="13" t="str">
        <f>VLOOKUP(A87,'[1]210 RAU complete'!$A$1:$E$292,2,0)</f>
        <v>बिजलपुर</v>
      </c>
      <c r="U87" s="13" t="str">
        <f>VLOOKUP(A87,'[1]210 RAU complete'!$A$1:$E$292,3,0)</f>
        <v xml:space="preserve">शा.प्रायो.मा.वि. नया भवन, बिजलपुर कमरा न. 1 </v>
      </c>
      <c r="V87" s="13">
        <f t="shared" si="2"/>
        <v>227</v>
      </c>
      <c r="W87" s="15">
        <f t="shared" si="3"/>
        <v>73.59375</v>
      </c>
      <c r="X87" s="16"/>
    </row>
    <row r="88" spans="1:24" x14ac:dyDescent="0.25">
      <c r="A88" s="17">
        <v>88</v>
      </c>
      <c r="B88" s="24" t="s">
        <v>143</v>
      </c>
      <c r="C88" s="17">
        <v>851</v>
      </c>
      <c r="D88" s="17">
        <v>1</v>
      </c>
      <c r="E88" s="17">
        <v>337</v>
      </c>
      <c r="F88" s="17">
        <v>0</v>
      </c>
      <c r="G88" s="17">
        <v>0</v>
      </c>
      <c r="H88" s="17">
        <v>1</v>
      </c>
      <c r="I88" s="17">
        <v>0</v>
      </c>
      <c r="J88" s="17">
        <v>0</v>
      </c>
      <c r="K88" s="17">
        <v>1</v>
      </c>
      <c r="L88" s="17">
        <v>1</v>
      </c>
      <c r="M88" s="17">
        <v>1</v>
      </c>
      <c r="N88" s="17">
        <v>1193</v>
      </c>
      <c r="O88" s="17">
        <v>0</v>
      </c>
      <c r="P88" s="17">
        <v>4</v>
      </c>
      <c r="Q88" s="17">
        <v>1197</v>
      </c>
      <c r="R88" s="17">
        <v>0</v>
      </c>
      <c r="S88" s="17">
        <v>1466</v>
      </c>
      <c r="T88" s="13" t="str">
        <f>VLOOKUP(A88,'[1]210 RAU complete'!$A$1:$E$292,2,0)</f>
        <v>बिजलपुर</v>
      </c>
      <c r="U88" s="13" t="str">
        <f>VLOOKUP(A88,'[1]210 RAU complete'!$A$1:$E$292,3,0)</f>
        <v>शा.प्रायो.मा.वि. नया भवन बिजलपुर क. नं. 2</v>
      </c>
      <c r="V88" s="17">
        <f t="shared" si="2"/>
        <v>514</v>
      </c>
      <c r="W88" s="18">
        <f t="shared" si="3"/>
        <v>81.650750341064111</v>
      </c>
      <c r="X88" s="16"/>
    </row>
    <row r="89" spans="1:24" x14ac:dyDescent="0.25">
      <c r="A89" s="13">
        <v>89</v>
      </c>
      <c r="B89" s="24" t="s">
        <v>144</v>
      </c>
      <c r="C89" s="13">
        <v>390</v>
      </c>
      <c r="D89" s="13">
        <v>5</v>
      </c>
      <c r="E89" s="13">
        <v>461</v>
      </c>
      <c r="F89" s="13">
        <v>3</v>
      </c>
      <c r="G89" s="13">
        <v>0</v>
      </c>
      <c r="H89" s="13">
        <v>0</v>
      </c>
      <c r="I89" s="13">
        <v>0</v>
      </c>
      <c r="J89" s="13">
        <v>0</v>
      </c>
      <c r="K89" s="13">
        <v>3</v>
      </c>
      <c r="L89" s="13">
        <v>4</v>
      </c>
      <c r="M89" s="13">
        <v>2</v>
      </c>
      <c r="N89" s="13">
        <v>868</v>
      </c>
      <c r="O89" s="13">
        <v>0</v>
      </c>
      <c r="P89" s="13">
        <v>5</v>
      </c>
      <c r="Q89" s="13">
        <v>873</v>
      </c>
      <c r="R89" s="13">
        <v>0</v>
      </c>
      <c r="S89" s="13">
        <v>1216</v>
      </c>
      <c r="T89" s="13" t="str">
        <f>VLOOKUP(A89,'[1]210 RAU complete'!$A$1:$E$292,2,0)</f>
        <v>बिजलपुर</v>
      </c>
      <c r="U89" s="13" t="str">
        <f>VLOOKUP(A89,'[1]210 RAU complete'!$A$1:$E$292,3,0)</f>
        <v>शा.प्रायो.मा.वि. नया भवन बिजलपुर क. नं. 3</v>
      </c>
      <c r="V89" s="13">
        <f t="shared" si="2"/>
        <v>71</v>
      </c>
      <c r="W89" s="15">
        <f t="shared" si="3"/>
        <v>71.79276315789474</v>
      </c>
      <c r="X89" s="16"/>
    </row>
    <row r="90" spans="1:24" x14ac:dyDescent="0.25">
      <c r="A90" s="13">
        <v>90</v>
      </c>
      <c r="B90" s="24" t="s">
        <v>145</v>
      </c>
      <c r="C90" s="13">
        <v>449</v>
      </c>
      <c r="D90" s="13">
        <v>3</v>
      </c>
      <c r="E90" s="13">
        <v>521</v>
      </c>
      <c r="F90" s="13">
        <v>3</v>
      </c>
      <c r="G90" s="13">
        <v>0</v>
      </c>
      <c r="H90" s="13">
        <v>0</v>
      </c>
      <c r="I90" s="13">
        <v>0</v>
      </c>
      <c r="J90" s="13">
        <v>1</v>
      </c>
      <c r="K90" s="13">
        <v>1</v>
      </c>
      <c r="L90" s="13">
        <v>1</v>
      </c>
      <c r="M90" s="13">
        <v>2</v>
      </c>
      <c r="N90" s="13">
        <v>981</v>
      </c>
      <c r="O90" s="13">
        <v>0</v>
      </c>
      <c r="P90" s="13">
        <v>6</v>
      </c>
      <c r="Q90" s="13">
        <v>987</v>
      </c>
      <c r="R90" s="13">
        <v>0</v>
      </c>
      <c r="S90" s="13">
        <v>1193</v>
      </c>
      <c r="T90" s="13" t="str">
        <f>VLOOKUP(A90,'[1]210 RAU complete'!$A$1:$E$292,2,0)</f>
        <v>बिजलपुर</v>
      </c>
      <c r="U90" s="13" t="str">
        <f>VLOOKUP(A90,'[1]210 RAU complete'!$A$1:$E$292,3,0)</f>
        <v>आई.पी.एस. एकेडमी ए.बी. रोड, कक्ष क्र. 3</v>
      </c>
      <c r="V90" s="13">
        <f t="shared" si="2"/>
        <v>72</v>
      </c>
      <c r="W90" s="15">
        <f t="shared" si="3"/>
        <v>82.732606873428324</v>
      </c>
      <c r="X90" s="16"/>
    </row>
    <row r="91" spans="1:24" x14ac:dyDescent="0.25">
      <c r="A91" s="17">
        <v>91</v>
      </c>
      <c r="B91" s="24" t="s">
        <v>146</v>
      </c>
      <c r="C91" s="17">
        <v>712</v>
      </c>
      <c r="D91" s="17">
        <v>4</v>
      </c>
      <c r="E91" s="17">
        <v>423</v>
      </c>
      <c r="F91" s="17">
        <v>0</v>
      </c>
      <c r="G91" s="17">
        <v>0</v>
      </c>
      <c r="H91" s="17">
        <v>0</v>
      </c>
      <c r="I91" s="17">
        <v>1</v>
      </c>
      <c r="J91" s="17">
        <v>0</v>
      </c>
      <c r="K91" s="17">
        <v>1</v>
      </c>
      <c r="L91" s="17">
        <v>1</v>
      </c>
      <c r="M91" s="17">
        <v>2</v>
      </c>
      <c r="N91" s="17">
        <v>1144</v>
      </c>
      <c r="O91" s="17">
        <v>0</v>
      </c>
      <c r="P91" s="17">
        <v>12</v>
      </c>
      <c r="Q91" s="17">
        <v>1156</v>
      </c>
      <c r="R91" s="17">
        <v>0</v>
      </c>
      <c r="S91" s="17">
        <v>1268</v>
      </c>
      <c r="T91" s="13" t="str">
        <f>VLOOKUP(A91,'[1]210 RAU complete'!$A$1:$E$292,2,0)</f>
        <v>बिजलपुर</v>
      </c>
      <c r="U91" s="13" t="str">
        <f>VLOOKUP(A91,'[1]210 RAU complete'!$A$1:$E$292,3,0)</f>
        <v>शा.मा.वि. हुक्माखेड़ी पाटलियापुरा, कमरा न. 1</v>
      </c>
      <c r="V91" s="17">
        <f t="shared" si="2"/>
        <v>289</v>
      </c>
      <c r="W91" s="18">
        <f t="shared" si="3"/>
        <v>91.16719242902208</v>
      </c>
      <c r="X91" s="16"/>
    </row>
    <row r="92" spans="1:24" x14ac:dyDescent="0.25">
      <c r="A92" s="17">
        <v>92</v>
      </c>
      <c r="B92" s="24" t="s">
        <v>147</v>
      </c>
      <c r="C92" s="17">
        <v>540</v>
      </c>
      <c r="D92" s="17">
        <v>3</v>
      </c>
      <c r="E92" s="17">
        <v>222</v>
      </c>
      <c r="F92" s="17">
        <v>4</v>
      </c>
      <c r="G92" s="17">
        <v>0</v>
      </c>
      <c r="H92" s="17">
        <v>2</v>
      </c>
      <c r="I92" s="17">
        <v>0</v>
      </c>
      <c r="J92" s="17">
        <v>0</v>
      </c>
      <c r="K92" s="17">
        <v>1</v>
      </c>
      <c r="L92" s="17">
        <v>1</v>
      </c>
      <c r="M92" s="17">
        <v>1</v>
      </c>
      <c r="N92" s="17">
        <v>774</v>
      </c>
      <c r="O92" s="17">
        <v>0</v>
      </c>
      <c r="P92" s="17">
        <v>4</v>
      </c>
      <c r="Q92" s="17">
        <v>778</v>
      </c>
      <c r="R92" s="17">
        <v>0</v>
      </c>
      <c r="S92" s="17">
        <v>1368</v>
      </c>
      <c r="T92" s="13" t="str">
        <f>VLOOKUP(A92,'[1]210 RAU complete'!$A$1:$E$292,2,0)</f>
        <v>बिजलपुर</v>
      </c>
      <c r="U92" s="13" t="str">
        <f>VLOOKUP(A92,'[1]210 RAU complete'!$A$1:$E$292,3,0)</f>
        <v>आई.पी.एस. एकेडमी क. नं. 1, ए.बी. रोड</v>
      </c>
      <c r="V92" s="17">
        <f t="shared" si="2"/>
        <v>318</v>
      </c>
      <c r="W92" s="18">
        <f t="shared" si="3"/>
        <v>56.871345029239762</v>
      </c>
      <c r="X92" s="16"/>
    </row>
    <row r="93" spans="1:24" x14ac:dyDescent="0.25">
      <c r="A93" s="13">
        <v>93</v>
      </c>
      <c r="B93" s="24" t="s">
        <v>148</v>
      </c>
      <c r="C93" s="13">
        <v>292</v>
      </c>
      <c r="D93" s="13">
        <v>4</v>
      </c>
      <c r="E93" s="13">
        <v>655</v>
      </c>
      <c r="F93" s="13">
        <v>3</v>
      </c>
      <c r="G93" s="13">
        <v>1</v>
      </c>
      <c r="H93" s="13">
        <v>0</v>
      </c>
      <c r="I93" s="13">
        <v>1</v>
      </c>
      <c r="J93" s="13">
        <v>0</v>
      </c>
      <c r="K93" s="13">
        <v>6</v>
      </c>
      <c r="L93" s="13">
        <v>1</v>
      </c>
      <c r="M93" s="13">
        <v>1</v>
      </c>
      <c r="N93" s="13">
        <v>964</v>
      </c>
      <c r="O93" s="13">
        <v>0</v>
      </c>
      <c r="P93" s="13">
        <v>3</v>
      </c>
      <c r="Q93" s="13">
        <v>967</v>
      </c>
      <c r="R93" s="13">
        <v>0</v>
      </c>
      <c r="S93" s="13">
        <v>1235</v>
      </c>
      <c r="T93" s="13" t="str">
        <f>VLOOKUP(A93,'[1]210 RAU complete'!$A$1:$E$292,2,0)</f>
        <v>बिजलपुर</v>
      </c>
      <c r="U93" s="13" t="str">
        <f>VLOOKUP(A93,'[1]210 RAU complete'!$A$1:$E$292,3,0)</f>
        <v>ईश्वर प्रेम विद्या मंदिर, कक्ष क्र. 1</v>
      </c>
      <c r="V93" s="13">
        <f t="shared" si="2"/>
        <v>363</v>
      </c>
      <c r="W93" s="15">
        <f t="shared" si="3"/>
        <v>78.299595141700408</v>
      </c>
      <c r="X93" s="16"/>
    </row>
    <row r="94" spans="1:24" x14ac:dyDescent="0.25">
      <c r="A94" s="17">
        <v>94</v>
      </c>
      <c r="B94" s="24" t="s">
        <v>149</v>
      </c>
      <c r="C94" s="17">
        <v>658</v>
      </c>
      <c r="D94" s="17">
        <v>4</v>
      </c>
      <c r="E94" s="17">
        <v>361</v>
      </c>
      <c r="F94" s="17">
        <v>1</v>
      </c>
      <c r="G94" s="17">
        <v>0</v>
      </c>
      <c r="H94" s="17">
        <v>0</v>
      </c>
      <c r="I94" s="17">
        <v>0</v>
      </c>
      <c r="J94" s="17">
        <v>2</v>
      </c>
      <c r="K94" s="17">
        <v>0</v>
      </c>
      <c r="L94" s="17">
        <v>0</v>
      </c>
      <c r="M94" s="17">
        <v>2</v>
      </c>
      <c r="N94" s="17">
        <v>1028</v>
      </c>
      <c r="O94" s="17">
        <v>0</v>
      </c>
      <c r="P94" s="17">
        <v>5</v>
      </c>
      <c r="Q94" s="17">
        <v>1033</v>
      </c>
      <c r="R94" s="17">
        <v>0</v>
      </c>
      <c r="S94" s="17">
        <v>1204</v>
      </c>
      <c r="T94" s="13" t="str">
        <f>VLOOKUP(A94,'[1]210 RAU complete'!$A$1:$E$292,2,0)</f>
        <v>बिजलपुर</v>
      </c>
      <c r="U94" s="13" t="str">
        <f>VLOOKUP(A94,'[1]210 RAU complete'!$A$1:$E$292,3,0)</f>
        <v>शा.प्रायो.मा.वि. भवन, बिजलपुर क.नं. 3</v>
      </c>
      <c r="V94" s="17">
        <f t="shared" si="2"/>
        <v>297</v>
      </c>
      <c r="W94" s="18">
        <f t="shared" si="3"/>
        <v>85.797342192691033</v>
      </c>
      <c r="X94" s="16"/>
    </row>
    <row r="95" spans="1:24" x14ac:dyDescent="0.25">
      <c r="A95" s="13">
        <v>95</v>
      </c>
      <c r="B95" s="24" t="s">
        <v>150</v>
      </c>
      <c r="C95" s="13">
        <v>305</v>
      </c>
      <c r="D95" s="13">
        <v>2</v>
      </c>
      <c r="E95" s="13">
        <v>685</v>
      </c>
      <c r="F95" s="13">
        <v>2</v>
      </c>
      <c r="G95" s="13">
        <v>0</v>
      </c>
      <c r="H95" s="13">
        <v>0</v>
      </c>
      <c r="I95" s="13">
        <v>0</v>
      </c>
      <c r="J95" s="13">
        <v>0</v>
      </c>
      <c r="K95" s="13">
        <v>3</v>
      </c>
      <c r="L95" s="13">
        <v>0</v>
      </c>
      <c r="M95" s="13">
        <v>0</v>
      </c>
      <c r="N95" s="13">
        <v>997</v>
      </c>
      <c r="O95" s="13">
        <v>0</v>
      </c>
      <c r="P95" s="13">
        <v>4</v>
      </c>
      <c r="Q95" s="13">
        <v>1001</v>
      </c>
      <c r="R95" s="13">
        <v>0</v>
      </c>
      <c r="S95" s="13">
        <v>1353</v>
      </c>
      <c r="T95" s="13" t="str">
        <f>VLOOKUP(A95,'[1]210 RAU complete'!$A$1:$E$292,2,0)</f>
        <v>बिजलपुर</v>
      </c>
      <c r="U95" s="13" t="str">
        <f>VLOOKUP(A95,'[1]210 RAU complete'!$A$1:$E$292,3,0)</f>
        <v>आई.पी.एस. एकेडमी, कक्ष क्रमांक 2</v>
      </c>
      <c r="V95" s="13">
        <f t="shared" si="2"/>
        <v>380</v>
      </c>
      <c r="W95" s="15">
        <f t="shared" si="3"/>
        <v>73.983739837398375</v>
      </c>
      <c r="X95" s="16"/>
    </row>
    <row r="96" spans="1:24" x14ac:dyDescent="0.25">
      <c r="A96" s="13">
        <v>96</v>
      </c>
      <c r="B96" s="24" t="s">
        <v>151</v>
      </c>
      <c r="C96" s="13">
        <v>327</v>
      </c>
      <c r="D96" s="13">
        <v>3</v>
      </c>
      <c r="E96" s="13">
        <v>621</v>
      </c>
      <c r="F96" s="13">
        <v>2</v>
      </c>
      <c r="G96" s="13">
        <v>0</v>
      </c>
      <c r="H96" s="13">
        <v>0</v>
      </c>
      <c r="I96" s="13">
        <v>0</v>
      </c>
      <c r="J96" s="13">
        <v>0</v>
      </c>
      <c r="K96" s="13">
        <v>4</v>
      </c>
      <c r="L96" s="13">
        <v>0</v>
      </c>
      <c r="M96" s="13">
        <v>0</v>
      </c>
      <c r="N96" s="13">
        <v>957</v>
      </c>
      <c r="O96" s="13">
        <v>0</v>
      </c>
      <c r="P96" s="13">
        <v>6</v>
      </c>
      <c r="Q96" s="13">
        <v>963</v>
      </c>
      <c r="R96" s="13">
        <v>0</v>
      </c>
      <c r="S96" s="13">
        <v>1104</v>
      </c>
      <c r="T96" s="13" t="str">
        <f>VLOOKUP(A96,'[1]210 RAU complete'!$A$1:$E$292,2,0)</f>
        <v>नैनोद</v>
      </c>
      <c r="U96" s="13" t="str">
        <f>VLOOKUP(A96,'[1]210 RAU complete'!$A$1:$E$292,3,0)</f>
        <v>मॉडर्न डेंटल कॉलेज, क.नं. 1, गांधी नगर</v>
      </c>
      <c r="V96" s="13">
        <f t="shared" si="2"/>
        <v>294</v>
      </c>
      <c r="W96" s="15">
        <f t="shared" si="3"/>
        <v>87.228260869565219</v>
      </c>
      <c r="X96" s="16"/>
    </row>
    <row r="97" spans="1:24" x14ac:dyDescent="0.25">
      <c r="A97" s="13">
        <v>97</v>
      </c>
      <c r="B97" s="24" t="s">
        <v>152</v>
      </c>
      <c r="C97" s="13">
        <v>187</v>
      </c>
      <c r="D97" s="13">
        <v>1</v>
      </c>
      <c r="E97" s="13">
        <v>443</v>
      </c>
      <c r="F97" s="13">
        <v>4</v>
      </c>
      <c r="G97" s="13">
        <v>0</v>
      </c>
      <c r="H97" s="13">
        <v>14</v>
      </c>
      <c r="I97" s="13">
        <v>1</v>
      </c>
      <c r="J97" s="13">
        <v>0</v>
      </c>
      <c r="K97" s="13">
        <v>1</v>
      </c>
      <c r="L97" s="13">
        <v>0</v>
      </c>
      <c r="M97" s="13">
        <v>0</v>
      </c>
      <c r="N97" s="13">
        <v>651</v>
      </c>
      <c r="O97" s="13">
        <v>0</v>
      </c>
      <c r="P97" s="13">
        <v>7</v>
      </c>
      <c r="Q97" s="13">
        <v>658</v>
      </c>
      <c r="R97" s="13">
        <v>0</v>
      </c>
      <c r="S97" s="13">
        <v>990</v>
      </c>
      <c r="T97" s="13" t="str">
        <f>VLOOKUP(A97,'[1]210 RAU complete'!$A$1:$E$292,2,0)</f>
        <v>नैनोद</v>
      </c>
      <c r="U97" s="13" t="str">
        <f>VLOOKUP(A97,'[1]210 RAU complete'!$A$1:$E$292,3,0)</f>
        <v>पंचायत भवन, नैनोद</v>
      </c>
      <c r="V97" s="13">
        <f t="shared" si="2"/>
        <v>256</v>
      </c>
      <c r="W97" s="15">
        <f t="shared" si="3"/>
        <v>66.464646464646464</v>
      </c>
      <c r="X97" s="16"/>
    </row>
    <row r="98" spans="1:24" x14ac:dyDescent="0.25">
      <c r="A98" s="17">
        <v>98</v>
      </c>
      <c r="B98" s="24" t="s">
        <v>153</v>
      </c>
      <c r="C98" s="17">
        <v>410</v>
      </c>
      <c r="D98" s="17">
        <v>2</v>
      </c>
      <c r="E98" s="17">
        <v>324</v>
      </c>
      <c r="F98" s="17">
        <v>2</v>
      </c>
      <c r="G98" s="17">
        <v>0</v>
      </c>
      <c r="H98" s="17">
        <v>2</v>
      </c>
      <c r="I98" s="17">
        <v>0</v>
      </c>
      <c r="J98" s="17">
        <v>0</v>
      </c>
      <c r="K98" s="17">
        <v>1</v>
      </c>
      <c r="L98" s="17">
        <v>0</v>
      </c>
      <c r="M98" s="17">
        <v>2</v>
      </c>
      <c r="N98" s="17">
        <v>743</v>
      </c>
      <c r="O98" s="17">
        <v>0</v>
      </c>
      <c r="P98" s="17">
        <v>2</v>
      </c>
      <c r="Q98" s="17">
        <v>745</v>
      </c>
      <c r="R98" s="17">
        <v>0</v>
      </c>
      <c r="S98" s="17">
        <v>1452</v>
      </c>
      <c r="T98" s="13" t="str">
        <f>VLOOKUP(A98,'[1]210 RAU complete'!$A$1:$E$292,2,0)</f>
        <v>नैनोद</v>
      </c>
      <c r="U98" s="13" t="str">
        <f>VLOOKUP(A98,'[1]210 RAU complete'!$A$1:$E$292,3,0)</f>
        <v>आंगनवाड़ी केन्द्र, पटेल नगर</v>
      </c>
      <c r="V98" s="17">
        <f t="shared" si="2"/>
        <v>86</v>
      </c>
      <c r="W98" s="18">
        <f t="shared" si="3"/>
        <v>51.308539944903586</v>
      </c>
      <c r="X98" s="16"/>
    </row>
    <row r="99" spans="1:24" x14ac:dyDescent="0.25">
      <c r="A99" s="13">
        <v>99</v>
      </c>
      <c r="B99" s="24" t="s">
        <v>154</v>
      </c>
      <c r="C99" s="13">
        <v>489</v>
      </c>
      <c r="D99" s="13">
        <v>7</v>
      </c>
      <c r="E99" s="13">
        <v>673</v>
      </c>
      <c r="F99" s="13">
        <v>7</v>
      </c>
      <c r="G99" s="13">
        <v>0</v>
      </c>
      <c r="H99" s="13">
        <v>3</v>
      </c>
      <c r="I99" s="13">
        <v>1</v>
      </c>
      <c r="J99" s="13">
        <v>0</v>
      </c>
      <c r="K99" s="13">
        <v>3</v>
      </c>
      <c r="L99" s="13">
        <v>0</v>
      </c>
      <c r="M99" s="13">
        <v>2</v>
      </c>
      <c r="N99" s="13">
        <v>1185</v>
      </c>
      <c r="O99" s="13">
        <v>0</v>
      </c>
      <c r="P99" s="13">
        <v>6</v>
      </c>
      <c r="Q99" s="13">
        <v>1191</v>
      </c>
      <c r="R99" s="13">
        <v>0</v>
      </c>
      <c r="S99" s="13">
        <v>1344</v>
      </c>
      <c r="T99" s="13" t="str">
        <f>VLOOKUP(A99,'[1]210 RAU complete'!$A$1:$E$292,2,0)</f>
        <v>नैनोद (ग्रामीण)</v>
      </c>
      <c r="U99" s="13" t="str">
        <f>VLOOKUP(A99,'[1]210 RAU complete'!$A$1:$E$292,3,0)</f>
        <v>नया शा.प्रा.वि. भवन, नैनोद, कमरा नं. 2</v>
      </c>
      <c r="V99" s="13">
        <f t="shared" si="2"/>
        <v>184</v>
      </c>
      <c r="W99" s="15">
        <f t="shared" si="3"/>
        <v>88.616071428571431</v>
      </c>
      <c r="X99" s="16"/>
    </row>
    <row r="100" spans="1:24" x14ac:dyDescent="0.25">
      <c r="A100" s="17">
        <v>100</v>
      </c>
      <c r="B100" s="24" t="s">
        <v>155</v>
      </c>
      <c r="C100" s="17">
        <v>394</v>
      </c>
      <c r="D100" s="17">
        <v>0</v>
      </c>
      <c r="E100" s="17">
        <v>220</v>
      </c>
      <c r="F100" s="17">
        <v>1</v>
      </c>
      <c r="G100" s="17">
        <v>0</v>
      </c>
      <c r="H100" s="17">
        <v>0</v>
      </c>
      <c r="I100" s="17">
        <v>0</v>
      </c>
      <c r="J100" s="17">
        <v>0</v>
      </c>
      <c r="K100" s="17">
        <v>2</v>
      </c>
      <c r="L100" s="17">
        <v>0</v>
      </c>
      <c r="M100" s="17">
        <v>0</v>
      </c>
      <c r="N100" s="17">
        <v>617</v>
      </c>
      <c r="O100" s="17">
        <v>0</v>
      </c>
      <c r="P100" s="17">
        <v>2</v>
      </c>
      <c r="Q100" s="17">
        <v>619</v>
      </c>
      <c r="R100" s="17">
        <v>0</v>
      </c>
      <c r="S100" s="17">
        <v>1443</v>
      </c>
      <c r="T100" s="13" t="str">
        <f>VLOOKUP(A100,'[1]210 RAU complete'!$A$1:$E$292,2,0)</f>
        <v>नैनोद (ग्रामीण)</v>
      </c>
      <c r="U100" s="13" t="str">
        <f>VLOOKUP(A100,'[1]210 RAU complete'!$A$1:$E$292,3,0)</f>
        <v>आंगनवाड़ी केन्द्र, नैनोद</v>
      </c>
      <c r="V100" s="17">
        <f t="shared" si="2"/>
        <v>174</v>
      </c>
      <c r="W100" s="18">
        <f t="shared" si="3"/>
        <v>42.896742896742893</v>
      </c>
      <c r="X100" s="16"/>
    </row>
    <row r="101" spans="1:24" x14ac:dyDescent="0.25">
      <c r="A101" s="13">
        <v>101</v>
      </c>
      <c r="B101" s="24" t="s">
        <v>156</v>
      </c>
      <c r="C101" s="13">
        <v>264</v>
      </c>
      <c r="D101" s="13">
        <v>5</v>
      </c>
      <c r="E101" s="13">
        <v>457</v>
      </c>
      <c r="F101" s="13">
        <v>2</v>
      </c>
      <c r="G101" s="13">
        <v>1</v>
      </c>
      <c r="H101" s="13">
        <v>1</v>
      </c>
      <c r="I101" s="13">
        <v>1</v>
      </c>
      <c r="J101" s="13">
        <v>1</v>
      </c>
      <c r="K101" s="13">
        <v>2</v>
      </c>
      <c r="L101" s="13">
        <v>3</v>
      </c>
      <c r="M101" s="13">
        <v>4</v>
      </c>
      <c r="N101" s="13">
        <v>741</v>
      </c>
      <c r="O101" s="13">
        <v>0</v>
      </c>
      <c r="P101" s="13">
        <v>12</v>
      </c>
      <c r="Q101" s="13">
        <v>753</v>
      </c>
      <c r="R101" s="13">
        <v>0</v>
      </c>
      <c r="S101" s="13">
        <v>965</v>
      </c>
      <c r="T101" s="13" t="str">
        <f>VLOOKUP(A101,'[1]210 RAU complete'!$A$1:$E$292,2,0)</f>
        <v>नैनोद (ग्रामीण)</v>
      </c>
      <c r="U101" s="13" t="str">
        <f>VLOOKUP(A101,'[1]210 RAU complete'!$A$1:$E$292,3,0)</f>
        <v>शा.प्रा.वि. दिलीप नगर, कमरा नं. 2</v>
      </c>
      <c r="V101" s="13">
        <f t="shared" si="2"/>
        <v>193</v>
      </c>
      <c r="W101" s="15">
        <f t="shared" si="3"/>
        <v>78.031088082901562</v>
      </c>
      <c r="X101" s="16"/>
    </row>
    <row r="102" spans="1:24" x14ac:dyDescent="0.25">
      <c r="A102" s="13">
        <v>102</v>
      </c>
      <c r="B102" s="24" t="s">
        <v>157</v>
      </c>
      <c r="C102" s="13">
        <v>281</v>
      </c>
      <c r="D102" s="13">
        <v>3</v>
      </c>
      <c r="E102" s="13">
        <v>565</v>
      </c>
      <c r="F102" s="13">
        <v>4</v>
      </c>
      <c r="G102" s="13">
        <v>2</v>
      </c>
      <c r="H102" s="13">
        <v>1</v>
      </c>
      <c r="I102" s="13">
        <v>1</v>
      </c>
      <c r="J102" s="13">
        <v>2</v>
      </c>
      <c r="K102" s="13">
        <v>1</v>
      </c>
      <c r="L102" s="13">
        <v>6</v>
      </c>
      <c r="M102" s="13">
        <v>0</v>
      </c>
      <c r="N102" s="13">
        <v>866</v>
      </c>
      <c r="O102" s="13">
        <v>0</v>
      </c>
      <c r="P102" s="13">
        <v>5</v>
      </c>
      <c r="Q102" s="13">
        <v>871</v>
      </c>
      <c r="R102" s="13">
        <v>0</v>
      </c>
      <c r="S102" s="13">
        <v>984</v>
      </c>
      <c r="T102" s="13" t="str">
        <f>VLOOKUP(A102,'[1]210 RAU complete'!$A$1:$E$292,2,0)</f>
        <v>रिजलाय (ग्रामीण)</v>
      </c>
      <c r="U102" s="13" t="str">
        <f>VLOOKUP(A102,'[1]210 RAU complete'!$A$1:$E$292,3,0)</f>
        <v>शा.प्रा.वि. रिजलाय, कमरा नं. 1</v>
      </c>
      <c r="V102" s="13">
        <f t="shared" si="2"/>
        <v>284</v>
      </c>
      <c r="W102" s="15">
        <f t="shared" si="3"/>
        <v>88.516260162601625</v>
      </c>
      <c r="X102" s="16"/>
    </row>
    <row r="103" spans="1:24" x14ac:dyDescent="0.25">
      <c r="A103" s="13">
        <v>103</v>
      </c>
      <c r="B103" s="24" t="s">
        <v>158</v>
      </c>
      <c r="C103" s="13">
        <v>253</v>
      </c>
      <c r="D103" s="13">
        <v>3</v>
      </c>
      <c r="E103" s="13">
        <v>395</v>
      </c>
      <c r="F103" s="13">
        <v>1</v>
      </c>
      <c r="G103" s="13">
        <v>0</v>
      </c>
      <c r="H103" s="13">
        <v>33</v>
      </c>
      <c r="I103" s="13">
        <v>0</v>
      </c>
      <c r="J103" s="13">
        <v>0</v>
      </c>
      <c r="K103" s="13">
        <v>0</v>
      </c>
      <c r="L103" s="13">
        <v>0</v>
      </c>
      <c r="M103" s="13">
        <v>1</v>
      </c>
      <c r="N103" s="13">
        <v>686</v>
      </c>
      <c r="O103" s="13">
        <v>0</v>
      </c>
      <c r="P103" s="13">
        <v>7</v>
      </c>
      <c r="Q103" s="13">
        <v>693</v>
      </c>
      <c r="R103" s="13">
        <v>0</v>
      </c>
      <c r="S103" s="13">
        <v>1388</v>
      </c>
      <c r="T103" s="13" t="str">
        <f>VLOOKUP(A103,'[1]210 RAU complete'!$A$1:$E$292,2,0)</f>
        <v>बिसनावदा (ग्रामीण)</v>
      </c>
      <c r="U103" s="13" t="str">
        <f>VLOOKUP(A103,'[1]210 RAU complete'!$A$1:$E$292,3,0)</f>
        <v>नवीन मा.वि. भवन, क.नं. 2, बिसनावदा</v>
      </c>
      <c r="V103" s="13">
        <f t="shared" si="2"/>
        <v>142</v>
      </c>
      <c r="W103" s="15">
        <f t="shared" si="3"/>
        <v>49.92795389048991</v>
      </c>
      <c r="X103" s="16"/>
    </row>
    <row r="104" spans="1:24" x14ac:dyDescent="0.25">
      <c r="A104" s="13">
        <v>104</v>
      </c>
      <c r="B104" s="24" t="s">
        <v>159</v>
      </c>
      <c r="C104" s="13">
        <v>292</v>
      </c>
      <c r="D104" s="13">
        <v>4</v>
      </c>
      <c r="E104" s="13">
        <v>446</v>
      </c>
      <c r="F104" s="13">
        <v>3</v>
      </c>
      <c r="G104" s="13">
        <v>0</v>
      </c>
      <c r="H104" s="13">
        <v>4</v>
      </c>
      <c r="I104" s="13">
        <v>0</v>
      </c>
      <c r="J104" s="13">
        <v>0</v>
      </c>
      <c r="K104" s="13">
        <v>1</v>
      </c>
      <c r="L104" s="13">
        <v>1</v>
      </c>
      <c r="M104" s="13">
        <v>2</v>
      </c>
      <c r="N104" s="13">
        <v>753</v>
      </c>
      <c r="O104" s="13">
        <v>0</v>
      </c>
      <c r="P104" s="13">
        <v>10</v>
      </c>
      <c r="Q104" s="13">
        <v>763</v>
      </c>
      <c r="R104" s="13">
        <v>0</v>
      </c>
      <c r="S104" s="13">
        <v>963</v>
      </c>
      <c r="T104" s="13" t="str">
        <f>VLOOKUP(A104,'[1]210 RAU complete'!$A$1:$E$292,2,0)</f>
        <v>धरनावद (ग्रामीण)</v>
      </c>
      <c r="U104" s="13" t="str">
        <f>VLOOKUP(A104,'[1]210 RAU complete'!$A$1:$E$292,3,0)</f>
        <v>प्रा.वि. भवन, धरनावद, कमरा नं. 1</v>
      </c>
      <c r="V104" s="13">
        <f t="shared" si="2"/>
        <v>154</v>
      </c>
      <c r="W104" s="15">
        <f t="shared" si="3"/>
        <v>79.231568016614744</v>
      </c>
      <c r="X104" s="16"/>
    </row>
    <row r="105" spans="1:24" x14ac:dyDescent="0.25">
      <c r="A105" s="13">
        <v>105</v>
      </c>
      <c r="B105" s="24" t="s">
        <v>160</v>
      </c>
      <c r="C105" s="13">
        <v>375</v>
      </c>
      <c r="D105" s="13">
        <v>2</v>
      </c>
      <c r="E105" s="13">
        <v>495</v>
      </c>
      <c r="F105" s="13">
        <v>3</v>
      </c>
      <c r="G105" s="13">
        <v>0</v>
      </c>
      <c r="H105" s="13">
        <v>5</v>
      </c>
      <c r="I105" s="13">
        <v>2</v>
      </c>
      <c r="J105" s="13">
        <v>0</v>
      </c>
      <c r="K105" s="13">
        <v>0</v>
      </c>
      <c r="L105" s="13">
        <v>0</v>
      </c>
      <c r="M105" s="13">
        <v>0</v>
      </c>
      <c r="N105" s="13">
        <v>882</v>
      </c>
      <c r="O105" s="13">
        <v>0</v>
      </c>
      <c r="P105" s="13">
        <v>0</v>
      </c>
      <c r="Q105" s="13">
        <v>882</v>
      </c>
      <c r="R105" s="13">
        <v>0</v>
      </c>
      <c r="S105" s="13">
        <v>1152</v>
      </c>
      <c r="T105" s="13" t="str">
        <f>VLOOKUP(A105,'[1]210 RAU complete'!$A$1:$E$292,2,0)</f>
        <v>कलारिया (ग्रामीण)</v>
      </c>
      <c r="U105" s="13" t="str">
        <f>VLOOKUP(A105,'[1]210 RAU complete'!$A$1:$E$292,3,0)</f>
        <v>शा.मा.वि. कलारिया, क.नं. 1</v>
      </c>
      <c r="V105" s="13">
        <f t="shared" si="2"/>
        <v>120</v>
      </c>
      <c r="W105" s="15">
        <f t="shared" si="3"/>
        <v>76.5625</v>
      </c>
      <c r="X105" s="16"/>
    </row>
    <row r="106" spans="1:24" x14ac:dyDescent="0.25">
      <c r="A106" s="13">
        <v>106</v>
      </c>
      <c r="B106" s="24" t="s">
        <v>161</v>
      </c>
      <c r="C106" s="13">
        <v>303</v>
      </c>
      <c r="D106" s="13">
        <v>2</v>
      </c>
      <c r="E106" s="13">
        <v>455</v>
      </c>
      <c r="F106" s="13">
        <v>6</v>
      </c>
      <c r="G106" s="13">
        <v>0</v>
      </c>
      <c r="H106" s="13">
        <v>3</v>
      </c>
      <c r="I106" s="13">
        <v>1</v>
      </c>
      <c r="J106" s="13">
        <v>1</v>
      </c>
      <c r="K106" s="13">
        <v>0</v>
      </c>
      <c r="L106" s="13">
        <v>0</v>
      </c>
      <c r="M106" s="13">
        <v>1</v>
      </c>
      <c r="N106" s="13">
        <v>772</v>
      </c>
      <c r="O106" s="13">
        <v>0</v>
      </c>
      <c r="P106" s="13">
        <v>1</v>
      </c>
      <c r="Q106" s="13">
        <v>773</v>
      </c>
      <c r="R106" s="13">
        <v>0</v>
      </c>
      <c r="S106" s="13">
        <v>1014</v>
      </c>
      <c r="T106" s="13" t="str">
        <f>VLOOKUP(A106,'[1]210 RAU complete'!$A$1:$E$292,2,0)</f>
        <v>कलारिया (ग्रामीण)</v>
      </c>
      <c r="U106" s="13" t="str">
        <f>VLOOKUP(A106,'[1]210 RAU complete'!$A$1:$E$292,3,0)</f>
        <v>शा.मा.वि. कलारिया क.नं. 2</v>
      </c>
      <c r="V106" s="13">
        <f t="shared" si="2"/>
        <v>152</v>
      </c>
      <c r="W106" s="15">
        <f t="shared" si="3"/>
        <v>76.232741617357007</v>
      </c>
      <c r="X106" s="16"/>
    </row>
    <row r="107" spans="1:24" x14ac:dyDescent="0.25">
      <c r="A107" s="13">
        <v>107</v>
      </c>
      <c r="B107" s="24" t="s">
        <v>162</v>
      </c>
      <c r="C107" s="13">
        <v>368</v>
      </c>
      <c r="D107" s="13">
        <v>8</v>
      </c>
      <c r="E107" s="13">
        <v>612</v>
      </c>
      <c r="F107" s="13">
        <v>2</v>
      </c>
      <c r="G107" s="13">
        <v>2</v>
      </c>
      <c r="H107" s="13">
        <v>13</v>
      </c>
      <c r="I107" s="13">
        <v>2</v>
      </c>
      <c r="J107" s="13">
        <v>1</v>
      </c>
      <c r="K107" s="13">
        <v>1</v>
      </c>
      <c r="L107" s="13">
        <v>2</v>
      </c>
      <c r="M107" s="13">
        <v>5</v>
      </c>
      <c r="N107" s="13">
        <v>1016</v>
      </c>
      <c r="O107" s="13">
        <v>0</v>
      </c>
      <c r="P107" s="13">
        <v>16</v>
      </c>
      <c r="Q107" s="13">
        <v>1032</v>
      </c>
      <c r="R107" s="13">
        <v>0</v>
      </c>
      <c r="S107" s="13">
        <v>1322</v>
      </c>
      <c r="T107" s="13" t="str">
        <f>VLOOKUP(A107,'[1]210 RAU complete'!$A$1:$E$292,2,0)</f>
        <v>नरलाय (ग्रामीण)</v>
      </c>
      <c r="U107" s="13" t="str">
        <f>VLOOKUP(A107,'[1]210 RAU complete'!$A$1:$E$292,3,0)</f>
        <v>शा.प्रा. विद्यालय नरलाय कमरा नं 1</v>
      </c>
      <c r="V107" s="13">
        <f t="shared" si="2"/>
        <v>244</v>
      </c>
      <c r="W107" s="15">
        <f t="shared" si="3"/>
        <v>78.063540090771554</v>
      </c>
      <c r="X107" s="16"/>
    </row>
    <row r="108" spans="1:24" x14ac:dyDescent="0.25">
      <c r="A108" s="13">
        <v>108</v>
      </c>
      <c r="B108" s="24" t="s">
        <v>163</v>
      </c>
      <c r="C108" s="13">
        <v>263</v>
      </c>
      <c r="D108" s="13">
        <v>4</v>
      </c>
      <c r="E108" s="13">
        <v>418</v>
      </c>
      <c r="F108" s="13">
        <v>3</v>
      </c>
      <c r="G108" s="13">
        <v>0</v>
      </c>
      <c r="H108" s="13">
        <v>2</v>
      </c>
      <c r="I108" s="13">
        <v>0</v>
      </c>
      <c r="J108" s="13">
        <v>0</v>
      </c>
      <c r="K108" s="13">
        <v>2</v>
      </c>
      <c r="L108" s="13">
        <v>1</v>
      </c>
      <c r="M108" s="13">
        <v>1</v>
      </c>
      <c r="N108" s="13">
        <v>694</v>
      </c>
      <c r="O108" s="13">
        <v>0</v>
      </c>
      <c r="P108" s="13">
        <v>3</v>
      </c>
      <c r="Q108" s="13">
        <v>697</v>
      </c>
      <c r="R108" s="13">
        <v>0</v>
      </c>
      <c r="S108" s="13">
        <v>904</v>
      </c>
      <c r="T108" s="13" t="str">
        <f>VLOOKUP(A108,'[1]210 RAU complete'!$A$1:$E$292,2,0)</f>
        <v>सिन्दोडा</v>
      </c>
      <c r="U108" s="13" t="str">
        <f>VLOOKUP(A108,'[1]210 RAU complete'!$A$1:$E$292,3,0)</f>
        <v>शा.मा.वि. सिन्दोडा, कमरा नं. 1</v>
      </c>
      <c r="V108" s="13">
        <f t="shared" si="2"/>
        <v>155</v>
      </c>
      <c r="W108" s="15">
        <f t="shared" si="3"/>
        <v>77.101769911504419</v>
      </c>
      <c r="X108" s="16"/>
    </row>
    <row r="109" spans="1:24" x14ac:dyDescent="0.25">
      <c r="A109" s="13">
        <v>109</v>
      </c>
      <c r="B109" s="24" t="s">
        <v>164</v>
      </c>
      <c r="C109" s="13">
        <v>262</v>
      </c>
      <c r="D109" s="13">
        <v>2</v>
      </c>
      <c r="E109" s="13">
        <v>388</v>
      </c>
      <c r="F109" s="13">
        <v>2</v>
      </c>
      <c r="G109" s="13">
        <v>0</v>
      </c>
      <c r="H109" s="13">
        <v>2</v>
      </c>
      <c r="I109" s="13">
        <v>0</v>
      </c>
      <c r="J109" s="13">
        <v>1</v>
      </c>
      <c r="K109" s="13">
        <v>2</v>
      </c>
      <c r="L109" s="13">
        <v>0</v>
      </c>
      <c r="M109" s="13">
        <v>2</v>
      </c>
      <c r="N109" s="13">
        <v>661</v>
      </c>
      <c r="O109" s="13">
        <v>0</v>
      </c>
      <c r="P109" s="13">
        <v>11</v>
      </c>
      <c r="Q109" s="13">
        <v>672</v>
      </c>
      <c r="R109" s="13">
        <v>0</v>
      </c>
      <c r="S109" s="13">
        <v>970</v>
      </c>
      <c r="T109" s="13" t="str">
        <f>VLOOKUP(A109,'[1]210 RAU complete'!$A$1:$E$292,2,0)</f>
        <v>सिन्दोडा</v>
      </c>
      <c r="U109" s="13" t="str">
        <f>VLOOKUP(A109,'[1]210 RAU complete'!$A$1:$E$292,3,0)</f>
        <v>शा.मा.वि. सिन्दोडा, कमरा नं. 2</v>
      </c>
      <c r="V109" s="13">
        <f t="shared" si="2"/>
        <v>126</v>
      </c>
      <c r="W109" s="15">
        <f t="shared" si="3"/>
        <v>69.278350515463913</v>
      </c>
      <c r="X109" s="16"/>
    </row>
    <row r="110" spans="1:24" x14ac:dyDescent="0.25">
      <c r="A110" s="13">
        <v>110</v>
      </c>
      <c r="B110" s="24" t="s">
        <v>165</v>
      </c>
      <c r="C110" s="13">
        <v>390</v>
      </c>
      <c r="D110" s="13">
        <v>2</v>
      </c>
      <c r="E110" s="13">
        <v>683</v>
      </c>
      <c r="F110" s="13">
        <v>1</v>
      </c>
      <c r="G110" s="13">
        <v>1</v>
      </c>
      <c r="H110" s="13">
        <v>6</v>
      </c>
      <c r="I110" s="13">
        <v>0</v>
      </c>
      <c r="J110" s="13">
        <v>0</v>
      </c>
      <c r="K110" s="13">
        <v>2</v>
      </c>
      <c r="L110" s="13">
        <v>3</v>
      </c>
      <c r="M110" s="13">
        <v>1</v>
      </c>
      <c r="N110" s="13">
        <v>1089</v>
      </c>
      <c r="O110" s="13">
        <v>0</v>
      </c>
      <c r="P110" s="13">
        <v>2</v>
      </c>
      <c r="Q110" s="13">
        <v>1091</v>
      </c>
      <c r="R110" s="13">
        <v>0</v>
      </c>
      <c r="S110" s="13">
        <v>1407</v>
      </c>
      <c r="T110" s="13" t="str">
        <f>VLOOKUP(A110,'[1]210 RAU complete'!$A$1:$E$292,2,0)</f>
        <v>नावदापंथ (ग्रामीण)</v>
      </c>
      <c r="U110" s="13" t="str">
        <f>VLOOKUP(A110,'[1]210 RAU complete'!$A$1:$E$292,3,0)</f>
        <v>शा.प्रा.वि. नावदापंथ, कमरा नं. 2</v>
      </c>
      <c r="V110" s="13">
        <f t="shared" si="2"/>
        <v>293</v>
      </c>
      <c r="W110" s="15">
        <f t="shared" si="3"/>
        <v>77.540867093105902</v>
      </c>
      <c r="X110" s="16"/>
    </row>
    <row r="111" spans="1:24" x14ac:dyDescent="0.25">
      <c r="A111" s="13">
        <v>111</v>
      </c>
      <c r="B111" s="24" t="s">
        <v>166</v>
      </c>
      <c r="C111" s="13">
        <v>382</v>
      </c>
      <c r="D111" s="13">
        <v>3</v>
      </c>
      <c r="E111" s="13">
        <v>628</v>
      </c>
      <c r="F111" s="13">
        <v>3</v>
      </c>
      <c r="G111" s="13">
        <v>0</v>
      </c>
      <c r="H111" s="13">
        <v>0</v>
      </c>
      <c r="I111" s="13">
        <v>0</v>
      </c>
      <c r="J111" s="13">
        <v>0</v>
      </c>
      <c r="K111" s="13">
        <v>4</v>
      </c>
      <c r="L111" s="13">
        <v>1</v>
      </c>
      <c r="M111" s="13">
        <v>2</v>
      </c>
      <c r="N111" s="13">
        <v>1023</v>
      </c>
      <c r="O111" s="13">
        <v>0</v>
      </c>
      <c r="P111" s="13">
        <v>8</v>
      </c>
      <c r="Q111" s="13">
        <v>1031</v>
      </c>
      <c r="R111" s="13">
        <v>0</v>
      </c>
      <c r="S111" s="13">
        <v>1244</v>
      </c>
      <c r="T111" s="13" t="str">
        <f>VLOOKUP(A111,'[1]210 RAU complete'!$A$1:$E$292,2,0)</f>
        <v>नावदापंथ (ग्रामीण)</v>
      </c>
      <c r="U111" s="13" t="str">
        <f>VLOOKUP(A111,'[1]210 RAU complete'!$A$1:$E$292,3,0)</f>
        <v>शा.प्रा.वि. श्री राम तलावली, नावदापंथ</v>
      </c>
      <c r="V111" s="13">
        <f t="shared" si="2"/>
        <v>246</v>
      </c>
      <c r="W111" s="15">
        <f t="shared" si="3"/>
        <v>82.877813504823152</v>
      </c>
      <c r="X111" s="16"/>
    </row>
    <row r="112" spans="1:24" x14ac:dyDescent="0.25">
      <c r="A112" s="13">
        <v>112</v>
      </c>
      <c r="B112" s="24" t="s">
        <v>167</v>
      </c>
      <c r="C112" s="13">
        <v>401</v>
      </c>
      <c r="D112" s="13">
        <v>4</v>
      </c>
      <c r="E112" s="13">
        <v>708</v>
      </c>
      <c r="F112" s="13">
        <v>9</v>
      </c>
      <c r="G112" s="13">
        <v>1</v>
      </c>
      <c r="H112" s="13">
        <v>0</v>
      </c>
      <c r="I112" s="13">
        <v>0</v>
      </c>
      <c r="J112" s="13">
        <v>0</v>
      </c>
      <c r="K112" s="13">
        <v>0</v>
      </c>
      <c r="L112" s="13">
        <v>6</v>
      </c>
      <c r="M112" s="13">
        <v>2</v>
      </c>
      <c r="N112" s="13">
        <v>1131</v>
      </c>
      <c r="O112" s="13">
        <v>0</v>
      </c>
      <c r="P112" s="13">
        <v>4</v>
      </c>
      <c r="Q112" s="13">
        <v>1135</v>
      </c>
      <c r="R112" s="13">
        <v>0</v>
      </c>
      <c r="S112" s="13">
        <v>1368</v>
      </c>
      <c r="T112" s="13" t="str">
        <f>VLOOKUP(A112,'[1]210 RAU complete'!$A$1:$E$292,2,0)</f>
        <v>सिंहासा (ग्रामीण)</v>
      </c>
      <c r="U112" s="13" t="str">
        <f>VLOOKUP(A112,'[1]210 RAU complete'!$A$1:$E$292,3,0)</f>
        <v>शा.प्रा.वि. सिंहासा, क.नं. 2</v>
      </c>
      <c r="V112" s="13">
        <f t="shared" si="2"/>
        <v>307</v>
      </c>
      <c r="W112" s="15">
        <f t="shared" si="3"/>
        <v>82.967836257309941</v>
      </c>
      <c r="X112" s="16"/>
    </row>
    <row r="113" spans="1:24" x14ac:dyDescent="0.25">
      <c r="A113" s="13">
        <v>113</v>
      </c>
      <c r="B113" s="24" t="s">
        <v>168</v>
      </c>
      <c r="C113" s="13">
        <v>366</v>
      </c>
      <c r="D113" s="13">
        <v>8</v>
      </c>
      <c r="E113" s="13">
        <v>492</v>
      </c>
      <c r="F113" s="13">
        <v>4</v>
      </c>
      <c r="G113" s="13">
        <v>0</v>
      </c>
      <c r="H113" s="13">
        <v>2</v>
      </c>
      <c r="I113" s="13">
        <v>1</v>
      </c>
      <c r="J113" s="13">
        <v>1</v>
      </c>
      <c r="K113" s="13">
        <v>1</v>
      </c>
      <c r="L113" s="13">
        <v>3</v>
      </c>
      <c r="M113" s="13">
        <v>1</v>
      </c>
      <c r="N113" s="13">
        <v>879</v>
      </c>
      <c r="O113" s="13">
        <v>0</v>
      </c>
      <c r="P113" s="13">
        <v>9</v>
      </c>
      <c r="Q113" s="13">
        <v>888</v>
      </c>
      <c r="R113" s="13">
        <v>0</v>
      </c>
      <c r="S113" s="13">
        <v>1105</v>
      </c>
      <c r="T113" s="13" t="str">
        <f>VLOOKUP(A113,'[1]210 RAU complete'!$A$1:$E$292,2,0)</f>
        <v>सिंहासा (ग्रामीण)</v>
      </c>
      <c r="U113" s="13" t="str">
        <f>VLOOKUP(A113,'[1]210 RAU complete'!$A$1:$E$292,3,0)</f>
        <v>शा.मा.वि. सिंहासा, क.नं. 1</v>
      </c>
      <c r="V113" s="13">
        <f t="shared" si="2"/>
        <v>126</v>
      </c>
      <c r="W113" s="15">
        <f t="shared" si="3"/>
        <v>80.361990950226243</v>
      </c>
      <c r="X113" s="16"/>
    </row>
    <row r="114" spans="1:24" x14ac:dyDescent="0.25">
      <c r="A114" s="13">
        <v>114</v>
      </c>
      <c r="B114" s="24" t="s">
        <v>169</v>
      </c>
      <c r="C114" s="13">
        <v>453</v>
      </c>
      <c r="D114" s="13">
        <v>7</v>
      </c>
      <c r="E114" s="13">
        <v>549</v>
      </c>
      <c r="F114" s="13">
        <v>2</v>
      </c>
      <c r="G114" s="13">
        <v>0</v>
      </c>
      <c r="H114" s="13">
        <v>0</v>
      </c>
      <c r="I114" s="13">
        <v>0</v>
      </c>
      <c r="J114" s="13">
        <v>0</v>
      </c>
      <c r="K114" s="13">
        <v>2</v>
      </c>
      <c r="L114" s="13">
        <v>2</v>
      </c>
      <c r="M114" s="13">
        <v>0</v>
      </c>
      <c r="N114" s="13">
        <v>1015</v>
      </c>
      <c r="O114" s="13">
        <v>0</v>
      </c>
      <c r="P114" s="13">
        <v>9</v>
      </c>
      <c r="Q114" s="13">
        <v>1024</v>
      </c>
      <c r="R114" s="13">
        <v>0</v>
      </c>
      <c r="S114" s="13">
        <v>1255</v>
      </c>
      <c r="T114" s="13" t="str">
        <f>VLOOKUP(A114,'[1]210 RAU complete'!$A$1:$E$292,2,0)</f>
        <v>सिंहासा (ग्रामीण)</v>
      </c>
      <c r="U114" s="13" t="str">
        <f>VLOOKUP(A114,'[1]210 RAU complete'!$A$1:$E$292,3,0)</f>
        <v>शा.हाई. स्कूल सिंहासा, क.नं. 2</v>
      </c>
      <c r="V114" s="13">
        <f t="shared" si="2"/>
        <v>96</v>
      </c>
      <c r="W114" s="15">
        <f t="shared" si="3"/>
        <v>81.593625498007967</v>
      </c>
      <c r="X114" s="16"/>
    </row>
    <row r="115" spans="1:24" x14ac:dyDescent="0.25">
      <c r="A115" s="17">
        <v>115</v>
      </c>
      <c r="B115" s="24" t="s">
        <v>170</v>
      </c>
      <c r="C115" s="17">
        <v>928</v>
      </c>
      <c r="D115" s="17">
        <v>2</v>
      </c>
      <c r="E115" s="17">
        <v>145</v>
      </c>
      <c r="F115" s="17">
        <v>2</v>
      </c>
      <c r="G115" s="17">
        <v>0</v>
      </c>
      <c r="H115" s="17">
        <v>2</v>
      </c>
      <c r="I115" s="17">
        <v>19</v>
      </c>
      <c r="J115" s="17">
        <v>1</v>
      </c>
      <c r="K115" s="17">
        <v>0</v>
      </c>
      <c r="L115" s="17">
        <v>0</v>
      </c>
      <c r="M115" s="17">
        <v>2</v>
      </c>
      <c r="N115" s="17">
        <v>1101</v>
      </c>
      <c r="O115" s="17">
        <v>0</v>
      </c>
      <c r="P115" s="17">
        <v>6</v>
      </c>
      <c r="Q115" s="17">
        <v>1107</v>
      </c>
      <c r="R115" s="17">
        <v>0</v>
      </c>
      <c r="S115" s="17">
        <v>1289</v>
      </c>
      <c r="T115" s="13" t="str">
        <f>VLOOKUP(A115,'[1]210 RAU complete'!$A$1:$E$292,2,0)</f>
        <v>बांक (ग्रामीण)</v>
      </c>
      <c r="U115" s="13" t="str">
        <f>VLOOKUP(A115,'[1]210 RAU complete'!$A$1:$E$292,3,0)</f>
        <v>शा.प्रा.वि. भवन, क.नं. 1, बांक</v>
      </c>
      <c r="V115" s="17">
        <f t="shared" si="2"/>
        <v>783</v>
      </c>
      <c r="W115" s="18">
        <f t="shared" si="3"/>
        <v>85.880527540729247</v>
      </c>
      <c r="X115" s="16"/>
    </row>
    <row r="116" spans="1:24" x14ac:dyDescent="0.25">
      <c r="A116" s="17">
        <v>116</v>
      </c>
      <c r="B116" s="24" t="s">
        <v>171</v>
      </c>
      <c r="C116" s="17">
        <v>562</v>
      </c>
      <c r="D116" s="17">
        <v>2</v>
      </c>
      <c r="E116" s="17">
        <v>19</v>
      </c>
      <c r="F116" s="17">
        <v>1</v>
      </c>
      <c r="G116" s="17">
        <v>0</v>
      </c>
      <c r="H116" s="17">
        <v>1</v>
      </c>
      <c r="I116" s="17">
        <v>2</v>
      </c>
      <c r="J116" s="17">
        <v>0</v>
      </c>
      <c r="K116" s="17">
        <v>0</v>
      </c>
      <c r="L116" s="17">
        <v>0</v>
      </c>
      <c r="M116" s="17">
        <v>0</v>
      </c>
      <c r="N116" s="17">
        <v>587</v>
      </c>
      <c r="O116" s="17">
        <v>0</v>
      </c>
      <c r="P116" s="17">
        <v>2</v>
      </c>
      <c r="Q116" s="17">
        <v>589</v>
      </c>
      <c r="R116" s="17">
        <v>0</v>
      </c>
      <c r="S116" s="17">
        <v>837</v>
      </c>
      <c r="T116" s="13" t="str">
        <f>VLOOKUP(A116,'[1]210 RAU complete'!$A$1:$E$292,2,0)</f>
        <v xml:space="preserve">बांक </v>
      </c>
      <c r="U116" s="13" t="str">
        <f>VLOOKUP(A116,'[1]210 RAU complete'!$A$1:$E$292,3,0)</f>
        <v>पंचायत भवन, बांक, कमरा नं. 1</v>
      </c>
      <c r="V116" s="17">
        <f t="shared" si="2"/>
        <v>543</v>
      </c>
      <c r="W116" s="18">
        <f t="shared" si="3"/>
        <v>70.370370370370367</v>
      </c>
      <c r="X116" s="16"/>
    </row>
    <row r="117" spans="1:24" x14ac:dyDescent="0.25">
      <c r="A117" s="17">
        <v>117</v>
      </c>
      <c r="B117" s="24" t="s">
        <v>172</v>
      </c>
      <c r="C117" s="17">
        <v>551</v>
      </c>
      <c r="D117" s="17">
        <v>1</v>
      </c>
      <c r="E117" s="17">
        <v>38</v>
      </c>
      <c r="F117" s="17">
        <v>0</v>
      </c>
      <c r="G117" s="17">
        <v>1</v>
      </c>
      <c r="H117" s="17">
        <v>1</v>
      </c>
      <c r="I117" s="17">
        <v>2</v>
      </c>
      <c r="J117" s="17">
        <v>0</v>
      </c>
      <c r="K117" s="17">
        <v>0</v>
      </c>
      <c r="L117" s="17">
        <v>0</v>
      </c>
      <c r="M117" s="17">
        <v>1</v>
      </c>
      <c r="N117" s="17">
        <v>595</v>
      </c>
      <c r="O117" s="17">
        <v>0</v>
      </c>
      <c r="P117" s="17">
        <v>5</v>
      </c>
      <c r="Q117" s="17">
        <v>600</v>
      </c>
      <c r="R117" s="17">
        <v>0</v>
      </c>
      <c r="S117" s="17">
        <v>1198</v>
      </c>
      <c r="T117" s="13" t="str">
        <f>VLOOKUP(A117,'[1]210 RAU complete'!$A$1:$E$292,2,0)</f>
        <v>बांक</v>
      </c>
      <c r="U117" s="13" t="str">
        <f>VLOOKUP(A117,'[1]210 RAU complete'!$A$1:$E$292,3,0)</f>
        <v>शा.प्रा.वि. भवन, कमरा नं. 2</v>
      </c>
      <c r="V117" s="17">
        <f t="shared" si="2"/>
        <v>513</v>
      </c>
      <c r="W117" s="18">
        <f t="shared" si="3"/>
        <v>50.083472454090149</v>
      </c>
      <c r="X117" s="16"/>
    </row>
    <row r="118" spans="1:24" x14ac:dyDescent="0.25">
      <c r="A118" s="17">
        <v>118</v>
      </c>
      <c r="B118" s="24" t="s">
        <v>173</v>
      </c>
      <c r="C118" s="17">
        <v>857</v>
      </c>
      <c r="D118" s="17">
        <v>2</v>
      </c>
      <c r="E118" s="17">
        <v>80</v>
      </c>
      <c r="F118" s="17">
        <v>0</v>
      </c>
      <c r="G118" s="17">
        <v>0</v>
      </c>
      <c r="H118" s="17">
        <v>6</v>
      </c>
      <c r="I118" s="17">
        <v>8</v>
      </c>
      <c r="J118" s="17">
        <v>0</v>
      </c>
      <c r="K118" s="17">
        <v>1</v>
      </c>
      <c r="L118" s="17">
        <v>0</v>
      </c>
      <c r="M118" s="17">
        <v>2</v>
      </c>
      <c r="N118" s="17">
        <v>956</v>
      </c>
      <c r="O118" s="17">
        <v>0</v>
      </c>
      <c r="P118" s="17">
        <v>7</v>
      </c>
      <c r="Q118" s="17">
        <v>963</v>
      </c>
      <c r="R118" s="17">
        <v>0</v>
      </c>
      <c r="S118" s="17">
        <v>1001</v>
      </c>
      <c r="T118" s="13" t="str">
        <f>VLOOKUP(A118,'[1]210 RAU complete'!$A$1:$E$292,2,0)</f>
        <v>बांक (ग्रामीण)</v>
      </c>
      <c r="U118" s="13" t="str">
        <f>VLOOKUP(A118,'[1]210 RAU complete'!$A$1:$E$292,3,0)</f>
        <v>शा.प्रा.वि. भवन, बांक, कक्ष क्र. 3</v>
      </c>
      <c r="V118" s="17">
        <f t="shared" si="2"/>
        <v>777</v>
      </c>
      <c r="W118" s="18">
        <f t="shared" si="3"/>
        <v>96.203796203796202</v>
      </c>
      <c r="X118" s="16"/>
    </row>
    <row r="119" spans="1:24" x14ac:dyDescent="0.25">
      <c r="A119" s="17">
        <v>119</v>
      </c>
      <c r="B119" s="24" t="s">
        <v>174</v>
      </c>
      <c r="C119" s="17">
        <v>867</v>
      </c>
      <c r="D119" s="17">
        <v>0</v>
      </c>
      <c r="E119" s="17">
        <v>179</v>
      </c>
      <c r="F119" s="17">
        <v>0</v>
      </c>
      <c r="G119" s="17">
        <v>0</v>
      </c>
      <c r="H119" s="17">
        <v>2</v>
      </c>
      <c r="I119" s="17">
        <v>1</v>
      </c>
      <c r="J119" s="17">
        <v>1</v>
      </c>
      <c r="K119" s="17">
        <v>0</v>
      </c>
      <c r="L119" s="17">
        <v>0</v>
      </c>
      <c r="M119" s="17">
        <v>2</v>
      </c>
      <c r="N119" s="17">
        <v>1052</v>
      </c>
      <c r="O119" s="17">
        <v>0</v>
      </c>
      <c r="P119" s="17">
        <v>3</v>
      </c>
      <c r="Q119" s="17">
        <v>1055</v>
      </c>
      <c r="R119" s="17">
        <v>0</v>
      </c>
      <c r="S119" s="17">
        <v>1222</v>
      </c>
      <c r="T119" s="13" t="str">
        <f>VLOOKUP(A119,'[1]210 RAU complete'!$A$1:$E$292,2,0)</f>
        <v>बांक (ग्रामीण)</v>
      </c>
      <c r="U119" s="13" t="str">
        <f>VLOOKUP(A119,'[1]210 RAU complete'!$A$1:$E$292,3,0)</f>
        <v>शा.प्रा.वि. भवन, बांक, कक्ष क्र. 4</v>
      </c>
      <c r="V119" s="17">
        <f t="shared" si="2"/>
        <v>688</v>
      </c>
      <c r="W119" s="18">
        <f t="shared" si="3"/>
        <v>86.333878887070384</v>
      </c>
      <c r="X119" s="16"/>
    </row>
    <row r="120" spans="1:24" x14ac:dyDescent="0.25">
      <c r="A120" s="13">
        <v>120</v>
      </c>
      <c r="B120" s="24" t="s">
        <v>175</v>
      </c>
      <c r="C120" s="13">
        <v>467</v>
      </c>
      <c r="D120" s="13">
        <v>4</v>
      </c>
      <c r="E120" s="13">
        <v>699</v>
      </c>
      <c r="F120" s="13">
        <v>8</v>
      </c>
      <c r="G120" s="13">
        <v>0</v>
      </c>
      <c r="H120" s="13">
        <v>10</v>
      </c>
      <c r="I120" s="13">
        <v>1</v>
      </c>
      <c r="J120" s="13">
        <v>1</v>
      </c>
      <c r="K120" s="13">
        <v>4</v>
      </c>
      <c r="L120" s="13">
        <v>3</v>
      </c>
      <c r="M120" s="13">
        <v>3</v>
      </c>
      <c r="N120" s="13">
        <v>1200</v>
      </c>
      <c r="O120" s="13">
        <v>0</v>
      </c>
      <c r="P120" s="13">
        <v>4</v>
      </c>
      <c r="Q120" s="13">
        <v>1204</v>
      </c>
      <c r="R120" s="13">
        <v>0</v>
      </c>
      <c r="S120" s="13">
        <v>1462</v>
      </c>
      <c r="T120" s="13" t="str">
        <f>VLOOKUP(A120,'[1]210 RAU complete'!$A$1:$E$292,2,0)</f>
        <v>बांक (ग्रामीण)</v>
      </c>
      <c r="U120" s="13" t="str">
        <f>VLOOKUP(A120,'[1]210 RAU complete'!$A$1:$E$292,3,0)</f>
        <v>शा.प्रा.वि. बांक टेकरी भवन, कछ क्रं. 2</v>
      </c>
      <c r="V120" s="13">
        <f t="shared" si="2"/>
        <v>232</v>
      </c>
      <c r="W120" s="15">
        <f t="shared" si="3"/>
        <v>82.35294117647058</v>
      </c>
      <c r="X120" s="16"/>
    </row>
    <row r="121" spans="1:24" x14ac:dyDescent="0.25">
      <c r="A121" s="17">
        <v>121</v>
      </c>
      <c r="B121" s="24" t="s">
        <v>176</v>
      </c>
      <c r="C121" s="17">
        <v>607</v>
      </c>
      <c r="D121" s="17">
        <v>0</v>
      </c>
      <c r="E121" s="17">
        <v>173</v>
      </c>
      <c r="F121" s="17">
        <v>0</v>
      </c>
      <c r="G121" s="17">
        <v>0</v>
      </c>
      <c r="H121" s="17">
        <v>0</v>
      </c>
      <c r="I121" s="17">
        <v>3</v>
      </c>
      <c r="J121" s="17">
        <v>1</v>
      </c>
      <c r="K121" s="17">
        <v>1</v>
      </c>
      <c r="L121" s="17">
        <v>1</v>
      </c>
      <c r="M121" s="17">
        <v>1</v>
      </c>
      <c r="N121" s="17">
        <v>787</v>
      </c>
      <c r="O121" s="17">
        <v>0</v>
      </c>
      <c r="P121" s="17">
        <v>1</v>
      </c>
      <c r="Q121" s="17">
        <v>788</v>
      </c>
      <c r="R121" s="17">
        <v>0</v>
      </c>
      <c r="S121" s="17">
        <v>1261</v>
      </c>
      <c r="T121" s="13" t="str">
        <f>VLOOKUP(A121,'[1]210 RAU complete'!$A$1:$E$292,2,0)</f>
        <v>नूरानी नगर, बांक</v>
      </c>
      <c r="U121" s="13" t="str">
        <f>VLOOKUP(A121,'[1]210 RAU complete'!$A$1:$E$292,3,0)</f>
        <v>बद्री हा.से. स्कूल, पूर्व भाग, बांक</v>
      </c>
      <c r="V121" s="17">
        <f t="shared" si="2"/>
        <v>434</v>
      </c>
      <c r="W121" s="18">
        <f t="shared" si="3"/>
        <v>62.490087232355272</v>
      </c>
      <c r="X121" s="16"/>
    </row>
    <row r="122" spans="1:24" x14ac:dyDescent="0.25">
      <c r="A122" s="17">
        <v>122</v>
      </c>
      <c r="B122" s="24" t="s">
        <v>177</v>
      </c>
      <c r="C122" s="17">
        <v>656</v>
      </c>
      <c r="D122" s="17">
        <v>2</v>
      </c>
      <c r="E122" s="17">
        <v>192</v>
      </c>
      <c r="F122" s="17">
        <v>1</v>
      </c>
      <c r="G122" s="17">
        <v>0</v>
      </c>
      <c r="H122" s="17">
        <v>0</v>
      </c>
      <c r="I122" s="17">
        <v>1</v>
      </c>
      <c r="J122" s="17">
        <v>1</v>
      </c>
      <c r="K122" s="17">
        <v>3</v>
      </c>
      <c r="L122" s="17">
        <v>0</v>
      </c>
      <c r="M122" s="17">
        <v>0</v>
      </c>
      <c r="N122" s="17">
        <v>856</v>
      </c>
      <c r="O122" s="17">
        <v>0</v>
      </c>
      <c r="P122" s="17">
        <v>11</v>
      </c>
      <c r="Q122" s="17">
        <v>867</v>
      </c>
      <c r="R122" s="17">
        <v>0</v>
      </c>
      <c r="S122" s="17">
        <v>1455</v>
      </c>
      <c r="T122" s="13" t="str">
        <f>VLOOKUP(A122,'[1]210 RAU complete'!$A$1:$E$292,2,0)</f>
        <v>नूरानी नगर, बांक</v>
      </c>
      <c r="U122" s="13" t="str">
        <f>VLOOKUP(A122,'[1]210 RAU complete'!$A$1:$E$292,3,0)</f>
        <v>बद्री हा.से. स्कूल, पश्चिम भाग, बांक</v>
      </c>
      <c r="V122" s="17">
        <f t="shared" si="2"/>
        <v>464</v>
      </c>
      <c r="W122" s="18">
        <f t="shared" si="3"/>
        <v>59.587628865979383</v>
      </c>
      <c r="X122" s="16"/>
    </row>
    <row r="123" spans="1:24" x14ac:dyDescent="0.25">
      <c r="A123" s="17">
        <v>123</v>
      </c>
      <c r="B123" s="24" t="s">
        <v>178</v>
      </c>
      <c r="C123" s="17">
        <v>787</v>
      </c>
      <c r="D123" s="17">
        <v>2</v>
      </c>
      <c r="E123" s="17">
        <v>7</v>
      </c>
      <c r="F123" s="17">
        <v>0</v>
      </c>
      <c r="G123" s="17">
        <v>0</v>
      </c>
      <c r="H123" s="17">
        <v>0</v>
      </c>
      <c r="I123" s="17">
        <v>1</v>
      </c>
      <c r="J123" s="17">
        <v>0</v>
      </c>
      <c r="K123" s="17">
        <v>0</v>
      </c>
      <c r="L123" s="17">
        <v>0</v>
      </c>
      <c r="M123" s="17">
        <v>0</v>
      </c>
      <c r="N123" s="17">
        <v>797</v>
      </c>
      <c r="O123" s="17">
        <v>0</v>
      </c>
      <c r="P123" s="17">
        <v>3</v>
      </c>
      <c r="Q123" s="17">
        <v>800</v>
      </c>
      <c r="R123" s="17">
        <v>0</v>
      </c>
      <c r="S123" s="17">
        <v>1270</v>
      </c>
      <c r="T123" s="13" t="str">
        <f>VLOOKUP(A123,'[1]210 RAU complete'!$A$1:$E$292,2,0)</f>
        <v>ग्रीन पार्क कॉलोनी, बांक</v>
      </c>
      <c r="U123" s="13" t="str">
        <f>VLOOKUP(A123,'[1]210 RAU complete'!$A$1:$E$292,3,0)</f>
        <v>दस्तक पब्लिक स्कूल, कक्ष क्र. 1</v>
      </c>
      <c r="V123" s="17">
        <f t="shared" si="2"/>
        <v>780</v>
      </c>
      <c r="W123" s="18">
        <f t="shared" si="3"/>
        <v>62.99212598425197</v>
      </c>
      <c r="X123" s="16"/>
    </row>
    <row r="124" spans="1:24" x14ac:dyDescent="0.25">
      <c r="A124" s="17">
        <v>124</v>
      </c>
      <c r="B124" s="24" t="s">
        <v>179</v>
      </c>
      <c r="C124" s="17">
        <v>791</v>
      </c>
      <c r="D124" s="17">
        <v>0</v>
      </c>
      <c r="E124" s="17">
        <v>13</v>
      </c>
      <c r="F124" s="17">
        <v>0</v>
      </c>
      <c r="G124" s="17">
        <v>0</v>
      </c>
      <c r="H124" s="17">
        <v>2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806</v>
      </c>
      <c r="O124" s="17">
        <v>0</v>
      </c>
      <c r="P124" s="17">
        <v>3</v>
      </c>
      <c r="Q124" s="17">
        <v>809</v>
      </c>
      <c r="R124" s="17">
        <v>0</v>
      </c>
      <c r="S124" s="17">
        <v>1404</v>
      </c>
      <c r="T124" s="13" t="str">
        <f>VLOOKUP(A124,'[1]210 RAU complete'!$A$1:$E$292,2,0)</f>
        <v>ग्रीन पार्क कॉलोनी, बांक</v>
      </c>
      <c r="U124" s="13" t="str">
        <f>VLOOKUP(A124,'[1]210 RAU complete'!$A$1:$E$292,3,0)</f>
        <v>दस्तक पब्लिक स्कूल, कक्ष क्र. 2</v>
      </c>
      <c r="V124" s="17">
        <f t="shared" si="2"/>
        <v>778</v>
      </c>
      <c r="W124" s="18">
        <f t="shared" si="3"/>
        <v>57.621082621082621</v>
      </c>
      <c r="X124" s="16"/>
    </row>
    <row r="125" spans="1:24" x14ac:dyDescent="0.25">
      <c r="A125" s="17">
        <v>125</v>
      </c>
      <c r="B125" s="24" t="s">
        <v>180</v>
      </c>
      <c r="C125" s="17">
        <v>820</v>
      </c>
      <c r="D125" s="17">
        <v>2</v>
      </c>
      <c r="E125" s="17">
        <v>18</v>
      </c>
      <c r="F125" s="17">
        <v>0</v>
      </c>
      <c r="G125" s="17">
        <v>0</v>
      </c>
      <c r="H125" s="17">
        <v>1</v>
      </c>
      <c r="I125" s="17">
        <v>3</v>
      </c>
      <c r="J125" s="17">
        <v>0</v>
      </c>
      <c r="K125" s="17">
        <v>0</v>
      </c>
      <c r="L125" s="17">
        <v>0</v>
      </c>
      <c r="M125" s="17">
        <v>0</v>
      </c>
      <c r="N125" s="17">
        <v>844</v>
      </c>
      <c r="O125" s="17">
        <v>0</v>
      </c>
      <c r="P125" s="17">
        <v>1</v>
      </c>
      <c r="Q125" s="17">
        <v>845</v>
      </c>
      <c r="R125" s="17">
        <v>0</v>
      </c>
      <c r="S125" s="17">
        <v>1389</v>
      </c>
      <c r="T125" s="13" t="str">
        <f>VLOOKUP(A125,'[1]210 RAU complete'!$A$1:$E$292,2,0)</f>
        <v>ग्रीन पार्क कॉलोनी, बांक</v>
      </c>
      <c r="U125" s="13" t="str">
        <f>VLOOKUP(A125,'[1]210 RAU complete'!$A$1:$E$292,3,0)</f>
        <v>दस्तक पब्लिक स्कूल, कक्ष क्र. 3</v>
      </c>
      <c r="V125" s="17">
        <f t="shared" si="2"/>
        <v>802</v>
      </c>
      <c r="W125" s="18">
        <f t="shared" si="3"/>
        <v>60.835133189344845</v>
      </c>
      <c r="X125" s="16"/>
    </row>
    <row r="126" spans="1:24" x14ac:dyDescent="0.25">
      <c r="A126" s="17">
        <v>126</v>
      </c>
      <c r="B126" s="24" t="s">
        <v>181</v>
      </c>
      <c r="C126" s="17">
        <v>746</v>
      </c>
      <c r="D126" s="17">
        <v>1</v>
      </c>
      <c r="E126" s="17">
        <v>12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759</v>
      </c>
      <c r="O126" s="17">
        <v>0</v>
      </c>
      <c r="P126" s="17">
        <v>5</v>
      </c>
      <c r="Q126" s="17">
        <v>764</v>
      </c>
      <c r="R126" s="17">
        <v>0</v>
      </c>
      <c r="S126" s="17">
        <v>877</v>
      </c>
      <c r="T126" s="13" t="str">
        <f>VLOOKUP(A126,'[1]210 RAU complete'!$A$1:$E$292,2,0)</f>
        <v>ग्रीन पार्क कॉलोनी, बांक</v>
      </c>
      <c r="U126" s="13" t="str">
        <f>VLOOKUP(A126,'[1]210 RAU complete'!$A$1:$E$292,3,0)</f>
        <v>दस्तक पब्लिक स्कूल, कक्ष क्र. 4</v>
      </c>
      <c r="V126" s="17">
        <f t="shared" si="2"/>
        <v>734</v>
      </c>
      <c r="W126" s="18">
        <f t="shared" si="3"/>
        <v>87.115165336374005</v>
      </c>
      <c r="X126" s="16"/>
    </row>
    <row r="127" spans="1:24" x14ac:dyDescent="0.25">
      <c r="A127" s="17">
        <v>127</v>
      </c>
      <c r="B127" s="24" t="s">
        <v>182</v>
      </c>
      <c r="C127" s="17">
        <v>523</v>
      </c>
      <c r="D127" s="17">
        <v>0</v>
      </c>
      <c r="E127" s="17">
        <v>21</v>
      </c>
      <c r="F127" s="17">
        <v>0</v>
      </c>
      <c r="G127" s="17">
        <v>1</v>
      </c>
      <c r="H127" s="17">
        <v>6</v>
      </c>
      <c r="I127" s="17">
        <v>1</v>
      </c>
      <c r="J127" s="17">
        <v>2</v>
      </c>
      <c r="K127" s="17">
        <v>0</v>
      </c>
      <c r="L127" s="17">
        <v>0</v>
      </c>
      <c r="M127" s="17">
        <v>1</v>
      </c>
      <c r="N127" s="17">
        <v>555</v>
      </c>
      <c r="O127" s="17">
        <v>0</v>
      </c>
      <c r="P127" s="17">
        <v>4</v>
      </c>
      <c r="Q127" s="17">
        <v>559</v>
      </c>
      <c r="R127" s="17">
        <v>0</v>
      </c>
      <c r="S127" s="17">
        <v>831</v>
      </c>
      <c r="T127" s="13" t="str">
        <f>VLOOKUP(A127,'[1]210 RAU complete'!$A$1:$E$292,2,0)</f>
        <v>ग्रीन पार्क कॉलोनी, बांक</v>
      </c>
      <c r="U127" s="13" t="str">
        <f>VLOOKUP(A127,'[1]210 RAU complete'!$A$1:$E$292,3,0)</f>
        <v>शा.मा.वि. ग्रीन पार्क, बांक, कमरा नं. 1</v>
      </c>
      <c r="V127" s="17">
        <f t="shared" si="2"/>
        <v>502</v>
      </c>
      <c r="W127" s="18">
        <f t="shared" si="3"/>
        <v>67.268351383874844</v>
      </c>
      <c r="X127" s="16"/>
    </row>
    <row r="128" spans="1:24" x14ac:dyDescent="0.25">
      <c r="A128" s="17">
        <v>128</v>
      </c>
      <c r="B128" s="24" t="s">
        <v>183</v>
      </c>
      <c r="C128" s="17">
        <v>580</v>
      </c>
      <c r="D128" s="17">
        <v>0</v>
      </c>
      <c r="E128" s="17">
        <v>20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600</v>
      </c>
      <c r="O128" s="17">
        <v>0</v>
      </c>
      <c r="P128" s="17">
        <v>0</v>
      </c>
      <c r="Q128" s="17">
        <v>600</v>
      </c>
      <c r="R128" s="17">
        <v>0</v>
      </c>
      <c r="S128" s="17">
        <v>1465</v>
      </c>
      <c r="T128" s="13" t="str">
        <f>VLOOKUP(A128,'[1]210 RAU complete'!$A$1:$E$292,2,0)</f>
        <v>ग्रीन पार्क कॉलोनी, बांक</v>
      </c>
      <c r="U128" s="13" t="str">
        <f>VLOOKUP(A128,'[1]210 RAU complete'!$A$1:$E$292,3,0)</f>
        <v>शा.मा.वि. ग्रीन पार्क, बांक, कमरा नं. 2</v>
      </c>
      <c r="V128" s="17">
        <f t="shared" si="2"/>
        <v>560</v>
      </c>
      <c r="W128" s="18">
        <f t="shared" si="3"/>
        <v>40.955631399317404</v>
      </c>
      <c r="X128" s="16"/>
    </row>
    <row r="129" spans="1:24" x14ac:dyDescent="0.25">
      <c r="A129" s="17">
        <v>129</v>
      </c>
      <c r="B129" s="24" t="s">
        <v>184</v>
      </c>
      <c r="C129" s="17">
        <v>631</v>
      </c>
      <c r="D129" s="17">
        <v>1</v>
      </c>
      <c r="E129" s="17">
        <v>139</v>
      </c>
      <c r="F129" s="17">
        <v>1</v>
      </c>
      <c r="G129" s="17">
        <v>0</v>
      </c>
      <c r="H129" s="17">
        <v>2</v>
      </c>
      <c r="I129" s="17">
        <v>0</v>
      </c>
      <c r="J129" s="17">
        <v>0</v>
      </c>
      <c r="K129" s="17">
        <v>3</v>
      </c>
      <c r="L129" s="17">
        <v>0</v>
      </c>
      <c r="M129" s="17">
        <v>1</v>
      </c>
      <c r="N129" s="17">
        <v>778</v>
      </c>
      <c r="O129" s="17">
        <v>0</v>
      </c>
      <c r="P129" s="17">
        <v>6</v>
      </c>
      <c r="Q129" s="17">
        <v>784</v>
      </c>
      <c r="R129" s="17">
        <v>0</v>
      </c>
      <c r="S129" s="17">
        <v>1429</v>
      </c>
      <c r="T129" s="13" t="str">
        <f>VLOOKUP(A129,'[1]210 RAU complete'!$A$1:$E$292,2,0)</f>
        <v>ग्रीन पार्क कॉलोनी, बांक</v>
      </c>
      <c r="U129" s="13" t="str">
        <f>VLOOKUP(A129,'[1]210 RAU complete'!$A$1:$E$292,3,0)</f>
        <v>बद्री हा.से. स्कूल, उत्तर भाग, बांक</v>
      </c>
      <c r="V129" s="17">
        <f t="shared" si="2"/>
        <v>492</v>
      </c>
      <c r="W129" s="18">
        <f t="shared" si="3"/>
        <v>54.863540937718682</v>
      </c>
      <c r="X129" s="16"/>
    </row>
    <row r="130" spans="1:24" x14ac:dyDescent="0.25">
      <c r="A130" s="13">
        <v>130</v>
      </c>
      <c r="B130" s="24" t="s">
        <v>185</v>
      </c>
      <c r="C130" s="13">
        <v>518</v>
      </c>
      <c r="D130" s="13">
        <v>14</v>
      </c>
      <c r="E130" s="13">
        <v>524</v>
      </c>
      <c r="F130" s="13">
        <v>4</v>
      </c>
      <c r="G130" s="13">
        <v>0</v>
      </c>
      <c r="H130" s="13">
        <v>0</v>
      </c>
      <c r="I130" s="13">
        <v>0</v>
      </c>
      <c r="J130" s="13">
        <v>0</v>
      </c>
      <c r="K130" s="13">
        <v>2</v>
      </c>
      <c r="L130" s="13">
        <v>2</v>
      </c>
      <c r="M130" s="13">
        <v>2</v>
      </c>
      <c r="N130" s="13">
        <v>1066</v>
      </c>
      <c r="O130" s="13">
        <v>0</v>
      </c>
      <c r="P130" s="13">
        <v>5</v>
      </c>
      <c r="Q130" s="13">
        <v>1071</v>
      </c>
      <c r="R130" s="13">
        <v>0</v>
      </c>
      <c r="S130" s="13">
        <v>1463</v>
      </c>
      <c r="T130" s="13" t="str">
        <f>VLOOKUP(A130,'[1]210 RAU complete'!$A$1:$E$292,2,0)</f>
        <v>अहिरखेड़ी</v>
      </c>
      <c r="U130" s="13" t="str">
        <f>VLOOKUP(A130,'[1]210 RAU complete'!$A$1:$E$292,3,0)</f>
        <v>शा.प्रा.वि. भवन, अहिरखेड़ी, क.नं. 1</v>
      </c>
      <c r="V130" s="13">
        <f t="shared" ref="V130:V193" si="4">MAX(E130,C130)-MIN(C130,E130)</f>
        <v>6</v>
      </c>
      <c r="W130" s="15">
        <f t="shared" ref="W130:W193" si="5">(Q130/S130)*100</f>
        <v>73.205741626794264</v>
      </c>
      <c r="X130" s="16"/>
    </row>
    <row r="131" spans="1:24" x14ac:dyDescent="0.25">
      <c r="A131" s="13">
        <v>131</v>
      </c>
      <c r="B131" s="24" t="s">
        <v>186</v>
      </c>
      <c r="C131" s="13">
        <v>388</v>
      </c>
      <c r="D131" s="13">
        <v>2</v>
      </c>
      <c r="E131" s="13">
        <v>459</v>
      </c>
      <c r="F131" s="13">
        <v>2</v>
      </c>
      <c r="G131" s="13">
        <v>0</v>
      </c>
      <c r="H131" s="13">
        <v>2</v>
      </c>
      <c r="I131" s="13">
        <v>1</v>
      </c>
      <c r="J131" s="13">
        <v>0</v>
      </c>
      <c r="K131" s="13">
        <v>2</v>
      </c>
      <c r="L131" s="13">
        <v>2</v>
      </c>
      <c r="M131" s="13">
        <v>4</v>
      </c>
      <c r="N131" s="13">
        <v>862</v>
      </c>
      <c r="O131" s="13">
        <v>0</v>
      </c>
      <c r="P131" s="13">
        <v>16</v>
      </c>
      <c r="Q131" s="13">
        <v>878</v>
      </c>
      <c r="R131" s="13">
        <v>0</v>
      </c>
      <c r="S131" s="13">
        <v>1326</v>
      </c>
      <c r="T131" s="13" t="str">
        <f>VLOOKUP(A131,'[1]210 RAU complete'!$A$1:$E$292,2,0)</f>
        <v>अहिरखेड़ी</v>
      </c>
      <c r="U131" s="13" t="str">
        <f>VLOOKUP(A131,'[1]210 RAU complete'!$A$1:$E$292,3,0)</f>
        <v>शा.मा.वि. भवन, अहिरखेड़ी, कमरा नं. 1</v>
      </c>
      <c r="V131" s="13">
        <f t="shared" si="4"/>
        <v>71</v>
      </c>
      <c r="W131" s="15">
        <f t="shared" si="5"/>
        <v>66.214177978883853</v>
      </c>
      <c r="X131" s="16"/>
    </row>
    <row r="132" spans="1:24" x14ac:dyDescent="0.25">
      <c r="A132" s="17">
        <v>132</v>
      </c>
      <c r="B132" s="24" t="s">
        <v>187</v>
      </c>
      <c r="C132" s="17">
        <v>551</v>
      </c>
      <c r="D132" s="17">
        <v>8</v>
      </c>
      <c r="E132" s="17">
        <v>397</v>
      </c>
      <c r="F132" s="17">
        <v>1</v>
      </c>
      <c r="G132" s="17">
        <v>0</v>
      </c>
      <c r="H132" s="17">
        <v>1</v>
      </c>
      <c r="I132" s="17">
        <v>0</v>
      </c>
      <c r="J132" s="17">
        <v>1</v>
      </c>
      <c r="K132" s="17">
        <v>1</v>
      </c>
      <c r="L132" s="17">
        <v>2</v>
      </c>
      <c r="M132" s="17">
        <v>4</v>
      </c>
      <c r="N132" s="17">
        <v>966</v>
      </c>
      <c r="O132" s="17">
        <v>0</v>
      </c>
      <c r="P132" s="17">
        <v>39</v>
      </c>
      <c r="Q132" s="17">
        <v>1005</v>
      </c>
      <c r="R132" s="17">
        <v>0</v>
      </c>
      <c r="S132" s="17">
        <v>1325</v>
      </c>
      <c r="T132" s="13" t="str">
        <f>VLOOKUP(A132,'[1]210 RAU complete'!$A$1:$E$292,2,0)</f>
        <v>अहिरखेड़ी</v>
      </c>
      <c r="U132" s="13" t="str">
        <f>VLOOKUP(A132,'[1]210 RAU complete'!$A$1:$E$292,3,0)</f>
        <v>शा.प्रा.वि. भवन, अहिरखेड़ी कांकड़, क.नं. 1</v>
      </c>
      <c r="V132" s="17">
        <f t="shared" si="4"/>
        <v>154</v>
      </c>
      <c r="W132" s="18">
        <f t="shared" si="5"/>
        <v>75.84905660377359</v>
      </c>
      <c r="X132" s="16"/>
    </row>
    <row r="133" spans="1:24" x14ac:dyDescent="0.25">
      <c r="A133" s="17">
        <v>133</v>
      </c>
      <c r="B133" s="24" t="s">
        <v>188</v>
      </c>
      <c r="C133" s="17">
        <v>432</v>
      </c>
      <c r="D133" s="17">
        <v>4</v>
      </c>
      <c r="E133" s="17">
        <v>355</v>
      </c>
      <c r="F133" s="17">
        <v>5</v>
      </c>
      <c r="G133" s="17">
        <v>0</v>
      </c>
      <c r="H133" s="17">
        <v>2</v>
      </c>
      <c r="I133" s="17">
        <v>1</v>
      </c>
      <c r="J133" s="17">
        <v>0</v>
      </c>
      <c r="K133" s="17">
        <v>3</v>
      </c>
      <c r="L133" s="17">
        <v>2</v>
      </c>
      <c r="M133" s="17">
        <v>3</v>
      </c>
      <c r="N133" s="17">
        <v>807</v>
      </c>
      <c r="O133" s="17">
        <v>0</v>
      </c>
      <c r="P133" s="17">
        <v>16</v>
      </c>
      <c r="Q133" s="17">
        <v>823</v>
      </c>
      <c r="R133" s="17">
        <v>0</v>
      </c>
      <c r="S133" s="17">
        <v>1245</v>
      </c>
      <c r="T133" s="13" t="str">
        <f>VLOOKUP(A133,'[1]210 RAU complete'!$A$1:$E$292,2,0)</f>
        <v>अहिरखेड़ी</v>
      </c>
      <c r="U133" s="13" t="str">
        <f>VLOOKUP(A133,'[1]210 RAU complete'!$A$1:$E$292,3,0)</f>
        <v>शा.प्रा.वि. भवन, पूर्व भाग, अहिरखेड़ी</v>
      </c>
      <c r="V133" s="17">
        <f t="shared" si="4"/>
        <v>77</v>
      </c>
      <c r="W133" s="18">
        <f t="shared" si="5"/>
        <v>66.104417670682736</v>
      </c>
      <c r="X133" s="16"/>
    </row>
    <row r="134" spans="1:24" x14ac:dyDescent="0.25">
      <c r="A134" s="17">
        <v>134</v>
      </c>
      <c r="B134" s="24" t="s">
        <v>189</v>
      </c>
      <c r="C134" s="17">
        <v>492</v>
      </c>
      <c r="D134" s="17">
        <v>10</v>
      </c>
      <c r="E134" s="17">
        <v>282</v>
      </c>
      <c r="F134" s="17">
        <v>1</v>
      </c>
      <c r="G134" s="17">
        <v>0</v>
      </c>
      <c r="H134" s="17">
        <v>2</v>
      </c>
      <c r="I134" s="17">
        <v>0</v>
      </c>
      <c r="J134" s="17">
        <v>1</v>
      </c>
      <c r="K134" s="17">
        <v>1</v>
      </c>
      <c r="L134" s="17">
        <v>5</v>
      </c>
      <c r="M134" s="17">
        <v>4</v>
      </c>
      <c r="N134" s="17">
        <v>798</v>
      </c>
      <c r="O134" s="17">
        <v>0</v>
      </c>
      <c r="P134" s="17">
        <v>22</v>
      </c>
      <c r="Q134" s="17">
        <v>820</v>
      </c>
      <c r="R134" s="17">
        <v>0</v>
      </c>
      <c r="S134" s="17">
        <v>1168</v>
      </c>
      <c r="T134" s="13" t="str">
        <f>VLOOKUP(A134,'[1]210 RAU complete'!$A$1:$E$292,2,0)</f>
        <v>अहिरखेड़ी</v>
      </c>
      <c r="U134" s="13" t="str">
        <f>VLOOKUP(A134,'[1]210 RAU complete'!$A$1:$E$292,3,0)</f>
        <v>प्रा.वि. भवन, क.नं. 3, अहिरखेड़ी</v>
      </c>
      <c r="V134" s="17">
        <f t="shared" si="4"/>
        <v>210</v>
      </c>
      <c r="W134" s="18">
        <f t="shared" si="5"/>
        <v>70.205479452054803</v>
      </c>
      <c r="X134" s="16"/>
    </row>
    <row r="135" spans="1:24" x14ac:dyDescent="0.25">
      <c r="A135" s="13">
        <v>135</v>
      </c>
      <c r="B135" s="24" t="s">
        <v>190</v>
      </c>
      <c r="C135" s="13">
        <v>224</v>
      </c>
      <c r="D135" s="13">
        <v>3</v>
      </c>
      <c r="E135" s="13">
        <v>792</v>
      </c>
      <c r="F135" s="13">
        <v>1</v>
      </c>
      <c r="G135" s="13">
        <v>1</v>
      </c>
      <c r="H135" s="13">
        <v>0</v>
      </c>
      <c r="I135" s="13">
        <v>2</v>
      </c>
      <c r="J135" s="13">
        <v>4</v>
      </c>
      <c r="K135" s="13">
        <v>3</v>
      </c>
      <c r="L135" s="13">
        <v>2</v>
      </c>
      <c r="M135" s="13">
        <v>2</v>
      </c>
      <c r="N135" s="13">
        <v>1034</v>
      </c>
      <c r="O135" s="13">
        <v>0</v>
      </c>
      <c r="P135" s="13">
        <v>13</v>
      </c>
      <c r="Q135" s="13">
        <v>1047</v>
      </c>
      <c r="R135" s="13">
        <v>0</v>
      </c>
      <c r="S135" s="13">
        <v>1355</v>
      </c>
      <c r="T135" s="13" t="str">
        <f>VLOOKUP(A135,'[1]210 RAU complete'!$A$1:$E$292,2,0)</f>
        <v>विदुर नगर</v>
      </c>
      <c r="U135" s="13" t="str">
        <f>VLOOKUP(A135,'[1]210 RAU complete'!$A$1:$E$292,3,0)</f>
        <v>ई.सी.एस. बैगलैस स्कूल, कमरा नं. 1</v>
      </c>
      <c r="V135" s="13">
        <f t="shared" si="4"/>
        <v>568</v>
      </c>
      <c r="W135" s="15">
        <f t="shared" si="5"/>
        <v>77.269372693726936</v>
      </c>
      <c r="X135" s="16"/>
    </row>
    <row r="136" spans="1:24" x14ac:dyDescent="0.25">
      <c r="A136" s="13">
        <v>136</v>
      </c>
      <c r="B136" s="24" t="s">
        <v>191</v>
      </c>
      <c r="C136" s="13">
        <v>123</v>
      </c>
      <c r="D136" s="13">
        <v>0</v>
      </c>
      <c r="E136" s="13">
        <v>441</v>
      </c>
      <c r="F136" s="13">
        <v>0</v>
      </c>
      <c r="G136" s="13">
        <v>0</v>
      </c>
      <c r="H136" s="13">
        <v>0</v>
      </c>
      <c r="I136" s="13">
        <v>0</v>
      </c>
      <c r="J136" s="13">
        <v>4</v>
      </c>
      <c r="K136" s="13">
        <v>2</v>
      </c>
      <c r="L136" s="13">
        <v>2</v>
      </c>
      <c r="M136" s="13">
        <v>1</v>
      </c>
      <c r="N136" s="13">
        <v>573</v>
      </c>
      <c r="O136" s="13">
        <v>0</v>
      </c>
      <c r="P136" s="13">
        <v>6</v>
      </c>
      <c r="Q136" s="13">
        <v>579</v>
      </c>
      <c r="R136" s="13">
        <v>0</v>
      </c>
      <c r="S136" s="13">
        <v>1280</v>
      </c>
      <c r="T136" s="13" t="str">
        <f>VLOOKUP(A136,'[1]210 RAU complete'!$A$1:$E$292,2,0)</f>
        <v>विदुर नगर</v>
      </c>
      <c r="U136" s="13" t="str">
        <f>VLOOKUP(A136,'[1]210 RAU complete'!$A$1:$E$292,3,0)</f>
        <v>प्राइम एकेडमी, क.नं. 1, विदुर नगर</v>
      </c>
      <c r="V136" s="13">
        <f t="shared" si="4"/>
        <v>318</v>
      </c>
      <c r="W136" s="15">
        <f t="shared" si="5"/>
        <v>45.234375</v>
      </c>
      <c r="X136" s="16"/>
    </row>
    <row r="137" spans="1:24" x14ac:dyDescent="0.25">
      <c r="A137" s="13">
        <v>137</v>
      </c>
      <c r="B137" s="24" t="s">
        <v>192</v>
      </c>
      <c r="C137" s="13">
        <v>171</v>
      </c>
      <c r="D137" s="13">
        <v>2</v>
      </c>
      <c r="E137" s="13">
        <v>648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8</v>
      </c>
      <c r="L137" s="13">
        <v>0</v>
      </c>
      <c r="M137" s="13">
        <v>3</v>
      </c>
      <c r="N137" s="13">
        <v>832</v>
      </c>
      <c r="O137" s="13">
        <v>0</v>
      </c>
      <c r="P137" s="13">
        <v>6</v>
      </c>
      <c r="Q137" s="13">
        <v>838</v>
      </c>
      <c r="R137" s="13">
        <v>0</v>
      </c>
      <c r="S137" s="13">
        <v>1234</v>
      </c>
      <c r="T137" s="13" t="str">
        <f>VLOOKUP(A137,'[1]210 RAU complete'!$A$1:$E$292,2,0)</f>
        <v>विदुर नगर</v>
      </c>
      <c r="U137" s="13" t="str">
        <f>VLOOKUP(A137,'[1]210 RAU complete'!$A$1:$E$292,3,0)</f>
        <v>प्राइम एकेडमी, कमरा नं. 2, विदुर नगर</v>
      </c>
      <c r="V137" s="13">
        <f t="shared" si="4"/>
        <v>477</v>
      </c>
      <c r="W137" s="15">
        <f t="shared" si="5"/>
        <v>67.909238249594821</v>
      </c>
      <c r="X137" s="16"/>
    </row>
    <row r="138" spans="1:24" x14ac:dyDescent="0.25">
      <c r="A138" s="13">
        <v>138</v>
      </c>
      <c r="B138" s="24" t="s">
        <v>193</v>
      </c>
      <c r="C138" s="13">
        <v>149</v>
      </c>
      <c r="D138" s="13">
        <v>3</v>
      </c>
      <c r="E138" s="13">
        <v>491</v>
      </c>
      <c r="F138" s="13">
        <v>1</v>
      </c>
      <c r="G138" s="13">
        <v>0</v>
      </c>
      <c r="H138" s="13">
        <v>0</v>
      </c>
      <c r="I138" s="13">
        <v>0</v>
      </c>
      <c r="J138" s="13">
        <v>1</v>
      </c>
      <c r="K138" s="13">
        <v>1</v>
      </c>
      <c r="L138" s="13">
        <v>1</v>
      </c>
      <c r="M138" s="13">
        <v>1</v>
      </c>
      <c r="N138" s="13">
        <v>648</v>
      </c>
      <c r="O138" s="13">
        <v>0</v>
      </c>
      <c r="P138" s="13">
        <v>2</v>
      </c>
      <c r="Q138" s="13">
        <v>650</v>
      </c>
      <c r="R138" s="13">
        <v>0</v>
      </c>
      <c r="S138" s="13">
        <v>1279</v>
      </c>
      <c r="T138" s="13" t="str">
        <f>VLOOKUP(A138,'[1]210 RAU complete'!$A$1:$E$292,2,0)</f>
        <v>विदुर नगर</v>
      </c>
      <c r="U138" s="13" t="str">
        <f>VLOOKUP(A138,'[1]210 RAU complete'!$A$1:$E$292,3,0)</f>
        <v>प्राइम एकेडमी, कमरा नं. 3</v>
      </c>
      <c r="V138" s="13">
        <f t="shared" si="4"/>
        <v>342</v>
      </c>
      <c r="W138" s="15">
        <f t="shared" si="5"/>
        <v>50.820953870211106</v>
      </c>
      <c r="X138" s="16"/>
    </row>
    <row r="139" spans="1:24" x14ac:dyDescent="0.25">
      <c r="A139" s="13">
        <v>139</v>
      </c>
      <c r="B139" s="24" t="s">
        <v>194</v>
      </c>
      <c r="C139" s="13">
        <v>419</v>
      </c>
      <c r="D139" s="13">
        <v>9</v>
      </c>
      <c r="E139" s="13">
        <v>684</v>
      </c>
      <c r="F139" s="13">
        <v>2</v>
      </c>
      <c r="G139" s="13">
        <v>0</v>
      </c>
      <c r="H139" s="13">
        <v>0</v>
      </c>
      <c r="I139" s="13">
        <v>1</v>
      </c>
      <c r="J139" s="13">
        <v>1</v>
      </c>
      <c r="K139" s="13">
        <v>2</v>
      </c>
      <c r="L139" s="13">
        <v>3</v>
      </c>
      <c r="M139" s="13">
        <v>2</v>
      </c>
      <c r="N139" s="13">
        <v>1123</v>
      </c>
      <c r="O139" s="13">
        <v>0</v>
      </c>
      <c r="P139" s="13">
        <v>13</v>
      </c>
      <c r="Q139" s="13">
        <v>1136</v>
      </c>
      <c r="R139" s="13">
        <v>0</v>
      </c>
      <c r="S139" s="13">
        <v>1326</v>
      </c>
      <c r="T139" s="13" t="str">
        <f>VLOOKUP(A139,'[1]210 RAU complete'!$A$1:$E$292,2,0)</f>
        <v>अहिरखेड़ी</v>
      </c>
      <c r="U139" s="13" t="str">
        <f>VLOOKUP(A139,'[1]210 RAU complete'!$A$1:$E$292,3,0)</f>
        <v>न्यू जीनियस कान्वेंट स्कूल, कुंदन नगर, कमरा नं. 1</v>
      </c>
      <c r="V139" s="13">
        <f t="shared" si="4"/>
        <v>265</v>
      </c>
      <c r="W139" s="15">
        <f t="shared" si="5"/>
        <v>85.671191553544489</v>
      </c>
      <c r="X139" s="16"/>
    </row>
    <row r="140" spans="1:24" x14ac:dyDescent="0.25">
      <c r="A140" s="13">
        <v>140</v>
      </c>
      <c r="B140" s="24" t="s">
        <v>195</v>
      </c>
      <c r="C140" s="13">
        <v>291</v>
      </c>
      <c r="D140" s="13">
        <v>5</v>
      </c>
      <c r="E140" s="13">
        <v>557</v>
      </c>
      <c r="F140" s="13">
        <v>5</v>
      </c>
      <c r="G140" s="13">
        <v>0</v>
      </c>
      <c r="H140" s="13">
        <v>2</v>
      </c>
      <c r="I140" s="13">
        <v>0</v>
      </c>
      <c r="J140" s="13">
        <v>0</v>
      </c>
      <c r="K140" s="13">
        <v>0</v>
      </c>
      <c r="L140" s="13">
        <v>2</v>
      </c>
      <c r="M140" s="13">
        <v>1</v>
      </c>
      <c r="N140" s="13">
        <v>863</v>
      </c>
      <c r="O140" s="13">
        <v>0</v>
      </c>
      <c r="P140" s="13">
        <v>8</v>
      </c>
      <c r="Q140" s="13">
        <v>871</v>
      </c>
      <c r="R140" s="13">
        <v>0</v>
      </c>
      <c r="S140" s="13">
        <v>1196</v>
      </c>
      <c r="T140" s="13" t="str">
        <f>VLOOKUP(A140,'[1]210 RAU complete'!$A$1:$E$292,2,0)</f>
        <v>अहिरखेड़ी</v>
      </c>
      <c r="U140" s="13" t="str">
        <f>VLOOKUP(A140,'[1]210 RAU complete'!$A$1:$E$292,3,0)</f>
        <v>न्यू जीनियस कान्वेंट स्कूल,  कमरा नं. 2,कुंदन नगर</v>
      </c>
      <c r="V140" s="13">
        <f t="shared" si="4"/>
        <v>266</v>
      </c>
      <c r="W140" s="15">
        <f t="shared" si="5"/>
        <v>72.826086956521735</v>
      </c>
      <c r="X140" s="16"/>
    </row>
    <row r="141" spans="1:24" x14ac:dyDescent="0.25">
      <c r="A141" s="13">
        <v>141</v>
      </c>
      <c r="B141" s="24" t="s">
        <v>196</v>
      </c>
      <c r="C141" s="13">
        <v>244</v>
      </c>
      <c r="D141" s="13">
        <v>3</v>
      </c>
      <c r="E141" s="13">
        <v>576</v>
      </c>
      <c r="F141" s="13">
        <v>1</v>
      </c>
      <c r="G141" s="13">
        <v>0</v>
      </c>
      <c r="H141" s="13">
        <v>0</v>
      </c>
      <c r="I141" s="13">
        <v>0</v>
      </c>
      <c r="J141" s="13">
        <v>0</v>
      </c>
      <c r="K141" s="13">
        <v>1</v>
      </c>
      <c r="L141" s="13">
        <v>1</v>
      </c>
      <c r="M141" s="13">
        <v>0</v>
      </c>
      <c r="N141" s="13">
        <v>826</v>
      </c>
      <c r="O141" s="13">
        <v>0</v>
      </c>
      <c r="P141" s="13">
        <v>6</v>
      </c>
      <c r="Q141" s="13">
        <v>832</v>
      </c>
      <c r="R141" s="13">
        <v>0</v>
      </c>
      <c r="S141" s="13">
        <v>1326</v>
      </c>
      <c r="T141" s="13" t="str">
        <f>VLOOKUP(A141,'[1]210 RAU complete'!$A$1:$E$292,2,0)</f>
        <v>अहिरखेड़ी</v>
      </c>
      <c r="U141" s="13" t="str">
        <f>VLOOKUP(A141,'[1]210 RAU complete'!$A$1:$E$292,3,0)</f>
        <v>न्यू जीनियस कान्वेंट स्कूल, कमरा नं. 3,कुंदन नगर</v>
      </c>
      <c r="V141" s="13">
        <f t="shared" si="4"/>
        <v>332</v>
      </c>
      <c r="W141" s="15">
        <f t="shared" si="5"/>
        <v>62.745098039215684</v>
      </c>
      <c r="X141" s="16"/>
    </row>
    <row r="142" spans="1:24" x14ac:dyDescent="0.25">
      <c r="A142" s="13">
        <v>142</v>
      </c>
      <c r="B142" s="24" t="s">
        <v>197</v>
      </c>
      <c r="C142" s="13">
        <v>193</v>
      </c>
      <c r="D142" s="13">
        <v>2</v>
      </c>
      <c r="E142" s="13">
        <v>575</v>
      </c>
      <c r="F142" s="13">
        <v>2</v>
      </c>
      <c r="G142" s="13">
        <v>0</v>
      </c>
      <c r="H142" s="13">
        <v>0</v>
      </c>
      <c r="I142" s="13">
        <v>0</v>
      </c>
      <c r="J142" s="13">
        <v>0</v>
      </c>
      <c r="K142" s="13">
        <v>1</v>
      </c>
      <c r="L142" s="13">
        <v>1</v>
      </c>
      <c r="M142" s="13">
        <v>3</v>
      </c>
      <c r="N142" s="13">
        <v>777</v>
      </c>
      <c r="O142" s="13">
        <v>0</v>
      </c>
      <c r="P142" s="13">
        <v>1</v>
      </c>
      <c r="Q142" s="13">
        <v>778</v>
      </c>
      <c r="R142" s="13">
        <v>0</v>
      </c>
      <c r="S142" s="13">
        <v>1164</v>
      </c>
      <c r="T142" s="13" t="str">
        <f>VLOOKUP(A142,'[1]210 RAU complete'!$A$1:$E$292,2,0)</f>
        <v>अहिरखेड़ी</v>
      </c>
      <c r="U142" s="13" t="str">
        <f>VLOOKUP(A142,'[1]210 RAU complete'!$A$1:$E$292,3,0)</f>
        <v>प्राइम एकेडमी, क.नं. 4, विदुर नगर</v>
      </c>
      <c r="V142" s="13">
        <f t="shared" si="4"/>
        <v>382</v>
      </c>
      <c r="W142" s="15">
        <f t="shared" si="5"/>
        <v>66.838487972508588</v>
      </c>
      <c r="X142" s="16"/>
    </row>
    <row r="143" spans="1:24" x14ac:dyDescent="0.25">
      <c r="A143" s="13">
        <v>143</v>
      </c>
      <c r="B143" s="24" t="s">
        <v>198</v>
      </c>
      <c r="C143" s="13">
        <v>552</v>
      </c>
      <c r="D143" s="13">
        <v>4</v>
      </c>
      <c r="E143" s="13">
        <v>636</v>
      </c>
      <c r="F143" s="13">
        <v>3</v>
      </c>
      <c r="G143" s="13">
        <v>0</v>
      </c>
      <c r="H143" s="13">
        <v>3</v>
      </c>
      <c r="I143" s="13">
        <v>0</v>
      </c>
      <c r="J143" s="13">
        <v>0</v>
      </c>
      <c r="K143" s="13">
        <v>3</v>
      </c>
      <c r="L143" s="13">
        <v>4</v>
      </c>
      <c r="M143" s="13">
        <v>1</v>
      </c>
      <c r="N143" s="13">
        <v>1206</v>
      </c>
      <c r="O143" s="13">
        <v>0</v>
      </c>
      <c r="P143" s="13">
        <v>12</v>
      </c>
      <c r="Q143" s="13">
        <v>1218</v>
      </c>
      <c r="R143" s="13">
        <v>0</v>
      </c>
      <c r="S143" s="13">
        <v>1415</v>
      </c>
      <c r="T143" s="13" t="str">
        <f>VLOOKUP(A143,'[1]210 RAU complete'!$A$1:$E$292,2,0)</f>
        <v>सुखनिवास</v>
      </c>
      <c r="U143" s="13" t="str">
        <f>VLOOKUP(A143,'[1]210 RAU complete'!$A$1:$E$292,3,0)</f>
        <v>शा. नवीन उन्नत मा.वि., सुखनिवास, कमरा नं. 1</v>
      </c>
      <c r="V143" s="13">
        <f t="shared" si="4"/>
        <v>84</v>
      </c>
      <c r="W143" s="15">
        <f t="shared" si="5"/>
        <v>86.077738515901061</v>
      </c>
      <c r="X143" s="16"/>
    </row>
    <row r="144" spans="1:24" x14ac:dyDescent="0.25">
      <c r="A144" s="17">
        <v>144</v>
      </c>
      <c r="B144" s="24" t="s">
        <v>199</v>
      </c>
      <c r="C144" s="17">
        <v>277</v>
      </c>
      <c r="D144" s="17">
        <v>6</v>
      </c>
      <c r="E144" s="17">
        <v>171</v>
      </c>
      <c r="F144" s="17">
        <v>1</v>
      </c>
      <c r="G144" s="17">
        <v>1</v>
      </c>
      <c r="H144" s="17">
        <v>0</v>
      </c>
      <c r="I144" s="17">
        <v>0</v>
      </c>
      <c r="J144" s="17">
        <v>0</v>
      </c>
      <c r="K144" s="17">
        <v>1</v>
      </c>
      <c r="L144" s="17">
        <v>0</v>
      </c>
      <c r="M144" s="17">
        <v>1</v>
      </c>
      <c r="N144" s="17">
        <v>458</v>
      </c>
      <c r="O144" s="17">
        <v>0</v>
      </c>
      <c r="P144" s="17">
        <v>9</v>
      </c>
      <c r="Q144" s="17">
        <v>467</v>
      </c>
      <c r="R144" s="17">
        <v>0</v>
      </c>
      <c r="S144" s="17">
        <v>1219</v>
      </c>
      <c r="T144" s="13" t="str">
        <f>VLOOKUP(A144,'[1]210 RAU complete'!$A$1:$E$292,2,0)</f>
        <v>सुखनिवास</v>
      </c>
      <c r="U144" s="13" t="str">
        <f>VLOOKUP(A144,'[1]210 RAU complete'!$A$1:$E$292,3,0)</f>
        <v>कम्युनिटी हॉल, केट परिसर, सुखनिवास, सामने, कक्ष क्र. 1</v>
      </c>
      <c r="V144" s="17">
        <f t="shared" si="4"/>
        <v>106</v>
      </c>
      <c r="W144" s="18">
        <f t="shared" si="5"/>
        <v>38.310090237899921</v>
      </c>
      <c r="X144" s="16"/>
    </row>
    <row r="145" spans="1:24" x14ac:dyDescent="0.25">
      <c r="A145" s="13">
        <v>145</v>
      </c>
      <c r="B145" s="24" t="s">
        <v>200</v>
      </c>
      <c r="C145" s="13">
        <v>211</v>
      </c>
      <c r="D145" s="13">
        <v>4</v>
      </c>
      <c r="E145" s="13">
        <v>327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3</v>
      </c>
      <c r="L145" s="13">
        <v>0</v>
      </c>
      <c r="M145" s="13">
        <v>0</v>
      </c>
      <c r="N145" s="13">
        <v>545</v>
      </c>
      <c r="O145" s="13">
        <v>0</v>
      </c>
      <c r="P145" s="13">
        <v>15</v>
      </c>
      <c r="Q145" s="13">
        <v>560</v>
      </c>
      <c r="R145" s="13">
        <v>0</v>
      </c>
      <c r="S145" s="13">
        <v>1134</v>
      </c>
      <c r="T145" s="13" t="str">
        <f>VLOOKUP(A145,'[1]210 RAU complete'!$A$1:$E$292,2,0)</f>
        <v>सुखनिवास</v>
      </c>
      <c r="U145" s="13" t="str">
        <f>VLOOKUP(A145,'[1]210 RAU complete'!$A$1:$E$292,3,0)</f>
        <v>कम्युनिटी हॉल, केट परिसर, सुखनिवास पश्चिम, क.नं. 2</v>
      </c>
      <c r="V145" s="13">
        <f t="shared" si="4"/>
        <v>116</v>
      </c>
      <c r="W145" s="15">
        <f t="shared" si="5"/>
        <v>49.382716049382715</v>
      </c>
      <c r="X145" s="16"/>
    </row>
    <row r="146" spans="1:24" x14ac:dyDescent="0.25">
      <c r="A146" s="13">
        <v>146</v>
      </c>
      <c r="B146" s="24" t="s">
        <v>201</v>
      </c>
      <c r="C146" s="13">
        <v>518</v>
      </c>
      <c r="D146" s="13">
        <v>6</v>
      </c>
      <c r="E146" s="13">
        <v>611</v>
      </c>
      <c r="F146" s="13">
        <v>3</v>
      </c>
      <c r="G146" s="13">
        <v>0</v>
      </c>
      <c r="H146" s="13">
        <v>2</v>
      </c>
      <c r="I146" s="13">
        <v>0</v>
      </c>
      <c r="J146" s="13">
        <v>0</v>
      </c>
      <c r="K146" s="13">
        <v>3</v>
      </c>
      <c r="L146" s="13">
        <v>0</v>
      </c>
      <c r="M146" s="13">
        <v>1</v>
      </c>
      <c r="N146" s="13">
        <v>1144</v>
      </c>
      <c r="O146" s="13">
        <v>0</v>
      </c>
      <c r="P146" s="13">
        <v>9</v>
      </c>
      <c r="Q146" s="13">
        <v>1153</v>
      </c>
      <c r="R146" s="13">
        <v>0</v>
      </c>
      <c r="S146" s="13">
        <v>1387</v>
      </c>
      <c r="T146" s="13" t="str">
        <f>VLOOKUP(A146,'[1]210 RAU complete'!$A$1:$E$292,2,0)</f>
        <v>रंगवासा (ग्रामीण)</v>
      </c>
      <c r="U146" s="13" t="str">
        <f>VLOOKUP(A146,'[1]210 RAU complete'!$A$1:$E$292,3,0)</f>
        <v>शा. नया हायर मा.वि., क.नं. 1, रंगवासा</v>
      </c>
      <c r="V146" s="13">
        <f t="shared" si="4"/>
        <v>93</v>
      </c>
      <c r="W146" s="15">
        <f t="shared" si="5"/>
        <v>83.129055515501079</v>
      </c>
      <c r="X146" s="16"/>
    </row>
    <row r="147" spans="1:24" x14ac:dyDescent="0.25">
      <c r="A147" s="17">
        <v>147</v>
      </c>
      <c r="B147" s="24" t="s">
        <v>202</v>
      </c>
      <c r="C147" s="17">
        <v>488</v>
      </c>
      <c r="D147" s="17">
        <v>5</v>
      </c>
      <c r="E147" s="17">
        <v>430</v>
      </c>
      <c r="F147" s="17">
        <v>2</v>
      </c>
      <c r="G147" s="17">
        <v>1</v>
      </c>
      <c r="H147" s="17">
        <v>4</v>
      </c>
      <c r="I147" s="17">
        <v>2</v>
      </c>
      <c r="J147" s="17">
        <v>2</v>
      </c>
      <c r="K147" s="17">
        <v>2</v>
      </c>
      <c r="L147" s="17">
        <v>2</v>
      </c>
      <c r="M147" s="17">
        <v>3</v>
      </c>
      <c r="N147" s="17">
        <v>941</v>
      </c>
      <c r="O147" s="17">
        <v>0</v>
      </c>
      <c r="P147" s="17">
        <v>18</v>
      </c>
      <c r="Q147" s="17">
        <v>959</v>
      </c>
      <c r="R147" s="17">
        <v>0</v>
      </c>
      <c r="S147" s="17">
        <v>1102</v>
      </c>
      <c r="T147" s="13" t="str">
        <f>VLOOKUP(A147,'[1]210 RAU complete'!$A$1:$E$292,2,0)</f>
        <v>रंगवासा (ग्रामीण)</v>
      </c>
      <c r="U147" s="13" t="str">
        <f>VLOOKUP(A147,'[1]210 RAU complete'!$A$1:$E$292,3,0)</f>
        <v>शा. नया हायर मा.वि., क.नं. 2, रंगवासा</v>
      </c>
      <c r="V147" s="17">
        <f t="shared" si="4"/>
        <v>58</v>
      </c>
      <c r="W147" s="18">
        <f t="shared" si="5"/>
        <v>87.023593466424686</v>
      </c>
      <c r="X147" s="16"/>
    </row>
    <row r="148" spans="1:24" x14ac:dyDescent="0.25">
      <c r="A148" s="13">
        <v>148</v>
      </c>
      <c r="B148" s="24" t="s">
        <v>203</v>
      </c>
      <c r="C148" s="13">
        <v>463</v>
      </c>
      <c r="D148" s="13">
        <v>0</v>
      </c>
      <c r="E148" s="13">
        <v>651</v>
      </c>
      <c r="F148" s="13">
        <v>5</v>
      </c>
      <c r="G148" s="13">
        <v>1</v>
      </c>
      <c r="H148" s="13">
        <v>1</v>
      </c>
      <c r="I148" s="13">
        <v>0</v>
      </c>
      <c r="J148" s="13">
        <v>1</v>
      </c>
      <c r="K148" s="13">
        <v>5</v>
      </c>
      <c r="L148" s="13">
        <v>0</v>
      </c>
      <c r="M148" s="13">
        <v>1</v>
      </c>
      <c r="N148" s="13">
        <v>1128</v>
      </c>
      <c r="O148" s="13">
        <v>0</v>
      </c>
      <c r="P148" s="13">
        <v>6</v>
      </c>
      <c r="Q148" s="13">
        <v>1134</v>
      </c>
      <c r="R148" s="13">
        <v>0</v>
      </c>
      <c r="S148" s="13">
        <v>1299</v>
      </c>
      <c r="T148" s="13" t="str">
        <f>VLOOKUP(A148,'[1]210 RAU complete'!$A$1:$E$292,2,0)</f>
        <v>रंगवासा (ग्रामीण)</v>
      </c>
      <c r="U148" s="13" t="str">
        <f>VLOOKUP(A148,'[1]210 RAU complete'!$A$1:$E$292,3,0)</f>
        <v>लिल जीनियस इंटरनेशनल स्कूल, ट्रेजर फैन्टेसी, सेक्टर-C, कमरा नं. 1</v>
      </c>
      <c r="V148" s="13">
        <f t="shared" si="4"/>
        <v>188</v>
      </c>
      <c r="W148" s="15">
        <f t="shared" si="5"/>
        <v>87.297921478060047</v>
      </c>
      <c r="X148" s="16"/>
    </row>
    <row r="149" spans="1:24" x14ac:dyDescent="0.25">
      <c r="A149" s="13">
        <v>149</v>
      </c>
      <c r="B149" s="24" t="s">
        <v>204</v>
      </c>
      <c r="C149" s="13">
        <v>156</v>
      </c>
      <c r="D149" s="13">
        <v>1</v>
      </c>
      <c r="E149" s="13">
        <v>387</v>
      </c>
      <c r="F149" s="13">
        <v>0</v>
      </c>
      <c r="G149" s="13">
        <v>0</v>
      </c>
      <c r="H149" s="13">
        <v>1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545</v>
      </c>
      <c r="O149" s="13">
        <v>0</v>
      </c>
      <c r="P149" s="13">
        <v>3</v>
      </c>
      <c r="Q149" s="13">
        <v>548</v>
      </c>
      <c r="R149" s="13">
        <v>0</v>
      </c>
      <c r="S149" s="13">
        <v>1146</v>
      </c>
      <c r="T149" s="13" t="str">
        <f>VLOOKUP(A149,'[1]210 RAU complete'!$A$1:$E$292,2,0)</f>
        <v>रंगवासा (ग्रामीण)</v>
      </c>
      <c r="U149" s="13" t="str">
        <f>VLOOKUP(A149,'[1]210 RAU complete'!$A$1:$E$292,3,0)</f>
        <v>लिल जीनियस इंटरनेशनल स्कूल, ट्रेजर फैन्टेसी, सेक्टर-C, कमरा नं. 2</v>
      </c>
      <c r="V149" s="13">
        <f t="shared" si="4"/>
        <v>231</v>
      </c>
      <c r="W149" s="15">
        <f t="shared" si="5"/>
        <v>47.818499127399647</v>
      </c>
      <c r="X149" s="16"/>
    </row>
    <row r="150" spans="1:24" x14ac:dyDescent="0.25">
      <c r="A150" s="13">
        <v>150</v>
      </c>
      <c r="B150" s="24" t="s">
        <v>205</v>
      </c>
      <c r="C150" s="13">
        <v>230</v>
      </c>
      <c r="D150" s="13">
        <v>1</v>
      </c>
      <c r="E150" s="13">
        <v>459</v>
      </c>
      <c r="F150" s="13">
        <v>1</v>
      </c>
      <c r="G150" s="13">
        <v>0</v>
      </c>
      <c r="H150" s="13">
        <v>1</v>
      </c>
      <c r="I150" s="13">
        <v>0</v>
      </c>
      <c r="J150" s="13">
        <v>0</v>
      </c>
      <c r="K150" s="13">
        <v>1</v>
      </c>
      <c r="L150" s="13">
        <v>3</v>
      </c>
      <c r="M150" s="13">
        <v>1</v>
      </c>
      <c r="N150" s="13">
        <v>697</v>
      </c>
      <c r="O150" s="13">
        <v>0</v>
      </c>
      <c r="P150" s="13">
        <v>7</v>
      </c>
      <c r="Q150" s="13">
        <v>704</v>
      </c>
      <c r="R150" s="13">
        <v>0</v>
      </c>
      <c r="S150" s="13">
        <v>928</v>
      </c>
      <c r="T150" s="13" t="str">
        <f>VLOOKUP(A150,'[1]210 RAU complete'!$A$1:$E$292,2,0)</f>
        <v xml:space="preserve">रंगवासा </v>
      </c>
      <c r="U150" s="13" t="str">
        <f>VLOOKUP(A150,'[1]210 RAU complete'!$A$1:$E$292,3,0)</f>
        <v>शा.नया हि.मा.वि., रंगवासा, क.नं. 4</v>
      </c>
      <c r="V150" s="13">
        <f t="shared" si="4"/>
        <v>229</v>
      </c>
      <c r="W150" s="15">
        <f t="shared" si="5"/>
        <v>75.862068965517238</v>
      </c>
      <c r="X150" s="16"/>
    </row>
    <row r="151" spans="1:24" x14ac:dyDescent="0.25">
      <c r="A151" s="13">
        <v>151</v>
      </c>
      <c r="B151" s="24" t="s">
        <v>206</v>
      </c>
      <c r="C151" s="13">
        <v>556</v>
      </c>
      <c r="D151" s="13">
        <v>2</v>
      </c>
      <c r="E151" s="13">
        <v>624</v>
      </c>
      <c r="F151" s="13">
        <v>3</v>
      </c>
      <c r="G151" s="13">
        <v>0</v>
      </c>
      <c r="H151" s="13">
        <v>44</v>
      </c>
      <c r="I151" s="13">
        <v>1</v>
      </c>
      <c r="J151" s="13">
        <v>1</v>
      </c>
      <c r="K151" s="13">
        <v>2</v>
      </c>
      <c r="L151" s="13">
        <v>1</v>
      </c>
      <c r="M151" s="13">
        <v>2</v>
      </c>
      <c r="N151" s="13">
        <v>1236</v>
      </c>
      <c r="O151" s="13">
        <v>0</v>
      </c>
      <c r="P151" s="13">
        <v>8</v>
      </c>
      <c r="Q151" s="13">
        <v>1244</v>
      </c>
      <c r="R151" s="13">
        <v>0</v>
      </c>
      <c r="S151" s="13">
        <v>1333</v>
      </c>
      <c r="T151" s="13" t="str">
        <f>VLOOKUP(A151,'[1]210 RAU complete'!$A$1:$E$292,2,0)</f>
        <v>रंगवासा (ग्रामीण)</v>
      </c>
      <c r="U151" s="13" t="str">
        <f>VLOOKUP(A151,'[1]210 RAU complete'!$A$1:$E$292,3,0)</f>
        <v>शा.नया हि.मा.वि., रंगवासा, क.नं.  5</v>
      </c>
      <c r="V151" s="13">
        <f t="shared" si="4"/>
        <v>68</v>
      </c>
      <c r="W151" s="15">
        <f t="shared" si="5"/>
        <v>93.32333083270818</v>
      </c>
      <c r="X151" s="16"/>
    </row>
    <row r="152" spans="1:24" x14ac:dyDescent="0.25">
      <c r="A152" s="17">
        <v>152</v>
      </c>
      <c r="B152" s="24" t="s">
        <v>207</v>
      </c>
      <c r="C152" s="17">
        <v>681</v>
      </c>
      <c r="D152" s="17">
        <v>2</v>
      </c>
      <c r="E152" s="17">
        <v>436</v>
      </c>
      <c r="F152" s="17">
        <v>4</v>
      </c>
      <c r="G152" s="17">
        <v>0</v>
      </c>
      <c r="H152" s="17">
        <v>16</v>
      </c>
      <c r="I152" s="17">
        <v>0</v>
      </c>
      <c r="J152" s="17">
        <v>0</v>
      </c>
      <c r="K152" s="17">
        <v>1</v>
      </c>
      <c r="L152" s="17">
        <v>2</v>
      </c>
      <c r="M152" s="17">
        <v>1</v>
      </c>
      <c r="N152" s="17">
        <v>1143</v>
      </c>
      <c r="O152" s="17">
        <v>0</v>
      </c>
      <c r="P152" s="17">
        <v>9</v>
      </c>
      <c r="Q152" s="17">
        <v>1152</v>
      </c>
      <c r="R152" s="17">
        <v>0</v>
      </c>
      <c r="S152" s="17">
        <v>1456</v>
      </c>
      <c r="T152" s="13" t="str">
        <f>VLOOKUP(A152,'[1]210 RAU complete'!$A$1:$E$292,2,0)</f>
        <v xml:space="preserve">रंगवासा </v>
      </c>
      <c r="U152" s="13" t="str">
        <f>VLOOKUP(A152,'[1]210 RAU complete'!$A$1:$E$292,3,0)</f>
        <v>शा.क.मा.वि., रंगवासा, क.नं. 1</v>
      </c>
      <c r="V152" s="17">
        <f t="shared" si="4"/>
        <v>245</v>
      </c>
      <c r="W152" s="18">
        <f t="shared" si="5"/>
        <v>79.120879120879124</v>
      </c>
      <c r="X152" s="16"/>
    </row>
    <row r="153" spans="1:24" x14ac:dyDescent="0.25">
      <c r="A153" s="13">
        <v>153</v>
      </c>
      <c r="B153" s="24" t="s">
        <v>208</v>
      </c>
      <c r="C153" s="13">
        <v>321</v>
      </c>
      <c r="D153" s="13">
        <v>3</v>
      </c>
      <c r="E153" s="13">
        <v>573</v>
      </c>
      <c r="F153" s="13">
        <v>0</v>
      </c>
      <c r="G153" s="13">
        <v>0</v>
      </c>
      <c r="H153" s="13">
        <v>1</v>
      </c>
      <c r="I153" s="13">
        <v>0</v>
      </c>
      <c r="J153" s="13">
        <v>2</v>
      </c>
      <c r="K153" s="13">
        <v>0</v>
      </c>
      <c r="L153" s="13">
        <v>2</v>
      </c>
      <c r="M153" s="13">
        <v>1</v>
      </c>
      <c r="N153" s="13">
        <v>903</v>
      </c>
      <c r="O153" s="13">
        <v>0</v>
      </c>
      <c r="P153" s="13">
        <v>3</v>
      </c>
      <c r="Q153" s="13">
        <v>906</v>
      </c>
      <c r="R153" s="13">
        <v>0</v>
      </c>
      <c r="S153" s="13">
        <v>1132</v>
      </c>
      <c r="T153" s="13" t="str">
        <f>VLOOKUP(A153,'[1]210 RAU complete'!$A$1:$E$292,2,0)</f>
        <v>रंगवासा</v>
      </c>
      <c r="U153" s="13" t="str">
        <f>VLOOKUP(A153,'[1]210 RAU complete'!$A$1:$E$292,3,0)</f>
        <v>शा.बालक मा.वि., रंगवासा, क.नं. 5</v>
      </c>
      <c r="V153" s="13">
        <f t="shared" si="4"/>
        <v>252</v>
      </c>
      <c r="W153" s="15">
        <f t="shared" si="5"/>
        <v>80.035335689045937</v>
      </c>
      <c r="X153" s="16"/>
    </row>
    <row r="154" spans="1:24" x14ac:dyDescent="0.25">
      <c r="A154" s="13">
        <v>154</v>
      </c>
      <c r="B154" s="24" t="s">
        <v>209</v>
      </c>
      <c r="C154" s="13">
        <v>458</v>
      </c>
      <c r="D154" s="13">
        <v>5</v>
      </c>
      <c r="E154" s="13">
        <v>480</v>
      </c>
      <c r="F154" s="13">
        <v>10</v>
      </c>
      <c r="G154" s="13">
        <v>0</v>
      </c>
      <c r="H154" s="13">
        <v>2</v>
      </c>
      <c r="I154" s="13">
        <v>0</v>
      </c>
      <c r="J154" s="13">
        <v>2</v>
      </c>
      <c r="K154" s="13">
        <v>0</v>
      </c>
      <c r="L154" s="13">
        <v>2</v>
      </c>
      <c r="M154" s="13">
        <v>4</v>
      </c>
      <c r="N154" s="13">
        <v>963</v>
      </c>
      <c r="O154" s="13">
        <v>0</v>
      </c>
      <c r="P154" s="13">
        <v>10</v>
      </c>
      <c r="Q154" s="13">
        <v>973</v>
      </c>
      <c r="R154" s="13">
        <v>0</v>
      </c>
      <c r="S154" s="13">
        <v>1188</v>
      </c>
      <c r="T154" s="13" t="str">
        <f>VLOOKUP(A154,'[1]210 RAU complete'!$A$1:$E$292,2,0)</f>
        <v>राऊ</v>
      </c>
      <c r="U154" s="13" t="str">
        <f>VLOOKUP(A154,'[1]210 RAU complete'!$A$1:$E$292,3,0)</f>
        <v>शा. कन्या उ.मा.वि., कक्ष क्र. 1, राऊ</v>
      </c>
      <c r="V154" s="13">
        <f t="shared" si="4"/>
        <v>22</v>
      </c>
      <c r="W154" s="15">
        <f t="shared" si="5"/>
        <v>81.9023569023569</v>
      </c>
      <c r="X154" s="16"/>
    </row>
    <row r="155" spans="1:24" x14ac:dyDescent="0.25">
      <c r="A155" s="17">
        <v>155</v>
      </c>
      <c r="B155" s="24" t="s">
        <v>210</v>
      </c>
      <c r="C155" s="17">
        <v>601</v>
      </c>
      <c r="D155" s="17">
        <v>4</v>
      </c>
      <c r="E155" s="17">
        <v>515</v>
      </c>
      <c r="F155" s="17">
        <v>2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1</v>
      </c>
      <c r="M155" s="17">
        <v>1</v>
      </c>
      <c r="N155" s="17">
        <v>1124</v>
      </c>
      <c r="O155" s="17">
        <v>0</v>
      </c>
      <c r="P155" s="17">
        <v>4</v>
      </c>
      <c r="Q155" s="17">
        <v>1128</v>
      </c>
      <c r="R155" s="17">
        <v>0</v>
      </c>
      <c r="S155" s="17">
        <v>1199</v>
      </c>
      <c r="T155" s="13" t="str">
        <f>VLOOKUP(A155,'[1]210 RAU complete'!$A$1:$E$292,2,0)</f>
        <v>राऊ</v>
      </c>
      <c r="U155" s="13" t="str">
        <f>VLOOKUP(A155,'[1]210 RAU complete'!$A$1:$E$292,3,0)</f>
        <v>शा.क.उ.मा.वि., क.नं. 4, राऊ</v>
      </c>
      <c r="V155" s="17">
        <f t="shared" si="4"/>
        <v>86</v>
      </c>
      <c r="W155" s="18">
        <f t="shared" si="5"/>
        <v>94.07839866555463</v>
      </c>
      <c r="X155" s="16"/>
    </row>
    <row r="156" spans="1:24" x14ac:dyDescent="0.25">
      <c r="A156" s="17">
        <v>156</v>
      </c>
      <c r="B156" s="24" t="s">
        <v>211</v>
      </c>
      <c r="C156" s="17">
        <v>658</v>
      </c>
      <c r="D156" s="17">
        <v>3</v>
      </c>
      <c r="E156" s="17">
        <v>329</v>
      </c>
      <c r="F156" s="17">
        <v>3</v>
      </c>
      <c r="G156" s="17">
        <v>0</v>
      </c>
      <c r="H156" s="17">
        <v>0</v>
      </c>
      <c r="I156" s="17">
        <v>0</v>
      </c>
      <c r="J156" s="17">
        <v>0</v>
      </c>
      <c r="K156" s="17">
        <v>4</v>
      </c>
      <c r="L156" s="17">
        <v>0</v>
      </c>
      <c r="M156" s="17">
        <v>0</v>
      </c>
      <c r="N156" s="17">
        <v>997</v>
      </c>
      <c r="O156" s="17">
        <v>0</v>
      </c>
      <c r="P156" s="17">
        <v>3</v>
      </c>
      <c r="Q156" s="17">
        <v>1000</v>
      </c>
      <c r="R156" s="17">
        <v>0</v>
      </c>
      <c r="S156" s="17">
        <v>1231</v>
      </c>
      <c r="T156" s="13" t="str">
        <f>VLOOKUP(A156,'[1]210 RAU complete'!$A$1:$E$292,2,0)</f>
        <v>राऊ</v>
      </c>
      <c r="U156" s="13" t="str">
        <f>VLOOKUP(A156,'[1]210 RAU complete'!$A$1:$E$292,3,0)</f>
        <v>शा.क.उ.मा.वि., क.नं. 3, राऊ</v>
      </c>
      <c r="V156" s="17">
        <f t="shared" si="4"/>
        <v>329</v>
      </c>
      <c r="W156" s="18">
        <f t="shared" si="5"/>
        <v>81.234768480909821</v>
      </c>
      <c r="X156" s="16"/>
    </row>
    <row r="157" spans="1:24" x14ac:dyDescent="0.25">
      <c r="A157" s="13">
        <v>157</v>
      </c>
      <c r="B157" s="24" t="s">
        <v>212</v>
      </c>
      <c r="C157" s="13">
        <v>317</v>
      </c>
      <c r="D157" s="13">
        <v>5</v>
      </c>
      <c r="E157" s="13">
        <v>770</v>
      </c>
      <c r="F157" s="13">
        <v>2</v>
      </c>
      <c r="G157" s="13">
        <v>0</v>
      </c>
      <c r="H157" s="13">
        <v>2</v>
      </c>
      <c r="I157" s="13">
        <v>1</v>
      </c>
      <c r="J157" s="13">
        <v>1</v>
      </c>
      <c r="K157" s="13">
        <v>1</v>
      </c>
      <c r="L157" s="13">
        <v>0</v>
      </c>
      <c r="M157" s="13">
        <v>0</v>
      </c>
      <c r="N157" s="13">
        <v>1099</v>
      </c>
      <c r="O157" s="13">
        <v>0</v>
      </c>
      <c r="P157" s="13">
        <v>1</v>
      </c>
      <c r="Q157" s="13">
        <v>1100</v>
      </c>
      <c r="R157" s="13">
        <v>0</v>
      </c>
      <c r="S157" s="13">
        <v>1275</v>
      </c>
      <c r="T157" s="13" t="str">
        <f>VLOOKUP(A157,'[1]210 RAU complete'!$A$1:$E$292,2,0)</f>
        <v>राऊ</v>
      </c>
      <c r="U157" s="13" t="str">
        <f>VLOOKUP(A157,'[1]210 RAU complete'!$A$1:$E$292,3,0)</f>
        <v>शा.क.उ.मा.वि., क.नं. 5, राऊ</v>
      </c>
      <c r="V157" s="13">
        <f t="shared" si="4"/>
        <v>453</v>
      </c>
      <c r="W157" s="15">
        <f t="shared" si="5"/>
        <v>86.274509803921575</v>
      </c>
      <c r="X157" s="16"/>
    </row>
    <row r="158" spans="1:24" x14ac:dyDescent="0.25">
      <c r="A158" s="13">
        <v>158</v>
      </c>
      <c r="B158" s="24" t="s">
        <v>213</v>
      </c>
      <c r="C158" s="13">
        <v>439</v>
      </c>
      <c r="D158" s="13">
        <v>2</v>
      </c>
      <c r="E158" s="13">
        <v>671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3</v>
      </c>
      <c r="L158" s="13">
        <v>1</v>
      </c>
      <c r="M158" s="13">
        <v>1</v>
      </c>
      <c r="N158" s="13">
        <v>1117</v>
      </c>
      <c r="O158" s="13">
        <v>0</v>
      </c>
      <c r="P158" s="13">
        <v>0</v>
      </c>
      <c r="Q158" s="13">
        <v>1117</v>
      </c>
      <c r="R158" s="13">
        <v>0</v>
      </c>
      <c r="S158" s="13">
        <v>1305</v>
      </c>
      <c r="T158" s="13" t="str">
        <f>VLOOKUP(A158,'[1]210 RAU complete'!$A$1:$E$292,2,0)</f>
        <v>राऊ</v>
      </c>
      <c r="U158" s="13" t="str">
        <f>VLOOKUP(A158,'[1]210 RAU complete'!$A$1:$E$292,3,0)</f>
        <v>शा.मा.वि. श्रमिक कॉलोनी, कमरा नं. 4, दक्षिण दिशा, राऊ</v>
      </c>
      <c r="V158" s="13">
        <f t="shared" si="4"/>
        <v>232</v>
      </c>
      <c r="W158" s="15">
        <f t="shared" si="5"/>
        <v>85.593869731800766</v>
      </c>
      <c r="X158" s="16"/>
    </row>
    <row r="159" spans="1:24" x14ac:dyDescent="0.25">
      <c r="A159" s="13">
        <v>159</v>
      </c>
      <c r="B159" s="24" t="s">
        <v>214</v>
      </c>
      <c r="C159" s="13">
        <v>405</v>
      </c>
      <c r="D159" s="13">
        <v>4</v>
      </c>
      <c r="E159" s="13">
        <v>702</v>
      </c>
      <c r="F159" s="13">
        <v>1</v>
      </c>
      <c r="G159" s="13">
        <v>0</v>
      </c>
      <c r="H159" s="13">
        <v>1</v>
      </c>
      <c r="I159" s="13">
        <v>0</v>
      </c>
      <c r="J159" s="13">
        <v>0</v>
      </c>
      <c r="K159" s="13">
        <v>0</v>
      </c>
      <c r="L159" s="13">
        <v>0</v>
      </c>
      <c r="M159" s="13">
        <v>1</v>
      </c>
      <c r="N159" s="13">
        <v>1114</v>
      </c>
      <c r="O159" s="13">
        <v>0</v>
      </c>
      <c r="P159" s="13">
        <v>3</v>
      </c>
      <c r="Q159" s="13">
        <v>1117</v>
      </c>
      <c r="R159" s="13">
        <v>0</v>
      </c>
      <c r="S159" s="13">
        <v>1472</v>
      </c>
      <c r="T159" s="13" t="str">
        <f>VLOOKUP(A159,'[1]210 RAU complete'!$A$1:$E$292,2,0)</f>
        <v>राऊ</v>
      </c>
      <c r="U159" s="13" t="str">
        <f>VLOOKUP(A159,'[1]210 RAU complete'!$A$1:$E$292,3,0)</f>
        <v>शा.मा.वि., श्रमिक कॉलोनी, क.नं. 2, राऊ</v>
      </c>
      <c r="V159" s="13">
        <f t="shared" si="4"/>
        <v>297</v>
      </c>
      <c r="W159" s="15">
        <f t="shared" si="5"/>
        <v>75.883152173913047</v>
      </c>
      <c r="X159" s="16"/>
    </row>
    <row r="160" spans="1:24" x14ac:dyDescent="0.25">
      <c r="A160" s="17">
        <v>160</v>
      </c>
      <c r="B160" s="24" t="s">
        <v>215</v>
      </c>
      <c r="C160" s="17">
        <v>462</v>
      </c>
      <c r="D160" s="17">
        <v>7</v>
      </c>
      <c r="E160" s="17">
        <v>453</v>
      </c>
      <c r="F160" s="17">
        <v>0</v>
      </c>
      <c r="G160" s="17">
        <v>1</v>
      </c>
      <c r="H160" s="17">
        <v>13</v>
      </c>
      <c r="I160" s="17">
        <v>0</v>
      </c>
      <c r="J160" s="17">
        <v>0</v>
      </c>
      <c r="K160" s="17">
        <v>2</v>
      </c>
      <c r="L160" s="17">
        <v>1</v>
      </c>
      <c r="M160" s="17">
        <v>4</v>
      </c>
      <c r="N160" s="17">
        <v>943</v>
      </c>
      <c r="O160" s="17">
        <v>0</v>
      </c>
      <c r="P160" s="17">
        <v>14</v>
      </c>
      <c r="Q160" s="17">
        <v>957</v>
      </c>
      <c r="R160" s="17">
        <v>0</v>
      </c>
      <c r="S160" s="17">
        <v>1369</v>
      </c>
      <c r="T160" s="13" t="str">
        <f>VLOOKUP(A160,'[1]210 RAU complete'!$A$1:$E$292,2,0)</f>
        <v>राऊ (परिषद)</v>
      </c>
      <c r="U160" s="13" t="str">
        <f>VLOOKUP(A160,'[1]210 RAU complete'!$A$1:$E$292,3,0)</f>
        <v>सचिव प्रशिक्षण संस्थान, क.नं. 1, ए.बी. रोड, राऊ</v>
      </c>
      <c r="V160" s="17">
        <f t="shared" si="4"/>
        <v>9</v>
      </c>
      <c r="W160" s="18">
        <f t="shared" si="5"/>
        <v>69.905040175310447</v>
      </c>
      <c r="X160" s="16"/>
    </row>
    <row r="161" spans="1:24" x14ac:dyDescent="0.25">
      <c r="A161" s="13">
        <v>161</v>
      </c>
      <c r="B161" s="24" t="s">
        <v>216</v>
      </c>
      <c r="C161" s="13">
        <v>427</v>
      </c>
      <c r="D161" s="13">
        <v>12</v>
      </c>
      <c r="E161" s="13">
        <v>544</v>
      </c>
      <c r="F161" s="13">
        <v>1</v>
      </c>
      <c r="G161" s="13">
        <v>0</v>
      </c>
      <c r="H161" s="13">
        <v>6</v>
      </c>
      <c r="I161" s="13">
        <v>1</v>
      </c>
      <c r="J161" s="13">
        <v>2</v>
      </c>
      <c r="K161" s="13">
        <v>3</v>
      </c>
      <c r="L161" s="13">
        <v>3</v>
      </c>
      <c r="M161" s="13">
        <v>3</v>
      </c>
      <c r="N161" s="13">
        <v>1002</v>
      </c>
      <c r="O161" s="13">
        <v>0</v>
      </c>
      <c r="P161" s="13">
        <v>6</v>
      </c>
      <c r="Q161" s="13">
        <v>1008</v>
      </c>
      <c r="R161" s="13">
        <v>0</v>
      </c>
      <c r="S161" s="13">
        <v>1195</v>
      </c>
      <c r="T161" s="13" t="str">
        <f>VLOOKUP(A161,'[1]210 RAU complete'!$A$1:$E$292,2,0)</f>
        <v>राऊ</v>
      </c>
      <c r="U161" s="13" t="str">
        <f>VLOOKUP(A161,'[1]210 RAU complete'!$A$1:$E$292,3,0)</f>
        <v>सचिव प्रशिक्षण संस्थान, कमरा नं. 2, ए.बी. रोड, राऊ</v>
      </c>
      <c r="V161" s="13">
        <f t="shared" si="4"/>
        <v>117</v>
      </c>
      <c r="W161" s="15">
        <f t="shared" si="5"/>
        <v>84.35146443514644</v>
      </c>
      <c r="X161" s="16"/>
    </row>
    <row r="162" spans="1:24" x14ac:dyDescent="0.25">
      <c r="A162" s="17">
        <v>162</v>
      </c>
      <c r="B162" s="24" t="s">
        <v>217</v>
      </c>
      <c r="C162" s="17">
        <v>215</v>
      </c>
      <c r="D162" s="17">
        <v>2</v>
      </c>
      <c r="E162" s="17">
        <v>210</v>
      </c>
      <c r="F162" s="17">
        <v>1</v>
      </c>
      <c r="G162" s="17">
        <v>0</v>
      </c>
      <c r="H162" s="17">
        <v>2</v>
      </c>
      <c r="I162" s="17">
        <v>0</v>
      </c>
      <c r="J162" s="17">
        <v>0</v>
      </c>
      <c r="K162" s="17">
        <v>0</v>
      </c>
      <c r="L162" s="17">
        <v>1</v>
      </c>
      <c r="M162" s="17">
        <v>1</v>
      </c>
      <c r="N162" s="17">
        <v>432</v>
      </c>
      <c r="O162" s="17">
        <v>0</v>
      </c>
      <c r="P162" s="17">
        <v>5</v>
      </c>
      <c r="Q162" s="17">
        <v>437</v>
      </c>
      <c r="R162" s="17">
        <v>0</v>
      </c>
      <c r="S162" s="17">
        <v>1208</v>
      </c>
      <c r="T162" s="13" t="str">
        <f>VLOOKUP(A162,'[1]210 RAU complete'!$A$1:$E$292,2,0)</f>
        <v>राऊ (परिषद)</v>
      </c>
      <c r="U162" s="13" t="str">
        <f>VLOOKUP(A162,'[1]210 RAU complete'!$A$1:$E$292,3,0)</f>
        <v>सचिव प्रशिक्षण संस्थान, क.नं. 3, ए.बी. रोड, राऊ</v>
      </c>
      <c r="V162" s="17">
        <f t="shared" si="4"/>
        <v>5</v>
      </c>
      <c r="W162" s="18">
        <f t="shared" si="5"/>
        <v>36.175496688741724</v>
      </c>
      <c r="X162" s="16"/>
    </row>
    <row r="163" spans="1:24" x14ac:dyDescent="0.25">
      <c r="A163" s="17">
        <v>163</v>
      </c>
      <c r="B163" s="24" t="s">
        <v>218</v>
      </c>
      <c r="C163" s="17">
        <v>506</v>
      </c>
      <c r="D163" s="17">
        <v>0</v>
      </c>
      <c r="E163" s="17">
        <v>32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538</v>
      </c>
      <c r="O163" s="17">
        <v>0</v>
      </c>
      <c r="P163" s="17">
        <v>0</v>
      </c>
      <c r="Q163" s="17">
        <v>538</v>
      </c>
      <c r="R163" s="17">
        <v>0</v>
      </c>
      <c r="S163" s="17">
        <v>1203</v>
      </c>
      <c r="T163" s="13" t="str">
        <f>VLOOKUP(A163,'[1]210 RAU complete'!$A$1:$E$292,2,0)</f>
        <v>राऊ</v>
      </c>
      <c r="U163" s="13" t="str">
        <f>VLOOKUP(A163,'[1]210 RAU complete'!$A$1:$E$292,3,0)</f>
        <v>सचिव प्रशिक्षण संस्थान, क.नं. 4, ए.बी. रोड, राऊ</v>
      </c>
      <c r="V163" s="17">
        <f t="shared" si="4"/>
        <v>474</v>
      </c>
      <c r="W163" s="18">
        <f t="shared" si="5"/>
        <v>44.721529509559431</v>
      </c>
      <c r="X163" s="16"/>
    </row>
    <row r="164" spans="1:24" x14ac:dyDescent="0.25">
      <c r="A164" s="13">
        <v>164</v>
      </c>
      <c r="B164" s="24" t="s">
        <v>219</v>
      </c>
      <c r="C164" s="13">
        <v>177</v>
      </c>
      <c r="D164" s="13">
        <v>2</v>
      </c>
      <c r="E164" s="13">
        <v>488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2</v>
      </c>
      <c r="L164" s="13">
        <v>0</v>
      </c>
      <c r="M164" s="13">
        <v>0</v>
      </c>
      <c r="N164" s="13">
        <v>669</v>
      </c>
      <c r="O164" s="13">
        <v>0</v>
      </c>
      <c r="P164" s="13">
        <v>9</v>
      </c>
      <c r="Q164" s="13">
        <v>678</v>
      </c>
      <c r="R164" s="13">
        <v>0</v>
      </c>
      <c r="S164" s="13">
        <v>845</v>
      </c>
      <c r="T164" s="13" t="str">
        <f>VLOOKUP(A164,'[1]210 RAU complete'!$A$1:$E$292,2,0)</f>
        <v>राऊ (परिषद)</v>
      </c>
      <c r="U164" s="13" t="str">
        <f>VLOOKUP(A164,'[1]210 RAU complete'!$A$1:$E$292,3,0)</f>
        <v>सचिव प्रशिक्षण संस्थान, क.नं. 5, ए.बी. रोड, राऊ</v>
      </c>
      <c r="V164" s="13">
        <f t="shared" si="4"/>
        <v>311</v>
      </c>
      <c r="W164" s="15">
        <f t="shared" si="5"/>
        <v>80.23668639053254</v>
      </c>
      <c r="X164" s="16"/>
    </row>
    <row r="165" spans="1:24" x14ac:dyDescent="0.25">
      <c r="A165" s="13">
        <v>165</v>
      </c>
      <c r="B165" s="24" t="s">
        <v>220</v>
      </c>
      <c r="C165" s="13">
        <v>593</v>
      </c>
      <c r="D165" s="13">
        <v>7</v>
      </c>
      <c r="E165" s="13">
        <v>634</v>
      </c>
      <c r="F165" s="13">
        <v>1</v>
      </c>
      <c r="G165" s="13">
        <v>0</v>
      </c>
      <c r="H165" s="13">
        <v>3</v>
      </c>
      <c r="I165" s="13">
        <v>0</v>
      </c>
      <c r="J165" s="13">
        <v>0</v>
      </c>
      <c r="K165" s="13">
        <v>1</v>
      </c>
      <c r="L165" s="13">
        <v>1</v>
      </c>
      <c r="M165" s="13">
        <v>1</v>
      </c>
      <c r="N165" s="13">
        <v>1241</v>
      </c>
      <c r="O165" s="13">
        <v>0</v>
      </c>
      <c r="P165" s="13">
        <v>11</v>
      </c>
      <c r="Q165" s="13">
        <v>1252</v>
      </c>
      <c r="R165" s="13">
        <v>0</v>
      </c>
      <c r="S165" s="13">
        <v>1507</v>
      </c>
      <c r="T165" s="13" t="str">
        <f>VLOOKUP(A165,'[1]210 RAU complete'!$A$1:$E$292,2,0)</f>
        <v>राऊ</v>
      </c>
      <c r="U165" s="13" t="str">
        <f>VLOOKUP(A165,'[1]210 RAU complete'!$A$1:$E$292,3,0)</f>
        <v>शा.क.मा.वि., कमरा नं. 2, राऊ</v>
      </c>
      <c r="V165" s="13">
        <f t="shared" si="4"/>
        <v>41</v>
      </c>
      <c r="W165" s="15">
        <f t="shared" si="5"/>
        <v>83.078964830789644</v>
      </c>
      <c r="X165" s="16"/>
    </row>
    <row r="166" spans="1:24" x14ac:dyDescent="0.25">
      <c r="A166" s="13">
        <v>166</v>
      </c>
      <c r="B166" s="24" t="s">
        <v>221</v>
      </c>
      <c r="C166" s="13">
        <v>310</v>
      </c>
      <c r="D166" s="13">
        <v>1</v>
      </c>
      <c r="E166" s="13">
        <v>397</v>
      </c>
      <c r="F166" s="13">
        <v>2</v>
      </c>
      <c r="G166" s="13">
        <v>0</v>
      </c>
      <c r="H166" s="13">
        <v>1</v>
      </c>
      <c r="I166" s="13">
        <v>1</v>
      </c>
      <c r="J166" s="13">
        <v>0</v>
      </c>
      <c r="K166" s="13">
        <v>0</v>
      </c>
      <c r="L166" s="13">
        <v>2</v>
      </c>
      <c r="M166" s="13">
        <v>0</v>
      </c>
      <c r="N166" s="13">
        <v>714</v>
      </c>
      <c r="O166" s="13">
        <v>0</v>
      </c>
      <c r="P166" s="13">
        <v>1</v>
      </c>
      <c r="Q166" s="13">
        <v>715</v>
      </c>
      <c r="R166" s="13">
        <v>0</v>
      </c>
      <c r="S166" s="13">
        <v>1367</v>
      </c>
      <c r="T166" s="13" t="str">
        <f>VLOOKUP(A166,'[1]210 RAU complete'!$A$1:$E$292,2,0)</f>
        <v>राऊ</v>
      </c>
      <c r="U166" s="13" t="str">
        <f>VLOOKUP(A166,'[1]210 RAU complete'!$A$1:$E$292,3,0)</f>
        <v>नगर पालिका भवन, राऊ, सामने का पूर्व भाग</v>
      </c>
      <c r="V166" s="13">
        <f t="shared" si="4"/>
        <v>87</v>
      </c>
      <c r="W166" s="15">
        <f t="shared" si="5"/>
        <v>52.304316020482808</v>
      </c>
      <c r="X166" s="16"/>
    </row>
    <row r="167" spans="1:24" x14ac:dyDescent="0.25">
      <c r="A167" s="13">
        <v>167</v>
      </c>
      <c r="B167" s="24" t="s">
        <v>222</v>
      </c>
      <c r="C167" s="13">
        <v>216</v>
      </c>
      <c r="D167" s="13">
        <v>4</v>
      </c>
      <c r="E167" s="13">
        <v>510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1</v>
      </c>
      <c r="M167" s="13">
        <v>0</v>
      </c>
      <c r="N167" s="13">
        <v>731</v>
      </c>
      <c r="O167" s="13">
        <v>0</v>
      </c>
      <c r="P167" s="13">
        <v>6</v>
      </c>
      <c r="Q167" s="13">
        <v>737</v>
      </c>
      <c r="R167" s="13">
        <v>0</v>
      </c>
      <c r="S167" s="13">
        <v>1222</v>
      </c>
      <c r="T167" s="13" t="str">
        <f>VLOOKUP(A167,'[1]210 RAU complete'!$A$1:$E$292,2,0)</f>
        <v>राऊ (परिषद)</v>
      </c>
      <c r="U167" s="13" t="str">
        <f>VLOOKUP(A167,'[1]210 RAU complete'!$A$1:$E$292,3,0)</f>
        <v>नगर पालिका भवन, राऊ, पश्चिम भाग</v>
      </c>
      <c r="V167" s="13">
        <f t="shared" si="4"/>
        <v>294</v>
      </c>
      <c r="W167" s="15">
        <f t="shared" si="5"/>
        <v>60.310965630114566</v>
      </c>
      <c r="X167" s="16"/>
    </row>
    <row r="168" spans="1:24" x14ac:dyDescent="0.25">
      <c r="A168" s="13">
        <v>168</v>
      </c>
      <c r="B168" s="24" t="s">
        <v>223</v>
      </c>
      <c r="C168" s="13">
        <v>401</v>
      </c>
      <c r="D168" s="13">
        <v>1</v>
      </c>
      <c r="E168" s="13">
        <v>423</v>
      </c>
      <c r="F168" s="13">
        <v>0</v>
      </c>
      <c r="G168" s="13">
        <v>0</v>
      </c>
      <c r="H168" s="13">
        <v>1</v>
      </c>
      <c r="I168" s="13">
        <v>0</v>
      </c>
      <c r="J168" s="13">
        <v>3</v>
      </c>
      <c r="K168" s="13">
        <v>0</v>
      </c>
      <c r="L168" s="13">
        <v>0</v>
      </c>
      <c r="M168" s="13">
        <v>3</v>
      </c>
      <c r="N168" s="13">
        <v>832</v>
      </c>
      <c r="O168" s="13">
        <v>0</v>
      </c>
      <c r="P168" s="13">
        <v>8</v>
      </c>
      <c r="Q168" s="13">
        <v>840</v>
      </c>
      <c r="R168" s="13">
        <v>0</v>
      </c>
      <c r="S168" s="13">
        <v>1148</v>
      </c>
      <c r="T168" s="13" t="str">
        <f>VLOOKUP(A168,'[1]210 RAU complete'!$A$1:$E$292,2,0)</f>
        <v>राऊ (परिषद)</v>
      </c>
      <c r="U168" s="13" t="str">
        <f>VLOOKUP(A168,'[1]210 RAU complete'!$A$1:$E$292,3,0)</f>
        <v>शा.क.प्रा.वि., कक्ष क्र. 5, राऊ</v>
      </c>
      <c r="V168" s="13">
        <f t="shared" si="4"/>
        <v>22</v>
      </c>
      <c r="W168" s="15">
        <f t="shared" si="5"/>
        <v>73.170731707317074</v>
      </c>
      <c r="X168" s="16"/>
    </row>
    <row r="169" spans="1:24" x14ac:dyDescent="0.25">
      <c r="A169" s="13">
        <v>169</v>
      </c>
      <c r="B169" s="24" t="s">
        <v>224</v>
      </c>
      <c r="C169" s="13">
        <v>328</v>
      </c>
      <c r="D169" s="13">
        <v>2</v>
      </c>
      <c r="E169" s="13">
        <v>511</v>
      </c>
      <c r="F169" s="13">
        <v>1</v>
      </c>
      <c r="G169" s="13">
        <v>0</v>
      </c>
      <c r="H169" s="13">
        <v>0</v>
      </c>
      <c r="I169" s="13">
        <v>0</v>
      </c>
      <c r="J169" s="13">
        <v>0</v>
      </c>
      <c r="K169" s="13">
        <v>3</v>
      </c>
      <c r="L169" s="13">
        <v>1</v>
      </c>
      <c r="M169" s="13">
        <v>0</v>
      </c>
      <c r="N169" s="13">
        <v>846</v>
      </c>
      <c r="O169" s="13">
        <v>0</v>
      </c>
      <c r="P169" s="13">
        <v>8</v>
      </c>
      <c r="Q169" s="13">
        <v>854</v>
      </c>
      <c r="R169" s="13">
        <v>0</v>
      </c>
      <c r="S169" s="13">
        <v>1519</v>
      </c>
      <c r="T169" s="13" t="str">
        <f>VLOOKUP(A169,'[1]210 RAU complete'!$A$1:$E$292,2,0)</f>
        <v>राऊ (परिषद)</v>
      </c>
      <c r="U169" s="13" t="str">
        <f>VLOOKUP(A169,'[1]210 RAU complete'!$A$1:$E$292,3,0)</f>
        <v>शा. कन्या मा.वि., कक्ष क्र. 4, राऊ</v>
      </c>
      <c r="V169" s="13">
        <f t="shared" si="4"/>
        <v>183</v>
      </c>
      <c r="W169" s="15">
        <f t="shared" si="5"/>
        <v>56.221198156682028</v>
      </c>
      <c r="X169" s="16"/>
    </row>
    <row r="170" spans="1:24" x14ac:dyDescent="0.25">
      <c r="A170" s="13">
        <v>170</v>
      </c>
      <c r="B170" s="24" t="s">
        <v>225</v>
      </c>
      <c r="C170" s="13">
        <v>233</v>
      </c>
      <c r="D170" s="13">
        <v>2</v>
      </c>
      <c r="E170" s="13">
        <v>583</v>
      </c>
      <c r="F170" s="13">
        <v>1</v>
      </c>
      <c r="G170" s="13">
        <v>0</v>
      </c>
      <c r="H170" s="13">
        <v>1</v>
      </c>
      <c r="I170" s="13">
        <v>0</v>
      </c>
      <c r="J170" s="13">
        <v>0</v>
      </c>
      <c r="K170" s="13">
        <v>3</v>
      </c>
      <c r="L170" s="13">
        <v>0</v>
      </c>
      <c r="M170" s="13">
        <v>0</v>
      </c>
      <c r="N170" s="13">
        <v>823</v>
      </c>
      <c r="O170" s="13">
        <v>0</v>
      </c>
      <c r="P170" s="13">
        <v>11</v>
      </c>
      <c r="Q170" s="13">
        <v>834</v>
      </c>
      <c r="R170" s="13">
        <v>0</v>
      </c>
      <c r="S170" s="13">
        <v>1247</v>
      </c>
      <c r="T170" s="13" t="str">
        <f>VLOOKUP(A170,'[1]210 RAU complete'!$A$1:$E$292,2,0)</f>
        <v>राऊ (परिषद)</v>
      </c>
      <c r="U170" s="13" t="str">
        <f>VLOOKUP(A170,'[1]210 RAU complete'!$A$1:$E$292,3,0)</f>
        <v>शा. कन्या प्रा.वि. कक्ष क्र.-1, राऊ</v>
      </c>
      <c r="V170" s="13">
        <f t="shared" si="4"/>
        <v>350</v>
      </c>
      <c r="W170" s="15">
        <f t="shared" si="5"/>
        <v>66.880513231756211</v>
      </c>
      <c r="X170" s="16"/>
    </row>
    <row r="171" spans="1:24" x14ac:dyDescent="0.25">
      <c r="A171" s="13">
        <v>171</v>
      </c>
      <c r="B171" s="24" t="s">
        <v>226</v>
      </c>
      <c r="C171" s="13">
        <v>419</v>
      </c>
      <c r="D171" s="13">
        <v>3</v>
      </c>
      <c r="E171" s="13">
        <v>423</v>
      </c>
      <c r="F171" s="13">
        <v>0</v>
      </c>
      <c r="G171" s="13">
        <v>0</v>
      </c>
      <c r="H171" s="13">
        <v>1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846</v>
      </c>
      <c r="O171" s="13">
        <v>0</v>
      </c>
      <c r="P171" s="13">
        <v>9</v>
      </c>
      <c r="Q171" s="13">
        <v>855</v>
      </c>
      <c r="R171" s="13">
        <v>0</v>
      </c>
      <c r="S171" s="13">
        <v>1206</v>
      </c>
      <c r="T171" s="13" t="str">
        <f>VLOOKUP(A171,'[1]210 RAU complete'!$A$1:$E$292,2,0)</f>
        <v>राऊ (परिषद)</v>
      </c>
      <c r="U171" s="13" t="str">
        <f>VLOOKUP(A171,'[1]210 RAU complete'!$A$1:$E$292,3,0)</f>
        <v>प्रेरणा पब्लिक स्कूल, राऊ, राम रहिम कॉलोनी, क.नं. 1</v>
      </c>
      <c r="V171" s="13">
        <f t="shared" si="4"/>
        <v>4</v>
      </c>
      <c r="W171" s="15">
        <f t="shared" si="5"/>
        <v>70.895522388059703</v>
      </c>
      <c r="X171" s="16"/>
    </row>
    <row r="172" spans="1:24" x14ac:dyDescent="0.25">
      <c r="A172" s="17">
        <v>172</v>
      </c>
      <c r="B172" s="24" t="s">
        <v>227</v>
      </c>
      <c r="C172" s="17">
        <v>631</v>
      </c>
      <c r="D172" s="17">
        <v>4</v>
      </c>
      <c r="E172" s="17">
        <v>478</v>
      </c>
      <c r="F172" s="17">
        <v>1</v>
      </c>
      <c r="G172" s="17">
        <v>1</v>
      </c>
      <c r="H172" s="17">
        <v>2</v>
      </c>
      <c r="I172" s="17">
        <v>0</v>
      </c>
      <c r="J172" s="17">
        <v>0</v>
      </c>
      <c r="K172" s="17">
        <v>0</v>
      </c>
      <c r="L172" s="17">
        <v>0</v>
      </c>
      <c r="M172" s="17">
        <v>1</v>
      </c>
      <c r="N172" s="17">
        <v>1118</v>
      </c>
      <c r="O172" s="17">
        <v>0</v>
      </c>
      <c r="P172" s="17">
        <v>6</v>
      </c>
      <c r="Q172" s="17">
        <v>1124</v>
      </c>
      <c r="R172" s="17">
        <v>0</v>
      </c>
      <c r="S172" s="17">
        <v>1441</v>
      </c>
      <c r="T172" s="13" t="str">
        <f>VLOOKUP(A172,'[1]210 RAU complete'!$A$1:$E$292,2,0)</f>
        <v>राऊ (परिषद)</v>
      </c>
      <c r="U172" s="13" t="str">
        <f>VLOOKUP(A172,'[1]210 RAU complete'!$A$1:$E$292,3,0)</f>
        <v>सामुदायिक भवन, राम रहिम कॉलोनी, राऊ</v>
      </c>
      <c r="V172" s="17">
        <f t="shared" si="4"/>
        <v>153</v>
      </c>
      <c r="W172" s="18">
        <f t="shared" si="5"/>
        <v>78.001387925052043</v>
      </c>
      <c r="X172" s="16"/>
    </row>
    <row r="173" spans="1:24" x14ac:dyDescent="0.25">
      <c r="A173" s="13">
        <v>173</v>
      </c>
      <c r="B173" s="24" t="s">
        <v>228</v>
      </c>
      <c r="C173" s="13">
        <v>176</v>
      </c>
      <c r="D173" s="13">
        <v>0</v>
      </c>
      <c r="E173" s="13">
        <v>427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1</v>
      </c>
      <c r="L173" s="13">
        <v>0</v>
      </c>
      <c r="M173" s="13">
        <v>0</v>
      </c>
      <c r="N173" s="13">
        <v>604</v>
      </c>
      <c r="O173" s="13">
        <v>0</v>
      </c>
      <c r="P173" s="13">
        <v>2</v>
      </c>
      <c r="Q173" s="13">
        <v>606</v>
      </c>
      <c r="R173" s="13">
        <v>0</v>
      </c>
      <c r="S173" s="13">
        <v>1401</v>
      </c>
      <c r="T173" s="13" t="str">
        <f>VLOOKUP(A173,'[1]210 RAU complete'!$A$1:$E$292,2,0)</f>
        <v>राऊ (परिषद)</v>
      </c>
      <c r="U173" s="13" t="str">
        <f>VLOOKUP(A173,'[1]210 RAU complete'!$A$1:$E$292,3,0)</f>
        <v>न्यू हॉरिजोन्स इंटरनेशनल स्कूल, राऊ, कमरा नं. 1</v>
      </c>
      <c r="V173" s="13">
        <f t="shared" si="4"/>
        <v>251</v>
      </c>
      <c r="W173" s="15">
        <f t="shared" si="5"/>
        <v>43.25481798715203</v>
      </c>
      <c r="X173" s="16"/>
    </row>
    <row r="174" spans="1:24" x14ac:dyDescent="0.25">
      <c r="A174" s="13">
        <v>174</v>
      </c>
      <c r="B174" s="24" t="s">
        <v>229</v>
      </c>
      <c r="C174" s="13">
        <v>350</v>
      </c>
      <c r="D174" s="13">
        <v>5</v>
      </c>
      <c r="E174" s="13">
        <v>576</v>
      </c>
      <c r="F174" s="13">
        <v>3</v>
      </c>
      <c r="G174" s="13">
        <v>0</v>
      </c>
      <c r="H174" s="13">
        <v>1</v>
      </c>
      <c r="I174" s="13">
        <v>0</v>
      </c>
      <c r="J174" s="13">
        <v>0</v>
      </c>
      <c r="K174" s="13">
        <v>1</v>
      </c>
      <c r="L174" s="13">
        <v>2</v>
      </c>
      <c r="M174" s="13">
        <v>0</v>
      </c>
      <c r="N174" s="13">
        <v>938</v>
      </c>
      <c r="O174" s="13">
        <v>0</v>
      </c>
      <c r="P174" s="13">
        <v>10</v>
      </c>
      <c r="Q174" s="13">
        <v>948</v>
      </c>
      <c r="R174" s="13">
        <v>0</v>
      </c>
      <c r="S174" s="13">
        <v>1186</v>
      </c>
      <c r="T174" s="13" t="str">
        <f>VLOOKUP(A174,'[1]210 RAU complete'!$A$1:$E$292,2,0)</f>
        <v>राऊ (परिषद)</v>
      </c>
      <c r="U174" s="13" t="str">
        <f>VLOOKUP(A174,'[1]210 RAU complete'!$A$1:$E$292,3,0)</f>
        <v>शा. महाविद्यालय, राऊ, क.नं. 1</v>
      </c>
      <c r="V174" s="13">
        <f t="shared" si="4"/>
        <v>226</v>
      </c>
      <c r="W174" s="15">
        <f t="shared" si="5"/>
        <v>79.932546374367618</v>
      </c>
      <c r="X174" s="16"/>
    </row>
    <row r="175" spans="1:24" x14ac:dyDescent="0.25">
      <c r="A175" s="13">
        <v>175</v>
      </c>
      <c r="B175" s="24" t="s">
        <v>230</v>
      </c>
      <c r="C175" s="13">
        <v>349</v>
      </c>
      <c r="D175" s="13">
        <v>3</v>
      </c>
      <c r="E175" s="13">
        <v>765</v>
      </c>
      <c r="F175" s="13">
        <v>1</v>
      </c>
      <c r="G175" s="13">
        <v>1</v>
      </c>
      <c r="H175" s="13">
        <v>1</v>
      </c>
      <c r="I175" s="13">
        <v>0</v>
      </c>
      <c r="J175" s="13">
        <v>1</v>
      </c>
      <c r="K175" s="13">
        <v>2</v>
      </c>
      <c r="L175" s="13">
        <v>1</v>
      </c>
      <c r="M175" s="13">
        <v>0</v>
      </c>
      <c r="N175" s="13">
        <v>1124</v>
      </c>
      <c r="O175" s="13">
        <v>0</v>
      </c>
      <c r="P175" s="13">
        <v>5</v>
      </c>
      <c r="Q175" s="13">
        <v>1129</v>
      </c>
      <c r="R175" s="13">
        <v>0</v>
      </c>
      <c r="S175" s="13">
        <v>1344</v>
      </c>
      <c r="T175" s="13" t="str">
        <f>VLOOKUP(A175,'[1]210 RAU complete'!$A$1:$E$292,2,0)</f>
        <v>राऊ</v>
      </c>
      <c r="U175" s="13" t="str">
        <f>VLOOKUP(A175,'[1]210 RAU complete'!$A$1:$E$292,3,0)</f>
        <v>शा. महाविद्यालय, राऊ, क.नं. 5</v>
      </c>
      <c r="V175" s="13">
        <f t="shared" si="4"/>
        <v>416</v>
      </c>
      <c r="W175" s="15">
        <f t="shared" si="5"/>
        <v>84.00297619047619</v>
      </c>
      <c r="X175" s="16"/>
    </row>
    <row r="176" spans="1:24" x14ac:dyDescent="0.25">
      <c r="A176" s="13">
        <v>176</v>
      </c>
      <c r="B176" s="24" t="s">
        <v>231</v>
      </c>
      <c r="C176" s="13">
        <v>382</v>
      </c>
      <c r="D176" s="13">
        <v>1</v>
      </c>
      <c r="E176" s="13">
        <v>670</v>
      </c>
      <c r="F176" s="13">
        <v>3</v>
      </c>
      <c r="G176" s="13">
        <v>1</v>
      </c>
      <c r="H176" s="13">
        <v>1</v>
      </c>
      <c r="I176" s="13">
        <v>0</v>
      </c>
      <c r="J176" s="13">
        <v>1</v>
      </c>
      <c r="K176" s="13">
        <v>1</v>
      </c>
      <c r="L176" s="13">
        <v>0</v>
      </c>
      <c r="M176" s="13">
        <v>0</v>
      </c>
      <c r="N176" s="13">
        <v>1060</v>
      </c>
      <c r="O176" s="13">
        <v>0</v>
      </c>
      <c r="P176" s="13">
        <v>4</v>
      </c>
      <c r="Q176" s="13">
        <v>1064</v>
      </c>
      <c r="R176" s="13">
        <v>0</v>
      </c>
      <c r="S176" s="13">
        <v>1302</v>
      </c>
      <c r="T176" s="13" t="str">
        <f>VLOOKUP(A176,'[1]210 RAU complete'!$A$1:$E$292,2,0)</f>
        <v>राऊ (परिषद)</v>
      </c>
      <c r="U176" s="13" t="str">
        <f>VLOOKUP(A176,'[1]210 RAU complete'!$A$1:$E$292,3,0)</f>
        <v>शा.उ.मा.वि. गुरुकुल, क.नं. 2, राऊ</v>
      </c>
      <c r="V176" s="13">
        <f t="shared" si="4"/>
        <v>288</v>
      </c>
      <c r="W176" s="15">
        <f t="shared" si="5"/>
        <v>81.72043010752688</v>
      </c>
      <c r="X176" s="16"/>
    </row>
    <row r="177" spans="1:24" x14ac:dyDescent="0.25">
      <c r="A177" s="13">
        <v>177</v>
      </c>
      <c r="B177" s="24" t="s">
        <v>232</v>
      </c>
      <c r="C177" s="13">
        <v>406</v>
      </c>
      <c r="D177" s="13">
        <v>6</v>
      </c>
      <c r="E177" s="13">
        <v>611</v>
      </c>
      <c r="F177" s="13">
        <v>4</v>
      </c>
      <c r="G177" s="13">
        <v>1</v>
      </c>
      <c r="H177" s="13">
        <v>2</v>
      </c>
      <c r="I177" s="13">
        <v>1</v>
      </c>
      <c r="J177" s="13">
        <v>1</v>
      </c>
      <c r="K177" s="13">
        <v>0</v>
      </c>
      <c r="L177" s="13">
        <v>5</v>
      </c>
      <c r="M177" s="13">
        <v>1</v>
      </c>
      <c r="N177" s="13">
        <v>1038</v>
      </c>
      <c r="O177" s="13">
        <v>0</v>
      </c>
      <c r="P177" s="13">
        <v>15</v>
      </c>
      <c r="Q177" s="13">
        <v>1053</v>
      </c>
      <c r="R177" s="13">
        <v>0</v>
      </c>
      <c r="S177" s="13">
        <v>1254</v>
      </c>
      <c r="T177" s="13" t="str">
        <f>VLOOKUP(A177,'[1]210 RAU complete'!$A$1:$E$292,2,0)</f>
        <v>राऊ (परिषद)</v>
      </c>
      <c r="U177" s="13" t="str">
        <f>VLOOKUP(A177,'[1]210 RAU complete'!$A$1:$E$292,3,0)</f>
        <v>शा.उ.मा.वि. गुरुकुल, क.नं. 3, राऊ</v>
      </c>
      <c r="V177" s="13">
        <f t="shared" si="4"/>
        <v>205</v>
      </c>
      <c r="W177" s="15">
        <f t="shared" si="5"/>
        <v>83.971291866028707</v>
      </c>
      <c r="X177" s="16"/>
    </row>
    <row r="178" spans="1:24" x14ac:dyDescent="0.25">
      <c r="A178" s="13">
        <v>178</v>
      </c>
      <c r="B178" s="24" t="s">
        <v>233</v>
      </c>
      <c r="C178" s="13">
        <v>328</v>
      </c>
      <c r="D178" s="13">
        <v>7</v>
      </c>
      <c r="E178" s="13">
        <v>766</v>
      </c>
      <c r="F178" s="13">
        <v>3</v>
      </c>
      <c r="G178" s="13">
        <v>0</v>
      </c>
      <c r="H178" s="13">
        <v>1</v>
      </c>
      <c r="I178" s="13">
        <v>0</v>
      </c>
      <c r="J178" s="13">
        <v>0</v>
      </c>
      <c r="K178" s="13">
        <v>2</v>
      </c>
      <c r="L178" s="13">
        <v>0</v>
      </c>
      <c r="M178" s="13">
        <v>0</v>
      </c>
      <c r="N178" s="13">
        <v>1107</v>
      </c>
      <c r="O178" s="13">
        <v>0</v>
      </c>
      <c r="P178" s="13">
        <v>3</v>
      </c>
      <c r="Q178" s="13">
        <v>1110</v>
      </c>
      <c r="R178" s="13">
        <v>0</v>
      </c>
      <c r="S178" s="13">
        <v>1192</v>
      </c>
      <c r="T178" s="13" t="str">
        <f>VLOOKUP(A178,'[1]210 RAU complete'!$A$1:$E$292,2,0)</f>
        <v>राऊ (परिषद)</v>
      </c>
      <c r="U178" s="13" t="str">
        <f>VLOOKUP(A178,'[1]210 RAU complete'!$A$1:$E$292,3,0)</f>
        <v>शा.उ.मा.वि. गुरुकुल, क.नं. 4, राऊ</v>
      </c>
      <c r="V178" s="13">
        <f t="shared" si="4"/>
        <v>438</v>
      </c>
      <c r="W178" s="15">
        <f t="shared" si="5"/>
        <v>93.12080536912751</v>
      </c>
      <c r="X178" s="16"/>
    </row>
    <row r="179" spans="1:24" x14ac:dyDescent="0.25">
      <c r="A179" s="17">
        <v>179</v>
      </c>
      <c r="B179" s="24" t="s">
        <v>234</v>
      </c>
      <c r="C179" s="17">
        <v>443</v>
      </c>
      <c r="D179" s="17">
        <v>4</v>
      </c>
      <c r="E179" s="17">
        <v>416</v>
      </c>
      <c r="F179" s="17">
        <v>1</v>
      </c>
      <c r="G179" s="17">
        <v>0</v>
      </c>
      <c r="H179" s="17">
        <v>2</v>
      </c>
      <c r="I179" s="17">
        <v>1</v>
      </c>
      <c r="J179" s="17">
        <v>0</v>
      </c>
      <c r="K179" s="17">
        <v>1</v>
      </c>
      <c r="L179" s="17">
        <v>1</v>
      </c>
      <c r="M179" s="17">
        <v>0</v>
      </c>
      <c r="N179" s="17">
        <v>869</v>
      </c>
      <c r="O179" s="17">
        <v>0</v>
      </c>
      <c r="P179" s="17">
        <v>7</v>
      </c>
      <c r="Q179" s="17">
        <v>876</v>
      </c>
      <c r="R179" s="17">
        <v>0</v>
      </c>
      <c r="S179" s="17">
        <v>1157</v>
      </c>
      <c r="T179" s="13" t="str">
        <f>VLOOKUP(A179,'[1]210 RAU complete'!$A$1:$E$292,2,0)</f>
        <v>राऊ (परिषद)</v>
      </c>
      <c r="U179" s="13" t="str">
        <f>VLOOKUP(A179,'[1]210 RAU complete'!$A$1:$E$292,3,0)</f>
        <v>शा.उ.मा.वि. गुरुकुल, क.नं. 5, राऊ</v>
      </c>
      <c r="V179" s="17">
        <f t="shared" si="4"/>
        <v>27</v>
      </c>
      <c r="W179" s="18">
        <f t="shared" si="5"/>
        <v>75.713050993949878</v>
      </c>
      <c r="X179" s="16"/>
    </row>
    <row r="180" spans="1:24" x14ac:dyDescent="0.25">
      <c r="A180" s="17">
        <v>180</v>
      </c>
      <c r="B180" s="24" t="s">
        <v>235</v>
      </c>
      <c r="C180" s="17">
        <v>446</v>
      </c>
      <c r="D180" s="17">
        <v>3</v>
      </c>
      <c r="E180" s="17">
        <v>229</v>
      </c>
      <c r="F180" s="17">
        <v>0</v>
      </c>
      <c r="G180" s="17">
        <v>2</v>
      </c>
      <c r="H180" s="17">
        <v>1</v>
      </c>
      <c r="I180" s="17">
        <v>1</v>
      </c>
      <c r="J180" s="17">
        <v>0</v>
      </c>
      <c r="K180" s="17">
        <v>1</v>
      </c>
      <c r="L180" s="17">
        <v>1</v>
      </c>
      <c r="M180" s="17">
        <v>0</v>
      </c>
      <c r="N180" s="17">
        <v>684</v>
      </c>
      <c r="O180" s="17">
        <v>0</v>
      </c>
      <c r="P180" s="17">
        <v>10</v>
      </c>
      <c r="Q180" s="17">
        <v>694</v>
      </c>
      <c r="R180" s="17">
        <v>0</v>
      </c>
      <c r="S180" s="17">
        <v>1015</v>
      </c>
      <c r="T180" s="13" t="str">
        <f>VLOOKUP(A180,'[1]210 RAU complete'!$A$1:$E$292,2,0)</f>
        <v>निहालपुर मुंडी</v>
      </c>
      <c r="U180" s="13" t="str">
        <f>VLOOKUP(A180,'[1]210 RAU complete'!$A$1:$E$292,3,0)</f>
        <v>शा.प्रा.वि. भवन, निहालपुर मुंडी, क.नं. 1</v>
      </c>
      <c r="V180" s="17">
        <f t="shared" si="4"/>
        <v>217</v>
      </c>
      <c r="W180" s="18">
        <f t="shared" si="5"/>
        <v>68.374384236453196</v>
      </c>
      <c r="X180" s="16"/>
    </row>
    <row r="181" spans="1:24" x14ac:dyDescent="0.25">
      <c r="A181" s="13">
        <v>181</v>
      </c>
      <c r="B181" s="24" t="s">
        <v>236</v>
      </c>
      <c r="C181" s="13">
        <v>173</v>
      </c>
      <c r="D181" s="13">
        <v>0</v>
      </c>
      <c r="E181" s="13">
        <v>381</v>
      </c>
      <c r="F181" s="13">
        <v>2</v>
      </c>
      <c r="G181" s="13">
        <v>0</v>
      </c>
      <c r="H181" s="13">
        <v>0</v>
      </c>
      <c r="I181" s="13">
        <v>0</v>
      </c>
      <c r="J181" s="13">
        <v>0</v>
      </c>
      <c r="K181" s="13">
        <v>3</v>
      </c>
      <c r="L181" s="13">
        <v>0</v>
      </c>
      <c r="M181" s="13">
        <v>0</v>
      </c>
      <c r="N181" s="13">
        <v>559</v>
      </c>
      <c r="O181" s="13">
        <v>0</v>
      </c>
      <c r="P181" s="13">
        <v>2</v>
      </c>
      <c r="Q181" s="13">
        <v>561</v>
      </c>
      <c r="R181" s="13">
        <v>0</v>
      </c>
      <c r="S181" s="13">
        <v>1228</v>
      </c>
      <c r="T181" s="13" t="str">
        <f>VLOOKUP(A181,'[1]210 RAU complete'!$A$1:$E$292,2,0)</f>
        <v>निहालपुर मुंडी</v>
      </c>
      <c r="U181" s="13" t="str">
        <f>VLOOKUP(A181,'[1]210 RAU complete'!$A$1:$E$292,3,0)</f>
        <v>क्लब हाउस, सिलिकॉन सिटी, हॉल 1</v>
      </c>
      <c r="V181" s="13">
        <f t="shared" si="4"/>
        <v>208</v>
      </c>
      <c r="W181" s="15">
        <f t="shared" si="5"/>
        <v>45.68403908794788</v>
      </c>
      <c r="X181" s="16"/>
    </row>
    <row r="182" spans="1:24" x14ac:dyDescent="0.25">
      <c r="A182" s="13">
        <v>182</v>
      </c>
      <c r="B182" s="24" t="s">
        <v>237</v>
      </c>
      <c r="C182" s="13">
        <v>295</v>
      </c>
      <c r="D182" s="13">
        <v>1</v>
      </c>
      <c r="E182" s="13">
        <v>572</v>
      </c>
      <c r="F182" s="13">
        <v>2</v>
      </c>
      <c r="G182" s="13">
        <v>0</v>
      </c>
      <c r="H182" s="13">
        <v>0</v>
      </c>
      <c r="I182" s="13">
        <v>0</v>
      </c>
      <c r="J182" s="13">
        <v>0</v>
      </c>
      <c r="K182" s="13">
        <v>3</v>
      </c>
      <c r="L182" s="13">
        <v>0</v>
      </c>
      <c r="M182" s="13">
        <v>0</v>
      </c>
      <c r="N182" s="13">
        <v>873</v>
      </c>
      <c r="O182" s="13">
        <v>0</v>
      </c>
      <c r="P182" s="13">
        <v>6</v>
      </c>
      <c r="Q182" s="13">
        <v>879</v>
      </c>
      <c r="R182" s="13">
        <v>0</v>
      </c>
      <c r="S182" s="13">
        <v>925</v>
      </c>
      <c r="T182" s="13" t="str">
        <f>VLOOKUP(A182,'[1]210 RAU complete'!$A$1:$E$292,2,0)</f>
        <v>निहालपुर मुंडी</v>
      </c>
      <c r="U182" s="13" t="str">
        <f>VLOOKUP(A182,'[1]210 RAU complete'!$A$1:$E$292,3,0)</f>
        <v>क्लब हाउस, सिलिकॉन सिटी, हॉल 2</v>
      </c>
      <c r="V182" s="13">
        <f t="shared" si="4"/>
        <v>277</v>
      </c>
      <c r="W182" s="15">
        <f t="shared" si="5"/>
        <v>95.027027027027017</v>
      </c>
      <c r="X182" s="16"/>
    </row>
    <row r="183" spans="1:24" x14ac:dyDescent="0.25">
      <c r="A183" s="13">
        <v>183</v>
      </c>
      <c r="B183" s="24" t="s">
        <v>238</v>
      </c>
      <c r="C183" s="13">
        <v>296</v>
      </c>
      <c r="D183" s="13">
        <v>1</v>
      </c>
      <c r="E183" s="13">
        <v>495</v>
      </c>
      <c r="F183" s="13">
        <v>1</v>
      </c>
      <c r="G183" s="13">
        <v>0</v>
      </c>
      <c r="H183" s="13">
        <v>0</v>
      </c>
      <c r="I183" s="13">
        <v>0</v>
      </c>
      <c r="J183" s="13">
        <v>0</v>
      </c>
      <c r="K183" s="13">
        <v>2</v>
      </c>
      <c r="L183" s="13">
        <v>0</v>
      </c>
      <c r="M183" s="13">
        <v>0</v>
      </c>
      <c r="N183" s="13">
        <v>795</v>
      </c>
      <c r="O183" s="13">
        <v>0</v>
      </c>
      <c r="P183" s="13">
        <v>6</v>
      </c>
      <c r="Q183" s="13">
        <v>801</v>
      </c>
      <c r="R183" s="13">
        <v>0</v>
      </c>
      <c r="S183" s="13">
        <v>955</v>
      </c>
      <c r="T183" s="13" t="str">
        <f>VLOOKUP(A183,'[1]210 RAU complete'!$A$1:$E$292,2,0)</f>
        <v>निहालपुर मुंडी</v>
      </c>
      <c r="U183" s="13" t="str">
        <f>VLOOKUP(A183,'[1]210 RAU complete'!$A$1:$E$292,3,0)</f>
        <v>क्लब हाउस, सिलिकॉन सिटी, हॉल 3</v>
      </c>
      <c r="V183" s="13">
        <f t="shared" si="4"/>
        <v>199</v>
      </c>
      <c r="W183" s="15">
        <f t="shared" si="5"/>
        <v>83.874345549738223</v>
      </c>
      <c r="X183" s="16"/>
    </row>
    <row r="184" spans="1:24" x14ac:dyDescent="0.25">
      <c r="A184" s="13">
        <v>184</v>
      </c>
      <c r="B184" s="24" t="s">
        <v>239</v>
      </c>
      <c r="C184" s="13">
        <v>242</v>
      </c>
      <c r="D184" s="13">
        <v>0</v>
      </c>
      <c r="E184" s="13">
        <v>411</v>
      </c>
      <c r="F184" s="13">
        <v>3</v>
      </c>
      <c r="G184" s="13">
        <v>0</v>
      </c>
      <c r="H184" s="13">
        <v>0</v>
      </c>
      <c r="I184" s="13">
        <v>0</v>
      </c>
      <c r="J184" s="13">
        <v>0</v>
      </c>
      <c r="K184" s="13">
        <v>1</v>
      </c>
      <c r="L184" s="13">
        <v>0</v>
      </c>
      <c r="M184" s="13">
        <v>1</v>
      </c>
      <c r="N184" s="13">
        <v>658</v>
      </c>
      <c r="O184" s="13">
        <v>0</v>
      </c>
      <c r="P184" s="13">
        <v>3</v>
      </c>
      <c r="Q184" s="13">
        <v>661</v>
      </c>
      <c r="R184" s="13">
        <v>0</v>
      </c>
      <c r="S184" s="13">
        <v>1003</v>
      </c>
      <c r="T184" s="13" t="str">
        <f>VLOOKUP(A184,'[1]210 RAU complete'!$A$1:$E$292,2,0)</f>
        <v>निहालपुर मुंडी</v>
      </c>
      <c r="U184" s="13" t="str">
        <f>VLOOKUP(A184,'[1]210 RAU complete'!$A$1:$E$292,3,0)</f>
        <v>विद्यागन एकेडमी, B-164, सिलिकॉन सिटी</v>
      </c>
      <c r="V184" s="13">
        <f t="shared" si="4"/>
        <v>169</v>
      </c>
      <c r="W184" s="15">
        <f t="shared" si="5"/>
        <v>65.902293120638092</v>
      </c>
      <c r="X184" s="16"/>
    </row>
    <row r="185" spans="1:24" x14ac:dyDescent="0.25">
      <c r="A185" s="13">
        <v>185</v>
      </c>
      <c r="B185" s="24" t="s">
        <v>240</v>
      </c>
      <c r="C185" s="13">
        <v>316</v>
      </c>
      <c r="D185" s="13">
        <v>3</v>
      </c>
      <c r="E185" s="13">
        <v>592</v>
      </c>
      <c r="F185" s="13">
        <v>1</v>
      </c>
      <c r="G185" s="13">
        <v>2</v>
      </c>
      <c r="H185" s="13">
        <v>2</v>
      </c>
      <c r="I185" s="13">
        <v>0</v>
      </c>
      <c r="J185" s="13">
        <v>0</v>
      </c>
      <c r="K185" s="13">
        <v>1</v>
      </c>
      <c r="L185" s="13">
        <v>0</v>
      </c>
      <c r="M185" s="13">
        <v>1</v>
      </c>
      <c r="N185" s="13">
        <v>918</v>
      </c>
      <c r="O185" s="13">
        <v>0</v>
      </c>
      <c r="P185" s="13">
        <v>3</v>
      </c>
      <c r="Q185" s="13">
        <v>921</v>
      </c>
      <c r="R185" s="13">
        <v>0</v>
      </c>
      <c r="S185" s="13">
        <v>978</v>
      </c>
      <c r="T185" s="13" t="str">
        <f>VLOOKUP(A185,'[1]210 RAU complete'!$A$1:$E$292,2,0)</f>
        <v>निहालपुर मुंडी</v>
      </c>
      <c r="U185" s="13" t="str">
        <f>VLOOKUP(A185,'[1]210 RAU complete'!$A$1:$E$292,3,0)</f>
        <v>क्लब हाउस, सिलिकॉन सिटी, हॉल 4</v>
      </c>
      <c r="V185" s="13">
        <f t="shared" si="4"/>
        <v>276</v>
      </c>
      <c r="W185" s="15">
        <f t="shared" si="5"/>
        <v>94.171779141104295</v>
      </c>
      <c r="X185" s="16"/>
    </row>
    <row r="186" spans="1:24" x14ac:dyDescent="0.25">
      <c r="A186" s="13">
        <v>186</v>
      </c>
      <c r="B186" s="24" t="s">
        <v>241</v>
      </c>
      <c r="C186" s="13">
        <v>381</v>
      </c>
      <c r="D186" s="13">
        <v>5</v>
      </c>
      <c r="E186" s="13">
        <v>593</v>
      </c>
      <c r="F186" s="13">
        <v>4</v>
      </c>
      <c r="G186" s="13">
        <v>0</v>
      </c>
      <c r="H186" s="13">
        <v>0</v>
      </c>
      <c r="I186" s="13">
        <v>0</v>
      </c>
      <c r="J186" s="13">
        <v>1</v>
      </c>
      <c r="K186" s="13">
        <v>2</v>
      </c>
      <c r="L186" s="13">
        <v>0</v>
      </c>
      <c r="M186" s="13">
        <v>1</v>
      </c>
      <c r="N186" s="13">
        <v>987</v>
      </c>
      <c r="O186" s="13">
        <v>0</v>
      </c>
      <c r="P186" s="13">
        <v>4</v>
      </c>
      <c r="Q186" s="13">
        <v>991</v>
      </c>
      <c r="R186" s="13">
        <v>0</v>
      </c>
      <c r="S186" s="13">
        <v>1164</v>
      </c>
      <c r="T186" s="13" t="str">
        <f>VLOOKUP(A186,'[1]210 RAU complete'!$A$1:$E$292,2,0)</f>
        <v>निहालपुर मुंडी</v>
      </c>
      <c r="U186" s="13" t="str">
        <f>VLOOKUP(A186,'[1]210 RAU complete'!$A$1:$E$292,3,0)</f>
        <v>विद्यागन एकेडमी, B-164, सिलिकॉन सिटी</v>
      </c>
      <c r="V186" s="13">
        <f t="shared" si="4"/>
        <v>212</v>
      </c>
      <c r="W186" s="15">
        <f t="shared" si="5"/>
        <v>85.137457044673539</v>
      </c>
      <c r="X186" s="16"/>
    </row>
    <row r="187" spans="1:24" x14ac:dyDescent="0.25">
      <c r="A187" s="13">
        <v>187</v>
      </c>
      <c r="B187" s="24" t="s">
        <v>242</v>
      </c>
      <c r="C187" s="13">
        <v>325</v>
      </c>
      <c r="D187" s="13">
        <v>2</v>
      </c>
      <c r="E187" s="13">
        <v>746</v>
      </c>
      <c r="F187" s="13">
        <v>0</v>
      </c>
      <c r="G187" s="13">
        <v>0</v>
      </c>
      <c r="H187" s="13">
        <v>3</v>
      </c>
      <c r="I187" s="13">
        <v>0</v>
      </c>
      <c r="J187" s="13">
        <v>0</v>
      </c>
      <c r="K187" s="13">
        <v>5</v>
      </c>
      <c r="L187" s="13">
        <v>0</v>
      </c>
      <c r="M187" s="13">
        <v>0</v>
      </c>
      <c r="N187" s="13">
        <v>1081</v>
      </c>
      <c r="O187" s="13">
        <v>0</v>
      </c>
      <c r="P187" s="13">
        <v>7</v>
      </c>
      <c r="Q187" s="13">
        <v>1088</v>
      </c>
      <c r="R187" s="13">
        <v>0</v>
      </c>
      <c r="S187" s="13">
        <v>1165</v>
      </c>
      <c r="T187" s="13" t="str">
        <f>VLOOKUP(A187,'[1]210 RAU complete'!$A$1:$E$292,2,0)</f>
        <v>निहालपुर मुंडी</v>
      </c>
      <c r="U187" s="13" t="str">
        <f>VLOOKUP(A187,'[1]210 RAU complete'!$A$1:$E$292,3,0)</f>
        <v>क्लब हाउस, शिव सिटी, हॉल 1</v>
      </c>
      <c r="V187" s="13">
        <f t="shared" si="4"/>
        <v>421</v>
      </c>
      <c r="W187" s="15">
        <f t="shared" si="5"/>
        <v>93.39055793991416</v>
      </c>
      <c r="X187" s="16"/>
    </row>
    <row r="188" spans="1:24" x14ac:dyDescent="0.25">
      <c r="A188" s="17">
        <v>188</v>
      </c>
      <c r="B188" s="24" t="s">
        <v>243</v>
      </c>
      <c r="C188" s="17">
        <v>558</v>
      </c>
      <c r="D188" s="17">
        <v>5</v>
      </c>
      <c r="E188" s="17">
        <v>120</v>
      </c>
      <c r="F188" s="17">
        <v>2</v>
      </c>
      <c r="G188" s="17">
        <v>1</v>
      </c>
      <c r="H188" s="17">
        <v>0</v>
      </c>
      <c r="I188" s="17">
        <v>0</v>
      </c>
      <c r="J188" s="17">
        <v>1</v>
      </c>
      <c r="K188" s="17">
        <v>0</v>
      </c>
      <c r="L188" s="17">
        <v>0</v>
      </c>
      <c r="M188" s="17">
        <v>3</v>
      </c>
      <c r="N188" s="17">
        <v>690</v>
      </c>
      <c r="O188" s="17">
        <v>0</v>
      </c>
      <c r="P188" s="17">
        <v>6</v>
      </c>
      <c r="Q188" s="17">
        <v>696</v>
      </c>
      <c r="R188" s="17">
        <v>0</v>
      </c>
      <c r="S188" s="17">
        <v>1355</v>
      </c>
      <c r="T188" s="13" t="str">
        <f>VLOOKUP(A188,'[1]210 RAU complete'!$A$1:$E$292,2,0)</f>
        <v>निहालपुर मुंडी</v>
      </c>
      <c r="U188" s="13" t="str">
        <f>VLOOKUP(A188,'[1]210 RAU complete'!$A$1:$E$292,3,0)</f>
        <v>शा.प्रा.वि. भवन, निहालपुर मुंडी, कमरा नं. 3</v>
      </c>
      <c r="V188" s="17">
        <f t="shared" si="4"/>
        <v>438</v>
      </c>
      <c r="W188" s="18">
        <f t="shared" si="5"/>
        <v>51.365313653136532</v>
      </c>
      <c r="X188" s="16"/>
    </row>
    <row r="189" spans="1:24" x14ac:dyDescent="0.25">
      <c r="A189" s="13">
        <v>189</v>
      </c>
      <c r="B189" s="24" t="s">
        <v>244</v>
      </c>
      <c r="C189" s="13">
        <v>280</v>
      </c>
      <c r="D189" s="13">
        <v>1</v>
      </c>
      <c r="E189" s="13">
        <v>671</v>
      </c>
      <c r="F189" s="13">
        <v>0</v>
      </c>
      <c r="G189" s="13">
        <v>0</v>
      </c>
      <c r="H189" s="13">
        <v>1</v>
      </c>
      <c r="I189" s="13">
        <v>0</v>
      </c>
      <c r="J189" s="13">
        <v>1</v>
      </c>
      <c r="K189" s="13">
        <v>4</v>
      </c>
      <c r="L189" s="13">
        <v>0</v>
      </c>
      <c r="M189" s="13">
        <v>0</v>
      </c>
      <c r="N189" s="13">
        <v>958</v>
      </c>
      <c r="O189" s="13">
        <v>0</v>
      </c>
      <c r="P189" s="13">
        <v>5</v>
      </c>
      <c r="Q189" s="13">
        <v>963</v>
      </c>
      <c r="R189" s="13">
        <v>0</v>
      </c>
      <c r="S189" s="13">
        <v>1417</v>
      </c>
      <c r="T189" s="13" t="str">
        <f>VLOOKUP(A189,'[1]210 RAU complete'!$A$1:$E$292,2,0)</f>
        <v>निहालपुर मुंडी</v>
      </c>
      <c r="U189" s="13" t="str">
        <f>VLOOKUP(A189,'[1]210 RAU complete'!$A$1:$E$292,3,0)</f>
        <v>क्लब हाउस, शिव सिटी, हॉल 2</v>
      </c>
      <c r="V189" s="13">
        <f t="shared" si="4"/>
        <v>391</v>
      </c>
      <c r="W189" s="15">
        <f t="shared" si="5"/>
        <v>67.960479887085384</v>
      </c>
      <c r="X189" s="16"/>
    </row>
    <row r="190" spans="1:24" x14ac:dyDescent="0.25">
      <c r="A190" s="13">
        <v>190</v>
      </c>
      <c r="B190" s="24" t="s">
        <v>245</v>
      </c>
      <c r="C190" s="13">
        <v>512</v>
      </c>
      <c r="D190" s="13">
        <v>7</v>
      </c>
      <c r="E190" s="13">
        <v>707</v>
      </c>
      <c r="F190" s="13">
        <v>3</v>
      </c>
      <c r="G190" s="13">
        <v>3</v>
      </c>
      <c r="H190" s="13">
        <v>7</v>
      </c>
      <c r="I190" s="13">
        <v>0</v>
      </c>
      <c r="J190" s="13">
        <v>0</v>
      </c>
      <c r="K190" s="13">
        <v>1</v>
      </c>
      <c r="L190" s="13">
        <v>6</v>
      </c>
      <c r="M190" s="13">
        <v>1</v>
      </c>
      <c r="N190" s="13">
        <v>1247</v>
      </c>
      <c r="O190" s="13">
        <v>0</v>
      </c>
      <c r="P190" s="13">
        <v>5</v>
      </c>
      <c r="Q190" s="13">
        <v>1252</v>
      </c>
      <c r="R190" s="13">
        <v>0</v>
      </c>
      <c r="S190" s="13">
        <v>1450</v>
      </c>
      <c r="T190" s="13" t="str">
        <f>VLOOKUP(A190,'[1]210 RAU complete'!$A$1:$E$292,2,0)</f>
        <v>माचला (ग्रामीण)</v>
      </c>
      <c r="U190" s="13" t="str">
        <f>VLOOKUP(A190,'[1]210 RAU complete'!$A$1:$E$292,3,0)</f>
        <v>शा.मा.वि. भवन, माचला, कमरा नं. 1</v>
      </c>
      <c r="V190" s="13">
        <f t="shared" si="4"/>
        <v>195</v>
      </c>
      <c r="W190" s="15">
        <f t="shared" si="5"/>
        <v>86.34482758620689</v>
      </c>
      <c r="X190" s="16"/>
    </row>
    <row r="191" spans="1:24" x14ac:dyDescent="0.25">
      <c r="A191" s="13">
        <v>191</v>
      </c>
      <c r="B191" s="24" t="s">
        <v>246</v>
      </c>
      <c r="C191" s="13">
        <v>431</v>
      </c>
      <c r="D191" s="13">
        <v>4</v>
      </c>
      <c r="E191" s="13">
        <v>481</v>
      </c>
      <c r="F191" s="13">
        <v>0</v>
      </c>
      <c r="G191" s="13">
        <v>0</v>
      </c>
      <c r="H191" s="13">
        <v>0</v>
      </c>
      <c r="I191" s="13">
        <v>1</v>
      </c>
      <c r="J191" s="13">
        <v>0</v>
      </c>
      <c r="K191" s="13">
        <v>1</v>
      </c>
      <c r="L191" s="13">
        <v>2</v>
      </c>
      <c r="M191" s="13">
        <v>2</v>
      </c>
      <c r="N191" s="13">
        <v>922</v>
      </c>
      <c r="O191" s="13">
        <v>0</v>
      </c>
      <c r="P191" s="13">
        <v>3</v>
      </c>
      <c r="Q191" s="13">
        <v>925</v>
      </c>
      <c r="R191" s="13">
        <v>0</v>
      </c>
      <c r="S191" s="13">
        <v>1001</v>
      </c>
      <c r="T191" s="13" t="str">
        <f>VLOOKUP(A191,'[1]210 RAU complete'!$A$1:$E$292,2,0)</f>
        <v>मोरोद (ग्रामीण)</v>
      </c>
      <c r="U191" s="13" t="str">
        <f>VLOOKUP(A191,'[1]210 RAU complete'!$A$1:$E$292,3,0)</f>
        <v>शा.प्रा.वि. भवन, मोरोद, क.नं. 1</v>
      </c>
      <c r="V191" s="13">
        <f t="shared" si="4"/>
        <v>50</v>
      </c>
      <c r="W191" s="15">
        <f t="shared" si="5"/>
        <v>92.407592407592404</v>
      </c>
      <c r="X191" s="16" t="s">
        <v>49</v>
      </c>
    </row>
    <row r="192" spans="1:24" x14ac:dyDescent="0.25">
      <c r="A192" s="17">
        <v>192</v>
      </c>
      <c r="B192" s="24" t="s">
        <v>247</v>
      </c>
      <c r="C192" s="17">
        <v>490</v>
      </c>
      <c r="D192" s="17">
        <v>4</v>
      </c>
      <c r="E192" s="17">
        <v>387</v>
      </c>
      <c r="F192" s="17">
        <v>0</v>
      </c>
      <c r="G192" s="17">
        <v>0</v>
      </c>
      <c r="H192" s="17">
        <v>3</v>
      </c>
      <c r="I192" s="17">
        <v>0</v>
      </c>
      <c r="J192" s="17">
        <v>1</v>
      </c>
      <c r="K192" s="17">
        <v>1</v>
      </c>
      <c r="L192" s="17">
        <v>2</v>
      </c>
      <c r="M192" s="17">
        <v>2</v>
      </c>
      <c r="N192" s="17">
        <v>890</v>
      </c>
      <c r="O192" s="17">
        <v>0</v>
      </c>
      <c r="P192" s="17">
        <v>3</v>
      </c>
      <c r="Q192" s="17">
        <v>893</v>
      </c>
      <c r="R192" s="17">
        <v>0</v>
      </c>
      <c r="S192" s="17">
        <v>1291</v>
      </c>
      <c r="T192" s="13" t="str">
        <f>VLOOKUP(A192,'[1]210 RAU complete'!$A$1:$E$292,2,0)</f>
        <v>मोरोद (ग्रामीण)</v>
      </c>
      <c r="U192" s="13" t="str">
        <f>VLOOKUP(A192,'[1]210 RAU complete'!$A$1:$E$292,3,0)</f>
        <v>शा.प्रा.वि. भवन, मोरोद, क.नं. 2</v>
      </c>
      <c r="V192" s="17">
        <f t="shared" si="4"/>
        <v>103</v>
      </c>
      <c r="W192" s="18">
        <f t="shared" si="5"/>
        <v>69.171185127807902</v>
      </c>
      <c r="X192" s="16"/>
    </row>
    <row r="193" spans="1:24" x14ac:dyDescent="0.25">
      <c r="A193" s="13">
        <v>193</v>
      </c>
      <c r="B193" s="24" t="s">
        <v>248</v>
      </c>
      <c r="C193" s="13">
        <v>273</v>
      </c>
      <c r="D193" s="13">
        <v>3</v>
      </c>
      <c r="E193" s="13">
        <v>313</v>
      </c>
      <c r="F193" s="13">
        <v>2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591</v>
      </c>
      <c r="O193" s="13">
        <v>0</v>
      </c>
      <c r="P193" s="13">
        <v>7</v>
      </c>
      <c r="Q193" s="13">
        <v>598</v>
      </c>
      <c r="R193" s="13">
        <v>0</v>
      </c>
      <c r="S193" s="13">
        <v>1524</v>
      </c>
      <c r="T193" s="13" t="str">
        <f>VLOOKUP(A193,'[1]210 RAU complete'!$A$1:$E$292,2,0)</f>
        <v>उमरीखेड़ा</v>
      </c>
      <c r="U193" s="13" t="str">
        <f>VLOOKUP(A193,'[1]210 RAU complete'!$A$1:$E$292,3,0)</f>
        <v>शा.प्रा.वि., उमरीखेड़ा, क.नं. 2</v>
      </c>
      <c r="V193" s="13">
        <f t="shared" si="4"/>
        <v>40</v>
      </c>
      <c r="W193" s="15">
        <f t="shared" si="5"/>
        <v>39.238845144356951</v>
      </c>
      <c r="X193" s="16"/>
    </row>
    <row r="194" spans="1:24" x14ac:dyDescent="0.25">
      <c r="A194" s="13">
        <v>194</v>
      </c>
      <c r="B194" s="24" t="s">
        <v>249</v>
      </c>
      <c r="C194" s="13">
        <v>264</v>
      </c>
      <c r="D194" s="13">
        <v>3</v>
      </c>
      <c r="E194" s="13">
        <v>469</v>
      </c>
      <c r="F194" s="13">
        <v>1</v>
      </c>
      <c r="G194" s="13">
        <v>0</v>
      </c>
      <c r="H194" s="13">
        <v>0</v>
      </c>
      <c r="I194" s="13">
        <v>1</v>
      </c>
      <c r="J194" s="13">
        <v>0</v>
      </c>
      <c r="K194" s="13">
        <v>1</v>
      </c>
      <c r="L194" s="13">
        <v>2</v>
      </c>
      <c r="M194" s="13">
        <v>1</v>
      </c>
      <c r="N194" s="13">
        <v>742</v>
      </c>
      <c r="O194" s="13">
        <v>0</v>
      </c>
      <c r="P194" s="13">
        <v>4</v>
      </c>
      <c r="Q194" s="13">
        <v>746</v>
      </c>
      <c r="R194" s="13">
        <v>0</v>
      </c>
      <c r="S194" s="13">
        <v>1468</v>
      </c>
      <c r="T194" s="13" t="str">
        <f>VLOOKUP(A194,'[1]210 RAU complete'!$A$1:$E$292,2,0)</f>
        <v>उमरीखेड़ा</v>
      </c>
      <c r="U194" s="13" t="str">
        <f>VLOOKUP(A194,'[1]210 RAU complete'!$A$1:$E$292,3,0)</f>
        <v>शा.प्रा.वि., उमरीखेड़ा, क.नं. 1</v>
      </c>
      <c r="V194" s="13">
        <f t="shared" ref="V194:V257" si="6">MAX(E194,C194)-MIN(C194,E194)</f>
        <v>205</v>
      </c>
      <c r="W194" s="15">
        <f t="shared" ref="W194:W257" si="7">(Q194/S194)*100</f>
        <v>50.817438692098094</v>
      </c>
      <c r="X194" s="16"/>
    </row>
    <row r="195" spans="1:24" x14ac:dyDescent="0.25">
      <c r="A195" s="13">
        <v>195</v>
      </c>
      <c r="B195" s="24" t="s">
        <v>250</v>
      </c>
      <c r="C195" s="13">
        <v>498</v>
      </c>
      <c r="D195" s="13">
        <v>4</v>
      </c>
      <c r="E195" s="13">
        <v>558</v>
      </c>
      <c r="F195" s="13">
        <v>2</v>
      </c>
      <c r="G195" s="13">
        <v>0</v>
      </c>
      <c r="H195" s="13">
        <v>1</v>
      </c>
      <c r="I195" s="13">
        <v>1</v>
      </c>
      <c r="J195" s="13">
        <v>1</v>
      </c>
      <c r="K195" s="13">
        <v>0</v>
      </c>
      <c r="L195" s="13">
        <v>0</v>
      </c>
      <c r="M195" s="13">
        <v>2</v>
      </c>
      <c r="N195" s="13">
        <v>1067</v>
      </c>
      <c r="O195" s="13">
        <v>0</v>
      </c>
      <c r="P195" s="13">
        <v>10</v>
      </c>
      <c r="Q195" s="13">
        <v>1077</v>
      </c>
      <c r="R195" s="13">
        <v>0</v>
      </c>
      <c r="S195" s="13">
        <v>1352</v>
      </c>
      <c r="T195" s="13" t="str">
        <f>VLOOKUP(A195,'[1]210 RAU complete'!$A$1:$E$292,2,0)</f>
        <v>असरावद खुर्द (ग्रामीण)</v>
      </c>
      <c r="U195" s="13" t="str">
        <f>VLOOKUP(A195,'[1]210 RAU complete'!$A$1:$E$292,3,0)</f>
        <v>शा.प्रा.वि. भवन, क.नं. 1, असरावद खुर्द</v>
      </c>
      <c r="V195" s="13">
        <f t="shared" si="6"/>
        <v>60</v>
      </c>
      <c r="W195" s="15">
        <f t="shared" si="7"/>
        <v>79.65976331360946</v>
      </c>
      <c r="X195" s="16"/>
    </row>
    <row r="196" spans="1:24" x14ac:dyDescent="0.25">
      <c r="A196" s="13">
        <v>196</v>
      </c>
      <c r="B196" s="24" t="s">
        <v>251</v>
      </c>
      <c r="C196" s="13">
        <v>472</v>
      </c>
      <c r="D196" s="13">
        <v>6</v>
      </c>
      <c r="E196" s="13">
        <v>714</v>
      </c>
      <c r="F196" s="13">
        <v>7</v>
      </c>
      <c r="G196" s="13">
        <v>1</v>
      </c>
      <c r="H196" s="13">
        <v>1</v>
      </c>
      <c r="I196" s="13">
        <v>0</v>
      </c>
      <c r="J196" s="13">
        <v>0</v>
      </c>
      <c r="K196" s="13">
        <v>1</v>
      </c>
      <c r="L196" s="13">
        <v>1</v>
      </c>
      <c r="M196" s="13">
        <v>1</v>
      </c>
      <c r="N196" s="13">
        <v>1204</v>
      </c>
      <c r="O196" s="13">
        <v>0</v>
      </c>
      <c r="P196" s="13">
        <v>8</v>
      </c>
      <c r="Q196" s="13">
        <v>1212</v>
      </c>
      <c r="R196" s="13">
        <v>0</v>
      </c>
      <c r="S196" s="13">
        <v>1491</v>
      </c>
      <c r="T196" s="13" t="str">
        <f>VLOOKUP(A196,'[1]210 RAU complete'!$A$1:$E$292,2,0)</f>
        <v>असरावद खुर्द</v>
      </c>
      <c r="U196" s="13" t="str">
        <f>VLOOKUP(A196,'[1]210 RAU complete'!$A$1:$E$292,3,0)</f>
        <v>शा.प्रा.वि. भवन, क.नं. 2, असरावद खुर्द</v>
      </c>
      <c r="V196" s="13">
        <f t="shared" si="6"/>
        <v>242</v>
      </c>
      <c r="W196" s="15">
        <f t="shared" si="7"/>
        <v>81.287726358148888</v>
      </c>
      <c r="X196" s="16"/>
    </row>
    <row r="197" spans="1:24" x14ac:dyDescent="0.25">
      <c r="A197" s="13">
        <v>197</v>
      </c>
      <c r="B197" s="24" t="s">
        <v>252</v>
      </c>
      <c r="C197" s="13">
        <v>403</v>
      </c>
      <c r="D197" s="13">
        <v>3</v>
      </c>
      <c r="E197" s="13">
        <v>718</v>
      </c>
      <c r="F197" s="13">
        <v>2</v>
      </c>
      <c r="G197" s="13">
        <v>0</v>
      </c>
      <c r="H197" s="13">
        <v>0</v>
      </c>
      <c r="I197" s="13">
        <v>0</v>
      </c>
      <c r="J197" s="13">
        <v>1</v>
      </c>
      <c r="K197" s="13">
        <v>2</v>
      </c>
      <c r="L197" s="13">
        <v>1</v>
      </c>
      <c r="M197" s="13">
        <v>3</v>
      </c>
      <c r="N197" s="13">
        <v>1133</v>
      </c>
      <c r="O197" s="13">
        <v>0</v>
      </c>
      <c r="P197" s="13">
        <v>10</v>
      </c>
      <c r="Q197" s="13">
        <v>1143</v>
      </c>
      <c r="R197" s="13">
        <v>0</v>
      </c>
      <c r="S197" s="13">
        <v>1324</v>
      </c>
      <c r="T197" s="13" t="str">
        <f>VLOOKUP(A197,'[1]210 RAU complete'!$A$1:$E$292,2,0)</f>
        <v xml:space="preserve">असरावद खुर्द </v>
      </c>
      <c r="U197" s="13" t="str">
        <f>VLOOKUP(A197,'[1]210 RAU complete'!$A$1:$E$292,3,0)</f>
        <v>शा.प्रा.वि. भवन, क.नं. 3, असरावद खुर्द</v>
      </c>
      <c r="V197" s="13">
        <f t="shared" si="6"/>
        <v>315</v>
      </c>
      <c r="W197" s="15">
        <f t="shared" si="7"/>
        <v>86.329305135951657</v>
      </c>
      <c r="X197" s="16"/>
    </row>
    <row r="198" spans="1:24" x14ac:dyDescent="0.25">
      <c r="A198" s="17">
        <v>198</v>
      </c>
      <c r="B198" s="24" t="s">
        <v>253</v>
      </c>
      <c r="C198" s="17">
        <v>503</v>
      </c>
      <c r="D198" s="17">
        <v>6</v>
      </c>
      <c r="E198" s="17">
        <v>461</v>
      </c>
      <c r="F198" s="17">
        <v>2</v>
      </c>
      <c r="G198" s="17">
        <v>0</v>
      </c>
      <c r="H198" s="17">
        <v>6</v>
      </c>
      <c r="I198" s="17">
        <v>0</v>
      </c>
      <c r="J198" s="17">
        <v>0</v>
      </c>
      <c r="K198" s="17">
        <v>4</v>
      </c>
      <c r="L198" s="17">
        <v>0</v>
      </c>
      <c r="M198" s="17">
        <v>0</v>
      </c>
      <c r="N198" s="17">
        <v>982</v>
      </c>
      <c r="O198" s="17">
        <v>0</v>
      </c>
      <c r="P198" s="17">
        <v>6</v>
      </c>
      <c r="Q198" s="17">
        <v>988</v>
      </c>
      <c r="R198" s="17">
        <v>0</v>
      </c>
      <c r="S198" s="17">
        <v>1374</v>
      </c>
      <c r="T198" s="13" t="str">
        <f>VLOOKUP(A198,'[1]210 RAU complete'!$A$1:$E$292,2,0)</f>
        <v>मिर्जापुर</v>
      </c>
      <c r="U198" s="13" t="str">
        <f>VLOOKUP(A198,'[1]210 RAU complete'!$A$1:$E$292,3,0)</f>
        <v>शा.प्रा.वि. भवन, मिर्जापुर, कमरा नं. 1</v>
      </c>
      <c r="V198" s="17">
        <f t="shared" si="6"/>
        <v>42</v>
      </c>
      <c r="W198" s="18">
        <f t="shared" si="7"/>
        <v>71.906841339155747</v>
      </c>
      <c r="X198" s="16"/>
    </row>
    <row r="199" spans="1:24" x14ac:dyDescent="0.25">
      <c r="A199" s="13">
        <v>199</v>
      </c>
      <c r="B199" s="24" t="s">
        <v>254</v>
      </c>
      <c r="C199" s="13">
        <v>225</v>
      </c>
      <c r="D199" s="13">
        <v>0</v>
      </c>
      <c r="E199" s="13">
        <v>382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3</v>
      </c>
      <c r="L199" s="13">
        <v>0</v>
      </c>
      <c r="M199" s="13">
        <v>0</v>
      </c>
      <c r="N199" s="13">
        <v>610</v>
      </c>
      <c r="O199" s="13">
        <v>0</v>
      </c>
      <c r="P199" s="13">
        <v>4</v>
      </c>
      <c r="Q199" s="13">
        <v>614</v>
      </c>
      <c r="R199" s="13">
        <v>0</v>
      </c>
      <c r="S199" s="13">
        <v>1444</v>
      </c>
      <c r="T199" s="13" t="str">
        <f>VLOOKUP(A199,'[1]210 RAU complete'!$A$1:$E$292,2,0)</f>
        <v>मिर्जापुर</v>
      </c>
      <c r="U199" s="13" t="str">
        <f>VLOOKUP(A199,'[1]210 RAU complete'!$A$1:$E$292,3,0)</f>
        <v>शा.प्रा.वि. भवन, मिर्जापुर, कमरा नं. 2</v>
      </c>
      <c r="V199" s="13">
        <f t="shared" si="6"/>
        <v>157</v>
      </c>
      <c r="W199" s="15">
        <f t="shared" si="7"/>
        <v>42.520775623268698</v>
      </c>
      <c r="X199" s="16"/>
    </row>
    <row r="200" spans="1:24" x14ac:dyDescent="0.25">
      <c r="A200" s="13">
        <v>200</v>
      </c>
      <c r="B200" s="24" t="s">
        <v>255</v>
      </c>
      <c r="C200" s="13">
        <v>500</v>
      </c>
      <c r="D200" s="13">
        <v>3</v>
      </c>
      <c r="E200" s="13">
        <v>624</v>
      </c>
      <c r="F200" s="13">
        <v>4</v>
      </c>
      <c r="G200" s="13">
        <v>0</v>
      </c>
      <c r="H200" s="13">
        <v>1</v>
      </c>
      <c r="I200" s="13">
        <v>2</v>
      </c>
      <c r="J200" s="13">
        <v>0</v>
      </c>
      <c r="K200" s="13">
        <v>0</v>
      </c>
      <c r="L200" s="13">
        <v>2</v>
      </c>
      <c r="M200" s="13">
        <v>1</v>
      </c>
      <c r="N200" s="13">
        <v>1137</v>
      </c>
      <c r="O200" s="13">
        <v>0</v>
      </c>
      <c r="P200" s="13">
        <v>6</v>
      </c>
      <c r="Q200" s="13">
        <v>1143</v>
      </c>
      <c r="R200" s="13">
        <v>0</v>
      </c>
      <c r="S200" s="13">
        <v>1455</v>
      </c>
      <c r="T200" s="13" t="str">
        <f>VLOOKUP(A200,'[1]210 RAU complete'!$A$1:$E$292,2,0)</f>
        <v>कैलोदकर्ताल</v>
      </c>
      <c r="U200" s="13" t="str">
        <f>VLOOKUP(A200,'[1]210 RAU complete'!$A$1:$E$292,3,0)</f>
        <v>शा.प्रा.वि. भवन, कैलोदकर्ताल, कमरा नं. 1</v>
      </c>
      <c r="V200" s="13">
        <f t="shared" si="6"/>
        <v>124</v>
      </c>
      <c r="W200" s="15">
        <f t="shared" si="7"/>
        <v>78.55670103092784</v>
      </c>
      <c r="X200" s="16"/>
    </row>
    <row r="201" spans="1:24" x14ac:dyDescent="0.25">
      <c r="A201" s="17">
        <v>201</v>
      </c>
      <c r="B201" s="24" t="s">
        <v>256</v>
      </c>
      <c r="C201" s="17">
        <v>635</v>
      </c>
      <c r="D201" s="17">
        <v>10</v>
      </c>
      <c r="E201" s="17">
        <v>436</v>
      </c>
      <c r="F201" s="17">
        <v>4</v>
      </c>
      <c r="G201" s="17">
        <v>0</v>
      </c>
      <c r="H201" s="17">
        <v>4</v>
      </c>
      <c r="I201" s="17">
        <v>0</v>
      </c>
      <c r="J201" s="17">
        <v>2</v>
      </c>
      <c r="K201" s="17">
        <v>2</v>
      </c>
      <c r="L201" s="17">
        <v>0</v>
      </c>
      <c r="M201" s="17">
        <v>1</v>
      </c>
      <c r="N201" s="17">
        <v>1094</v>
      </c>
      <c r="O201" s="17">
        <v>0</v>
      </c>
      <c r="P201" s="17">
        <v>1</v>
      </c>
      <c r="Q201" s="17">
        <v>1095</v>
      </c>
      <c r="R201" s="17">
        <v>0</v>
      </c>
      <c r="S201" s="17">
        <v>1384</v>
      </c>
      <c r="T201" s="13" t="str">
        <f>VLOOKUP(A201,'[1]210 RAU complete'!$A$1:$E$292,2,0)</f>
        <v>कैलोदकर्ताल</v>
      </c>
      <c r="U201" s="13" t="str">
        <f>VLOOKUP(A201,'[1]210 RAU complete'!$A$1:$E$292,3,0)</f>
        <v>शा.प्रा.वि. भवन, कैलोदकर्ताल, कमरा नं. 2</v>
      </c>
      <c r="V201" s="17">
        <f t="shared" si="6"/>
        <v>199</v>
      </c>
      <c r="W201" s="18">
        <f t="shared" si="7"/>
        <v>79.118497109826592</v>
      </c>
      <c r="X201" s="16"/>
    </row>
    <row r="202" spans="1:24" x14ac:dyDescent="0.25">
      <c r="A202" s="13">
        <v>202</v>
      </c>
      <c r="B202" s="24" t="s">
        <v>257</v>
      </c>
      <c r="C202" s="13">
        <v>402</v>
      </c>
      <c r="D202" s="13">
        <v>4</v>
      </c>
      <c r="E202" s="13">
        <v>696</v>
      </c>
      <c r="F202" s="13">
        <v>4</v>
      </c>
      <c r="G202" s="13">
        <v>1</v>
      </c>
      <c r="H202" s="13">
        <v>2</v>
      </c>
      <c r="I202" s="13">
        <v>0</v>
      </c>
      <c r="J202" s="13">
        <v>0</v>
      </c>
      <c r="K202" s="13">
        <v>0</v>
      </c>
      <c r="L202" s="13">
        <v>1</v>
      </c>
      <c r="M202" s="13">
        <v>0</v>
      </c>
      <c r="N202" s="13">
        <v>1110</v>
      </c>
      <c r="O202" s="13">
        <v>0</v>
      </c>
      <c r="P202" s="13">
        <v>7</v>
      </c>
      <c r="Q202" s="13">
        <v>1117</v>
      </c>
      <c r="R202" s="13">
        <v>0</v>
      </c>
      <c r="S202" s="13">
        <v>1262</v>
      </c>
      <c r="T202" s="13" t="str">
        <f>VLOOKUP(A202,'[1]210 RAU complete'!$A$1:$E$292,2,0)</f>
        <v>तेजाजी नगर</v>
      </c>
      <c r="U202" s="13" t="str">
        <f>VLOOKUP(A202,'[1]210 RAU complete'!$A$1:$E$292,3,0)</f>
        <v>शा.प्रा.वि. भवन, तेजाजी नगर, क.नं. 1</v>
      </c>
      <c r="V202" s="13">
        <f t="shared" si="6"/>
        <v>294</v>
      </c>
      <c r="W202" s="15">
        <f t="shared" si="7"/>
        <v>88.510301109350237</v>
      </c>
      <c r="X202" s="16"/>
    </row>
    <row r="203" spans="1:24" x14ac:dyDescent="0.25">
      <c r="A203" s="13">
        <v>203</v>
      </c>
      <c r="B203" s="24" t="s">
        <v>258</v>
      </c>
      <c r="C203" s="13">
        <v>351</v>
      </c>
      <c r="D203" s="13">
        <v>4</v>
      </c>
      <c r="E203" s="13">
        <v>543</v>
      </c>
      <c r="F203" s="13">
        <v>3</v>
      </c>
      <c r="G203" s="13">
        <v>1</v>
      </c>
      <c r="H203" s="13">
        <v>0</v>
      </c>
      <c r="I203" s="13">
        <v>1</v>
      </c>
      <c r="J203" s="13">
        <v>1</v>
      </c>
      <c r="K203" s="13">
        <v>0</v>
      </c>
      <c r="L203" s="13">
        <v>1</v>
      </c>
      <c r="M203" s="13">
        <v>1</v>
      </c>
      <c r="N203" s="13">
        <v>906</v>
      </c>
      <c r="O203" s="13">
        <v>0</v>
      </c>
      <c r="P203" s="13">
        <v>10</v>
      </c>
      <c r="Q203" s="13">
        <v>916</v>
      </c>
      <c r="R203" s="13">
        <v>0</v>
      </c>
      <c r="S203" s="13">
        <v>1252</v>
      </c>
      <c r="T203" s="13" t="str">
        <f>VLOOKUP(A203,'[1]210 RAU complete'!$A$1:$E$292,2,0)</f>
        <v>तेजाजी नगर</v>
      </c>
      <c r="U203" s="13" t="str">
        <f>VLOOKUP(A203,'[1]210 RAU complete'!$A$1:$E$292,3,0)</f>
        <v>शा.मा.वि. भवन, तेजाजी नगर, क.नं. 1</v>
      </c>
      <c r="V203" s="13">
        <f t="shared" si="6"/>
        <v>192</v>
      </c>
      <c r="W203" s="15">
        <f t="shared" si="7"/>
        <v>73.162939297124595</v>
      </c>
      <c r="X203" s="16"/>
    </row>
    <row r="204" spans="1:24" x14ac:dyDescent="0.25">
      <c r="A204" s="13">
        <v>204</v>
      </c>
      <c r="B204" s="24" t="s">
        <v>259</v>
      </c>
      <c r="C204" s="13">
        <v>375</v>
      </c>
      <c r="D204" s="13">
        <v>10</v>
      </c>
      <c r="E204" s="13">
        <v>484</v>
      </c>
      <c r="F204" s="13">
        <v>4</v>
      </c>
      <c r="G204" s="13">
        <v>2</v>
      </c>
      <c r="H204" s="13">
        <v>1</v>
      </c>
      <c r="I204" s="13">
        <v>0</v>
      </c>
      <c r="J204" s="13">
        <v>0</v>
      </c>
      <c r="K204" s="13">
        <v>7</v>
      </c>
      <c r="L204" s="13">
        <v>2</v>
      </c>
      <c r="M204" s="13">
        <v>3</v>
      </c>
      <c r="N204" s="13">
        <v>888</v>
      </c>
      <c r="O204" s="13">
        <v>0</v>
      </c>
      <c r="P204" s="13">
        <v>9</v>
      </c>
      <c r="Q204" s="13">
        <v>897</v>
      </c>
      <c r="R204" s="13">
        <v>0</v>
      </c>
      <c r="S204" s="13">
        <v>1400</v>
      </c>
      <c r="T204" s="13" t="str">
        <f>VLOOKUP(A204,'[1]210 RAU complete'!$A$1:$E$292,2,0)</f>
        <v>तेजाजी नगर</v>
      </c>
      <c r="U204" s="13" t="str">
        <f>VLOOKUP(A204,'[1]210 RAU complete'!$A$1:$E$292,3,0)</f>
        <v>शा.मा.वि. भवन, तेजाजी नगर, क.नं. 2</v>
      </c>
      <c r="V204" s="13">
        <f t="shared" si="6"/>
        <v>109</v>
      </c>
      <c r="W204" s="15">
        <f t="shared" si="7"/>
        <v>64.071428571428569</v>
      </c>
      <c r="X204" s="16"/>
    </row>
    <row r="205" spans="1:24" x14ac:dyDescent="0.25">
      <c r="A205" s="17">
        <v>205</v>
      </c>
      <c r="B205" s="24" t="s">
        <v>260</v>
      </c>
      <c r="C205" s="17">
        <v>525</v>
      </c>
      <c r="D205" s="17">
        <v>6</v>
      </c>
      <c r="E205" s="17">
        <v>459</v>
      </c>
      <c r="F205" s="17">
        <v>3</v>
      </c>
      <c r="G205" s="17">
        <v>0</v>
      </c>
      <c r="H205" s="17">
        <v>0</v>
      </c>
      <c r="I205" s="17">
        <v>1</v>
      </c>
      <c r="J205" s="17">
        <v>1</v>
      </c>
      <c r="K205" s="17">
        <v>0</v>
      </c>
      <c r="L205" s="17">
        <v>3</v>
      </c>
      <c r="M205" s="17">
        <v>1</v>
      </c>
      <c r="N205" s="17">
        <v>999</v>
      </c>
      <c r="O205" s="17">
        <v>0</v>
      </c>
      <c r="P205" s="17">
        <v>14</v>
      </c>
      <c r="Q205" s="17">
        <v>1013</v>
      </c>
      <c r="R205" s="17">
        <v>0</v>
      </c>
      <c r="S205" s="17">
        <v>1413</v>
      </c>
      <c r="T205" s="13" t="str">
        <f>VLOOKUP(A205,'[1]210 RAU complete'!$A$1:$E$292,2,0)</f>
        <v>बिलावली</v>
      </c>
      <c r="U205" s="13" t="str">
        <f>VLOOKUP(A205,'[1]210 RAU complete'!$A$1:$E$292,3,0)</f>
        <v>शा.मा.वि. भवन, क.नं. 1, बिलावली</v>
      </c>
      <c r="V205" s="17">
        <f t="shared" si="6"/>
        <v>66</v>
      </c>
      <c r="W205" s="18">
        <f t="shared" si="7"/>
        <v>71.691436659589527</v>
      </c>
      <c r="X205" s="16"/>
    </row>
    <row r="206" spans="1:24" x14ac:dyDescent="0.25">
      <c r="A206" s="13">
        <v>206</v>
      </c>
      <c r="B206" s="24" t="s">
        <v>261</v>
      </c>
      <c r="C206" s="13">
        <v>336</v>
      </c>
      <c r="D206" s="13">
        <v>2</v>
      </c>
      <c r="E206" s="13">
        <v>560</v>
      </c>
      <c r="F206" s="13">
        <v>15</v>
      </c>
      <c r="G206" s="13">
        <v>1</v>
      </c>
      <c r="H206" s="13">
        <v>0</v>
      </c>
      <c r="I206" s="13">
        <v>0</v>
      </c>
      <c r="J206" s="13">
        <v>0</v>
      </c>
      <c r="K206" s="13">
        <v>2</v>
      </c>
      <c r="L206" s="13">
        <v>0</v>
      </c>
      <c r="M206" s="13">
        <v>0</v>
      </c>
      <c r="N206" s="13">
        <v>916</v>
      </c>
      <c r="O206" s="13">
        <v>0</v>
      </c>
      <c r="P206" s="13">
        <v>5</v>
      </c>
      <c r="Q206" s="13">
        <v>921</v>
      </c>
      <c r="R206" s="13">
        <v>0</v>
      </c>
      <c r="S206" s="13">
        <v>1011</v>
      </c>
      <c r="T206" s="13" t="str">
        <f>VLOOKUP(A206,'[1]210 RAU complete'!$A$1:$E$292,2,0)</f>
        <v>बिलावली</v>
      </c>
      <c r="U206" s="13" t="str">
        <f>VLOOKUP(A206,'[1]210 RAU complete'!$A$1:$E$292,3,0)</f>
        <v>शा.मा.वि. भवन, क.नं. 3, बिलावली</v>
      </c>
      <c r="V206" s="13">
        <f t="shared" si="6"/>
        <v>224</v>
      </c>
      <c r="W206" s="15">
        <f t="shared" si="7"/>
        <v>91.097922848664695</v>
      </c>
      <c r="X206" s="16"/>
    </row>
    <row r="207" spans="1:24" x14ac:dyDescent="0.25">
      <c r="A207" s="13">
        <v>207</v>
      </c>
      <c r="B207" s="24" t="s">
        <v>262</v>
      </c>
      <c r="C207" s="13">
        <v>228</v>
      </c>
      <c r="D207" s="13">
        <v>1</v>
      </c>
      <c r="E207" s="13">
        <v>435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3</v>
      </c>
      <c r="L207" s="13">
        <v>1</v>
      </c>
      <c r="M207" s="13">
        <v>0</v>
      </c>
      <c r="N207" s="13">
        <v>668</v>
      </c>
      <c r="O207" s="13">
        <v>0</v>
      </c>
      <c r="P207" s="13">
        <v>8</v>
      </c>
      <c r="Q207" s="13">
        <v>676</v>
      </c>
      <c r="R207" s="13">
        <v>0</v>
      </c>
      <c r="S207" s="13">
        <v>935</v>
      </c>
      <c r="T207" s="13" t="str">
        <f>VLOOKUP(A207,'[1]210 RAU complete'!$A$1:$E$292,2,0)</f>
        <v>बिलावली</v>
      </c>
      <c r="U207" s="13" t="str">
        <f>VLOOKUP(A207,'[1]210 RAU complete'!$A$1:$E$292,3,0)</f>
        <v>सांई प्रितमदास गोविंदराम एकेडमी, कमरा नं. 1</v>
      </c>
      <c r="V207" s="13">
        <f t="shared" si="6"/>
        <v>207</v>
      </c>
      <c r="W207" s="15">
        <f t="shared" si="7"/>
        <v>72.299465240641709</v>
      </c>
      <c r="X207" s="16"/>
    </row>
    <row r="208" spans="1:24" x14ac:dyDescent="0.25">
      <c r="A208" s="13">
        <v>208</v>
      </c>
      <c r="B208" s="24" t="s">
        <v>263</v>
      </c>
      <c r="C208" s="13">
        <v>328</v>
      </c>
      <c r="D208" s="13">
        <v>1</v>
      </c>
      <c r="E208" s="13">
        <v>329</v>
      </c>
      <c r="F208" s="13">
        <v>4</v>
      </c>
      <c r="G208" s="13">
        <v>0</v>
      </c>
      <c r="H208" s="13">
        <v>2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664</v>
      </c>
      <c r="O208" s="13">
        <v>0</v>
      </c>
      <c r="P208" s="13">
        <v>2</v>
      </c>
      <c r="Q208" s="13">
        <v>666</v>
      </c>
      <c r="R208" s="13">
        <v>0</v>
      </c>
      <c r="S208" s="13">
        <v>1067</v>
      </c>
      <c r="T208" s="13" t="str">
        <f>VLOOKUP(A208,'[1]210 RAU complete'!$A$1:$E$292,2,0)</f>
        <v>बिलावली</v>
      </c>
      <c r="U208" s="13" t="str">
        <f>VLOOKUP(A208,'[1]210 RAU complete'!$A$1:$E$292,3,0)</f>
        <v>मा.वि. भवन, बिलावली, कमरा नं. 4</v>
      </c>
      <c r="V208" s="13">
        <f t="shared" si="6"/>
        <v>1</v>
      </c>
      <c r="W208" s="15">
        <f t="shared" si="7"/>
        <v>62.417994376757271</v>
      </c>
      <c r="X208" s="16"/>
    </row>
    <row r="209" spans="1:24" x14ac:dyDescent="0.25">
      <c r="A209" s="13">
        <v>209</v>
      </c>
      <c r="B209" s="24" t="s">
        <v>264</v>
      </c>
      <c r="C209" s="13">
        <v>337</v>
      </c>
      <c r="D209" s="13">
        <v>6</v>
      </c>
      <c r="E209" s="13">
        <v>581</v>
      </c>
      <c r="F209" s="13">
        <v>1</v>
      </c>
      <c r="G209" s="13">
        <v>0</v>
      </c>
      <c r="H209" s="13">
        <v>0</v>
      </c>
      <c r="I209" s="13">
        <v>1</v>
      </c>
      <c r="J209" s="13">
        <v>2</v>
      </c>
      <c r="K209" s="13">
        <v>1</v>
      </c>
      <c r="L209" s="13">
        <v>1</v>
      </c>
      <c r="M209" s="13">
        <v>4</v>
      </c>
      <c r="N209" s="13">
        <v>934</v>
      </c>
      <c r="O209" s="13">
        <v>0</v>
      </c>
      <c r="P209" s="13">
        <v>8</v>
      </c>
      <c r="Q209" s="13">
        <v>942</v>
      </c>
      <c r="R209" s="13">
        <v>0</v>
      </c>
      <c r="S209" s="13">
        <v>1195</v>
      </c>
      <c r="T209" s="13" t="str">
        <f>VLOOKUP(A209,'[1]210 RAU complete'!$A$1:$E$292,2,0)</f>
        <v>बिलावली</v>
      </c>
      <c r="U209" s="13" t="str">
        <f>VLOOKUP(A209,'[1]210 RAU complete'!$A$1:$E$292,3,0)</f>
        <v>सांई प्रितमदास गोविंदराम एकेडमी, कमरा नं. 2</v>
      </c>
      <c r="V209" s="13">
        <f t="shared" si="6"/>
        <v>244</v>
      </c>
      <c r="W209" s="15">
        <f t="shared" si="7"/>
        <v>78.828451882845187</v>
      </c>
      <c r="X209" s="16"/>
    </row>
    <row r="210" spans="1:24" x14ac:dyDescent="0.25">
      <c r="A210" s="13">
        <v>210</v>
      </c>
      <c r="B210" s="24" t="s">
        <v>265</v>
      </c>
      <c r="C210" s="13">
        <v>410</v>
      </c>
      <c r="D210" s="13">
        <v>1</v>
      </c>
      <c r="E210" s="13">
        <v>581</v>
      </c>
      <c r="F210" s="13">
        <v>4</v>
      </c>
      <c r="G210" s="13">
        <v>0</v>
      </c>
      <c r="H210" s="13">
        <v>1</v>
      </c>
      <c r="I210" s="13">
        <v>0</v>
      </c>
      <c r="J210" s="13">
        <v>0</v>
      </c>
      <c r="K210" s="13">
        <v>1</v>
      </c>
      <c r="L210" s="13">
        <v>0</v>
      </c>
      <c r="M210" s="13">
        <v>1</v>
      </c>
      <c r="N210" s="13">
        <v>999</v>
      </c>
      <c r="O210" s="13">
        <v>0</v>
      </c>
      <c r="P210" s="13">
        <v>3</v>
      </c>
      <c r="Q210" s="13">
        <v>1002</v>
      </c>
      <c r="R210" s="13">
        <v>0</v>
      </c>
      <c r="S210" s="13">
        <v>1150</v>
      </c>
      <c r="T210" s="13" t="str">
        <f>VLOOKUP(A210,'[1]210 RAU complete'!$A$1:$E$292,2,0)</f>
        <v>लिम्बोदी (खंडवा रोड)</v>
      </c>
      <c r="U210" s="13" t="str">
        <f>VLOOKUP(A210,'[1]210 RAU complete'!$A$1:$E$292,3,0)</f>
        <v>शा.प्रा.वि., लिम्बोदी, कमरा नं. 1</v>
      </c>
      <c r="V210" s="13">
        <f t="shared" si="6"/>
        <v>171</v>
      </c>
      <c r="W210" s="15">
        <f t="shared" si="7"/>
        <v>87.130434782608702</v>
      </c>
      <c r="X210" s="16"/>
    </row>
    <row r="211" spans="1:24" x14ac:dyDescent="0.25">
      <c r="A211" s="13">
        <v>211</v>
      </c>
      <c r="B211" s="24" t="s">
        <v>266</v>
      </c>
      <c r="C211" s="13">
        <v>421</v>
      </c>
      <c r="D211" s="13">
        <v>4</v>
      </c>
      <c r="E211" s="13">
        <v>625</v>
      </c>
      <c r="F211" s="13">
        <v>2</v>
      </c>
      <c r="G211" s="13">
        <v>0</v>
      </c>
      <c r="H211" s="13">
        <v>2</v>
      </c>
      <c r="I211" s="13">
        <v>0</v>
      </c>
      <c r="J211" s="13">
        <v>0</v>
      </c>
      <c r="K211" s="13">
        <v>2</v>
      </c>
      <c r="L211" s="13">
        <v>0</v>
      </c>
      <c r="M211" s="13">
        <v>1</v>
      </c>
      <c r="N211" s="13">
        <v>1057</v>
      </c>
      <c r="O211" s="13">
        <v>0</v>
      </c>
      <c r="P211" s="13">
        <v>5</v>
      </c>
      <c r="Q211" s="13">
        <v>1062</v>
      </c>
      <c r="R211" s="13">
        <v>0</v>
      </c>
      <c r="S211" s="13">
        <v>1256</v>
      </c>
      <c r="T211" s="13" t="str">
        <f>VLOOKUP(A211,'[1]210 RAU complete'!$A$1:$E$292,2,0)</f>
        <v>लिम्बोदी (खंडवा रोड)</v>
      </c>
      <c r="U211" s="13" t="str">
        <f>VLOOKUP(A211,'[1]210 RAU complete'!$A$1:$E$292,3,0)</f>
        <v>क्वीस कॉलेज भवन, लिम्बोदी, खंडवा रोड, कमरा नं. 2</v>
      </c>
      <c r="V211" s="13">
        <f t="shared" si="6"/>
        <v>204</v>
      </c>
      <c r="W211" s="15">
        <f t="shared" si="7"/>
        <v>84.554140127388536</v>
      </c>
      <c r="X211" s="16"/>
    </row>
    <row r="212" spans="1:24" x14ac:dyDescent="0.25">
      <c r="A212" s="13">
        <v>212</v>
      </c>
      <c r="B212" s="24" t="s">
        <v>267</v>
      </c>
      <c r="C212" s="13">
        <v>328</v>
      </c>
      <c r="D212" s="13">
        <v>1</v>
      </c>
      <c r="E212" s="13">
        <v>664</v>
      </c>
      <c r="F212" s="13">
        <v>0</v>
      </c>
      <c r="G212" s="13">
        <v>0</v>
      </c>
      <c r="H212" s="13">
        <v>2</v>
      </c>
      <c r="I212" s="13">
        <v>0</v>
      </c>
      <c r="J212" s="13">
        <v>0</v>
      </c>
      <c r="K212" s="13">
        <v>2</v>
      </c>
      <c r="L212" s="13">
        <v>1</v>
      </c>
      <c r="M212" s="13">
        <v>5</v>
      </c>
      <c r="N212" s="13">
        <v>1003</v>
      </c>
      <c r="O212" s="13">
        <v>0</v>
      </c>
      <c r="P212" s="13">
        <v>11</v>
      </c>
      <c r="Q212" s="13">
        <v>1014</v>
      </c>
      <c r="R212" s="13">
        <v>0</v>
      </c>
      <c r="S212" s="13">
        <v>1533</v>
      </c>
      <c r="T212" s="13" t="str">
        <f>VLOOKUP(A212,'[1]210 RAU complete'!$A$1:$E$292,2,0)</f>
        <v>लिम्बोदी (खंडवा रोड)</v>
      </c>
      <c r="U212" s="13" t="str">
        <f>VLOOKUP(A212,'[1]210 RAU complete'!$A$1:$E$292,3,0)</f>
        <v>शा. पंचायत भवन, लिम्बोदी</v>
      </c>
      <c r="V212" s="13">
        <f t="shared" si="6"/>
        <v>336</v>
      </c>
      <c r="W212" s="15">
        <f t="shared" si="7"/>
        <v>66.144814090019565</v>
      </c>
      <c r="X212" s="16"/>
    </row>
    <row r="213" spans="1:24" x14ac:dyDescent="0.25">
      <c r="A213" s="13">
        <v>213</v>
      </c>
      <c r="B213" s="24" t="s">
        <v>268</v>
      </c>
      <c r="C213" s="13">
        <v>241</v>
      </c>
      <c r="D213" s="13">
        <v>2</v>
      </c>
      <c r="E213" s="13">
        <v>683</v>
      </c>
      <c r="F213" s="13">
        <v>3</v>
      </c>
      <c r="G213" s="13">
        <v>2</v>
      </c>
      <c r="H213" s="13">
        <v>0</v>
      </c>
      <c r="I213" s="13">
        <v>0</v>
      </c>
      <c r="J213" s="13">
        <v>0</v>
      </c>
      <c r="K213" s="13">
        <v>6</v>
      </c>
      <c r="L213" s="13">
        <v>0</v>
      </c>
      <c r="M213" s="13">
        <v>0</v>
      </c>
      <c r="N213" s="13">
        <v>937</v>
      </c>
      <c r="O213" s="13">
        <v>0</v>
      </c>
      <c r="P213" s="13">
        <v>4</v>
      </c>
      <c r="Q213" s="13">
        <v>941</v>
      </c>
      <c r="R213" s="13">
        <v>0</v>
      </c>
      <c r="S213" s="13">
        <v>1312</v>
      </c>
      <c r="T213" s="13" t="str">
        <f>VLOOKUP(A213,'[1]210 RAU complete'!$A$1:$E$292,2,0)</f>
        <v>लिम्बोदी (खंडवा रोड)</v>
      </c>
      <c r="U213" s="13" t="str">
        <f>VLOOKUP(A213,'[1]210 RAU complete'!$A$1:$E$292,3,0)</f>
        <v>शा.प्रा.वि. भवन, लिम्बोदी, क.नं. 2</v>
      </c>
      <c r="V213" s="13">
        <f t="shared" si="6"/>
        <v>442</v>
      </c>
      <c r="W213" s="15">
        <f t="shared" si="7"/>
        <v>71.722560975609767</v>
      </c>
      <c r="X213" s="16"/>
    </row>
    <row r="214" spans="1:24" x14ac:dyDescent="0.25">
      <c r="A214" s="13">
        <v>214</v>
      </c>
      <c r="B214" s="24" t="s">
        <v>269</v>
      </c>
      <c r="C214" s="13">
        <v>377</v>
      </c>
      <c r="D214" s="13">
        <v>6</v>
      </c>
      <c r="E214" s="13">
        <v>591</v>
      </c>
      <c r="F214" s="13">
        <v>1</v>
      </c>
      <c r="G214" s="13">
        <v>1</v>
      </c>
      <c r="H214" s="13">
        <v>2</v>
      </c>
      <c r="I214" s="13">
        <v>0</v>
      </c>
      <c r="J214" s="13">
        <v>3</v>
      </c>
      <c r="K214" s="13">
        <v>4</v>
      </c>
      <c r="L214" s="13">
        <v>1</v>
      </c>
      <c r="M214" s="13">
        <v>0</v>
      </c>
      <c r="N214" s="13">
        <v>986</v>
      </c>
      <c r="O214" s="13">
        <v>0</v>
      </c>
      <c r="P214" s="13">
        <v>5</v>
      </c>
      <c r="Q214" s="13">
        <v>991</v>
      </c>
      <c r="R214" s="13">
        <v>0</v>
      </c>
      <c r="S214" s="13">
        <v>1200</v>
      </c>
      <c r="T214" s="13" t="str">
        <f>VLOOKUP(A214,'[1]210 RAU complete'!$A$1:$E$292,2,0)</f>
        <v>लिम्बोदी (खंडवा रोड)</v>
      </c>
      <c r="U214" s="13" t="str">
        <f>VLOOKUP(A214,'[1]210 RAU complete'!$A$1:$E$292,3,0)</f>
        <v>क्वींस कॉलेज भवन, क.नं. 3, लिम्बोदी</v>
      </c>
      <c r="V214" s="13">
        <f t="shared" si="6"/>
        <v>214</v>
      </c>
      <c r="W214" s="15">
        <f t="shared" si="7"/>
        <v>82.583333333333329</v>
      </c>
      <c r="X214" s="16"/>
    </row>
    <row r="215" spans="1:24" x14ac:dyDescent="0.25">
      <c r="A215" s="13">
        <v>215</v>
      </c>
      <c r="B215" s="24" t="s">
        <v>270</v>
      </c>
      <c r="C215" s="13">
        <v>204</v>
      </c>
      <c r="D215" s="13">
        <v>3</v>
      </c>
      <c r="E215" s="13">
        <v>454</v>
      </c>
      <c r="F215" s="13">
        <v>3</v>
      </c>
      <c r="G215" s="13">
        <v>5</v>
      </c>
      <c r="H215" s="13">
        <v>0</v>
      </c>
      <c r="I215" s="13">
        <v>1</v>
      </c>
      <c r="J215" s="13">
        <v>0</v>
      </c>
      <c r="K215" s="13">
        <v>3</v>
      </c>
      <c r="L215" s="13">
        <v>1</v>
      </c>
      <c r="M215" s="13">
        <v>6</v>
      </c>
      <c r="N215" s="13">
        <v>680</v>
      </c>
      <c r="O215" s="13">
        <v>0</v>
      </c>
      <c r="P215" s="13">
        <v>6</v>
      </c>
      <c r="Q215" s="13">
        <v>686</v>
      </c>
      <c r="R215" s="13">
        <v>0</v>
      </c>
      <c r="S215" s="13">
        <v>728</v>
      </c>
      <c r="T215" s="13" t="str">
        <f>VLOOKUP(A215,'[1]210 RAU complete'!$A$1:$E$292,2,0)</f>
        <v>लिम्बोदी (खंडवा रोड)</v>
      </c>
      <c r="U215" s="13" t="str">
        <f>VLOOKUP(A215,'[1]210 RAU complete'!$A$1:$E$292,3,0)</f>
        <v>क्वींस कॉलेज, कमरा नं. 1</v>
      </c>
      <c r="V215" s="13">
        <f t="shared" si="6"/>
        <v>250</v>
      </c>
      <c r="W215" s="15">
        <f t="shared" si="7"/>
        <v>94.230769230769226</v>
      </c>
      <c r="X215" s="16"/>
    </row>
    <row r="216" spans="1:24" x14ac:dyDescent="0.25">
      <c r="A216" s="13">
        <v>216</v>
      </c>
      <c r="B216" s="24" t="s">
        <v>271</v>
      </c>
      <c r="C216" s="13">
        <v>387</v>
      </c>
      <c r="D216" s="13">
        <v>1</v>
      </c>
      <c r="E216" s="13">
        <v>612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4</v>
      </c>
      <c r="L216" s="13">
        <v>0</v>
      </c>
      <c r="M216" s="13">
        <v>0</v>
      </c>
      <c r="N216" s="13">
        <v>1004</v>
      </c>
      <c r="O216" s="13">
        <v>0</v>
      </c>
      <c r="P216" s="13">
        <v>4</v>
      </c>
      <c r="Q216" s="13">
        <v>1008</v>
      </c>
      <c r="R216" s="13">
        <v>0</v>
      </c>
      <c r="S216" s="13">
        <v>1230</v>
      </c>
      <c r="T216" s="13" t="str">
        <f>VLOOKUP(A216,'[1]210 RAU complete'!$A$1:$E$292,2,0)</f>
        <v>लिम्बोदी (खंडवा रोड)</v>
      </c>
      <c r="U216" s="13" t="str">
        <f>VLOOKUP(A216,'[1]210 RAU complete'!$A$1:$E$292,3,0)</f>
        <v>स्टैंडर्ड पब्लिक स्कूल, कमरा नं. 2</v>
      </c>
      <c r="V216" s="13">
        <f t="shared" si="6"/>
        <v>225</v>
      </c>
      <c r="W216" s="15">
        <f t="shared" si="7"/>
        <v>81.951219512195124</v>
      </c>
      <c r="X216" s="16"/>
    </row>
    <row r="217" spans="1:24" x14ac:dyDescent="0.25">
      <c r="A217" s="13">
        <v>217</v>
      </c>
      <c r="B217" s="24" t="s">
        <v>272</v>
      </c>
      <c r="C217" s="13">
        <v>207</v>
      </c>
      <c r="D217" s="13">
        <v>0</v>
      </c>
      <c r="E217" s="13">
        <v>345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2</v>
      </c>
      <c r="N217" s="13">
        <v>554</v>
      </c>
      <c r="O217" s="13">
        <v>0</v>
      </c>
      <c r="P217" s="13">
        <v>4</v>
      </c>
      <c r="Q217" s="13">
        <v>558</v>
      </c>
      <c r="R217" s="13">
        <v>0</v>
      </c>
      <c r="S217" s="13">
        <v>1338</v>
      </c>
      <c r="T217" s="13" t="str">
        <f>VLOOKUP(A217,'[1]210 RAU complete'!$A$1:$E$292,2,0)</f>
        <v>लिम्बोदी (खंडवा रोड)</v>
      </c>
      <c r="U217" s="13" t="str">
        <f>VLOOKUP(A217,'[1]210 RAU complete'!$A$1:$E$292,3,0)</f>
        <v>शा.मा.वि., कमरा नं. 1, लिम्बोदी</v>
      </c>
      <c r="V217" s="13">
        <f t="shared" si="6"/>
        <v>138</v>
      </c>
      <c r="W217" s="15">
        <f t="shared" si="7"/>
        <v>41.704035874439462</v>
      </c>
      <c r="X217" s="16"/>
    </row>
    <row r="218" spans="1:24" x14ac:dyDescent="0.25">
      <c r="A218" s="13">
        <v>218</v>
      </c>
      <c r="B218" s="24" t="s">
        <v>273</v>
      </c>
      <c r="C218" s="13">
        <v>371</v>
      </c>
      <c r="D218" s="13">
        <v>0</v>
      </c>
      <c r="E218" s="13">
        <v>763</v>
      </c>
      <c r="F218" s="13">
        <v>2</v>
      </c>
      <c r="G218" s="13">
        <v>0</v>
      </c>
      <c r="H218" s="13">
        <v>0</v>
      </c>
      <c r="I218" s="13">
        <v>0</v>
      </c>
      <c r="J218" s="13">
        <v>0</v>
      </c>
      <c r="K218" s="13">
        <v>4</v>
      </c>
      <c r="L218" s="13">
        <v>0</v>
      </c>
      <c r="M218" s="13">
        <v>0</v>
      </c>
      <c r="N218" s="13">
        <v>1140</v>
      </c>
      <c r="O218" s="13">
        <v>0</v>
      </c>
      <c r="P218" s="13">
        <v>4</v>
      </c>
      <c r="Q218" s="13">
        <v>1144</v>
      </c>
      <c r="R218" s="13">
        <v>0</v>
      </c>
      <c r="S218" s="13">
        <v>1381</v>
      </c>
      <c r="T218" s="13" t="str">
        <f>VLOOKUP(A218,'[1]210 RAU complete'!$A$1:$E$292,2,0)</f>
        <v>लिम्बोदी (खंडवा रोड)</v>
      </c>
      <c r="U218" s="13" t="str">
        <f>VLOOKUP(A218,'[1]210 RAU complete'!$A$1:$E$292,3,0)</f>
        <v>शा.मा.वि., कमरा नं. 2, लिम्बोदी</v>
      </c>
      <c r="V218" s="13">
        <f t="shared" si="6"/>
        <v>392</v>
      </c>
      <c r="W218" s="15">
        <f t="shared" si="7"/>
        <v>82.838522809558285</v>
      </c>
      <c r="X218" s="16"/>
    </row>
    <row r="219" spans="1:24" x14ac:dyDescent="0.25">
      <c r="A219" s="13">
        <v>219</v>
      </c>
      <c r="B219" s="24" t="s">
        <v>274</v>
      </c>
      <c r="C219" s="13">
        <v>525</v>
      </c>
      <c r="D219" s="13">
        <v>9</v>
      </c>
      <c r="E219" s="13">
        <v>666</v>
      </c>
      <c r="F219" s="13">
        <v>3</v>
      </c>
      <c r="G219" s="13">
        <v>1</v>
      </c>
      <c r="H219" s="13">
        <v>1</v>
      </c>
      <c r="I219" s="13">
        <v>1</v>
      </c>
      <c r="J219" s="13">
        <v>0</v>
      </c>
      <c r="K219" s="13">
        <v>1</v>
      </c>
      <c r="L219" s="13">
        <v>1</v>
      </c>
      <c r="M219" s="13">
        <v>2</v>
      </c>
      <c r="N219" s="13">
        <v>1210</v>
      </c>
      <c r="O219" s="13">
        <v>0</v>
      </c>
      <c r="P219" s="13">
        <v>16</v>
      </c>
      <c r="Q219" s="13">
        <v>1226</v>
      </c>
      <c r="R219" s="13">
        <v>0</v>
      </c>
      <c r="S219" s="13">
        <v>1335</v>
      </c>
      <c r="T219" s="13" t="str">
        <f>VLOOKUP(A219,'[1]210 RAU complete'!$A$1:$E$292,2,0)</f>
        <v>रालामंडल (ग्रामीण)</v>
      </c>
      <c r="U219" s="13" t="str">
        <f>VLOOKUP(A219,'[1]210 RAU complete'!$A$1:$E$292,3,0)</f>
        <v>शा.मा.वि., भवन, रालामंडल, कमरा नं. 2</v>
      </c>
      <c r="V219" s="13">
        <f t="shared" si="6"/>
        <v>141</v>
      </c>
      <c r="W219" s="15">
        <f t="shared" si="7"/>
        <v>91.835205992509358</v>
      </c>
      <c r="X219" s="16"/>
    </row>
    <row r="220" spans="1:24" x14ac:dyDescent="0.25">
      <c r="A220" s="13">
        <v>220</v>
      </c>
      <c r="B220" s="24" t="s">
        <v>275</v>
      </c>
      <c r="C220" s="13">
        <v>130</v>
      </c>
      <c r="D220" s="13">
        <v>0</v>
      </c>
      <c r="E220" s="13">
        <v>333</v>
      </c>
      <c r="F220" s="13">
        <v>2</v>
      </c>
      <c r="G220" s="13">
        <v>0</v>
      </c>
      <c r="H220" s="13">
        <v>0</v>
      </c>
      <c r="I220" s="13">
        <v>0</v>
      </c>
      <c r="J220" s="13">
        <v>0</v>
      </c>
      <c r="K220" s="13">
        <v>1</v>
      </c>
      <c r="L220" s="13">
        <v>1</v>
      </c>
      <c r="M220" s="13">
        <v>0</v>
      </c>
      <c r="N220" s="13">
        <v>467</v>
      </c>
      <c r="O220" s="13">
        <v>0</v>
      </c>
      <c r="P220" s="13">
        <v>6</v>
      </c>
      <c r="Q220" s="13">
        <v>473</v>
      </c>
      <c r="R220" s="13">
        <v>0</v>
      </c>
      <c r="S220" s="13">
        <v>502</v>
      </c>
      <c r="T220" s="13" t="str">
        <f>VLOOKUP(A220,'[1]210 RAU complete'!$A$1:$E$292,2,0)</f>
        <v>रालामंडल (ग्रामीण)</v>
      </c>
      <c r="U220" s="13" t="str">
        <f>VLOOKUP(A220,'[1]210 RAU complete'!$A$1:$E$292,3,0)</f>
        <v>रूरल इंस्टीट्यूट, कस्तूरबा ग्राम, रालामंडल, कमरा नं. 1</v>
      </c>
      <c r="V220" s="13">
        <f t="shared" si="6"/>
        <v>203</v>
      </c>
      <c r="W220" s="15">
        <f t="shared" si="7"/>
        <v>94.223107569721122</v>
      </c>
      <c r="X220" s="16"/>
    </row>
    <row r="221" spans="1:24" x14ac:dyDescent="0.25">
      <c r="A221" s="17">
        <v>221</v>
      </c>
      <c r="B221" s="24" t="s">
        <v>276</v>
      </c>
      <c r="C221" s="17">
        <v>740</v>
      </c>
      <c r="D221" s="17">
        <v>2</v>
      </c>
      <c r="E221" s="17">
        <v>220</v>
      </c>
      <c r="F221" s="17">
        <v>0</v>
      </c>
      <c r="G221" s="17">
        <v>0</v>
      </c>
      <c r="H221" s="17">
        <v>2</v>
      </c>
      <c r="I221" s="17">
        <v>2</v>
      </c>
      <c r="J221" s="17">
        <v>0</v>
      </c>
      <c r="K221" s="17">
        <v>0</v>
      </c>
      <c r="L221" s="17">
        <v>1</v>
      </c>
      <c r="M221" s="17">
        <v>0</v>
      </c>
      <c r="N221" s="17">
        <v>967</v>
      </c>
      <c r="O221" s="17">
        <v>0</v>
      </c>
      <c r="P221" s="17">
        <v>7</v>
      </c>
      <c r="Q221" s="17">
        <v>974</v>
      </c>
      <c r="R221" s="17">
        <v>0</v>
      </c>
      <c r="S221" s="17">
        <v>1183</v>
      </c>
      <c r="T221" s="13" t="str">
        <f>VLOOKUP(A221,'[1]210 RAU complete'!$A$1:$E$292,2,0)</f>
        <v>मुण्डला नायता</v>
      </c>
      <c r="U221" s="13" t="str">
        <f>VLOOKUP(A221,'[1]210 RAU complete'!$A$1:$E$292,3,0)</f>
        <v>सेंट एलिजाबेथ स्कूल, मुण्डला नायता, क.नं. 3</v>
      </c>
      <c r="V221" s="17">
        <f t="shared" si="6"/>
        <v>520</v>
      </c>
      <c r="W221" s="18">
        <f t="shared" si="7"/>
        <v>82.333051563820788</v>
      </c>
      <c r="X221" s="16"/>
    </row>
    <row r="222" spans="1:24" x14ac:dyDescent="0.25">
      <c r="A222" s="17">
        <v>222</v>
      </c>
      <c r="B222" s="24" t="s">
        <v>277</v>
      </c>
      <c r="C222" s="17">
        <v>595</v>
      </c>
      <c r="D222" s="17">
        <v>6</v>
      </c>
      <c r="E222" s="17">
        <v>259</v>
      </c>
      <c r="F222" s="17">
        <v>2</v>
      </c>
      <c r="G222" s="17">
        <v>0</v>
      </c>
      <c r="H222" s="17">
        <v>1</v>
      </c>
      <c r="I222" s="17">
        <v>1</v>
      </c>
      <c r="J222" s="17">
        <v>0</v>
      </c>
      <c r="K222" s="17">
        <v>1</v>
      </c>
      <c r="L222" s="17">
        <v>0</v>
      </c>
      <c r="M222" s="17">
        <v>2</v>
      </c>
      <c r="N222" s="17">
        <v>867</v>
      </c>
      <c r="O222" s="17">
        <v>0</v>
      </c>
      <c r="P222" s="17">
        <v>3</v>
      </c>
      <c r="Q222" s="17">
        <v>870</v>
      </c>
      <c r="R222" s="17">
        <v>0</v>
      </c>
      <c r="S222" s="17">
        <v>941</v>
      </c>
      <c r="T222" s="13" t="str">
        <f>VLOOKUP(A222,'[1]210 RAU complete'!$A$1:$E$292,2,0)</f>
        <v>मुण्डला नायता</v>
      </c>
      <c r="U222" s="13" t="str">
        <f>VLOOKUP(A222,'[1]210 RAU complete'!$A$1:$E$292,3,0)</f>
        <v>शा.प्रा.वि., क.नं. 3, मुण्डला नायता</v>
      </c>
      <c r="V222" s="17">
        <f t="shared" si="6"/>
        <v>336</v>
      </c>
      <c r="W222" s="18">
        <f t="shared" si="7"/>
        <v>92.454835281615303</v>
      </c>
      <c r="X222" s="16"/>
    </row>
    <row r="223" spans="1:24" x14ac:dyDescent="0.25">
      <c r="A223" s="13">
        <v>223</v>
      </c>
      <c r="B223" s="24" t="s">
        <v>278</v>
      </c>
      <c r="C223" s="13">
        <v>164</v>
      </c>
      <c r="D223" s="13">
        <v>2</v>
      </c>
      <c r="E223" s="13">
        <v>395</v>
      </c>
      <c r="F223" s="13">
        <v>1</v>
      </c>
      <c r="G223" s="13">
        <v>0</v>
      </c>
      <c r="H223" s="13">
        <v>0</v>
      </c>
      <c r="I223" s="13">
        <v>0</v>
      </c>
      <c r="J223" s="13">
        <v>0</v>
      </c>
      <c r="K223" s="13">
        <v>5</v>
      </c>
      <c r="L223" s="13">
        <v>1</v>
      </c>
      <c r="M223" s="13">
        <v>0</v>
      </c>
      <c r="N223" s="13">
        <v>568</v>
      </c>
      <c r="O223" s="13">
        <v>0</v>
      </c>
      <c r="P223" s="13">
        <v>7</v>
      </c>
      <c r="Q223" s="13">
        <v>575</v>
      </c>
      <c r="R223" s="13">
        <v>0</v>
      </c>
      <c r="S223" s="13">
        <v>1392</v>
      </c>
      <c r="T223" s="13" t="str">
        <f>VLOOKUP(A223,'[1]210 RAU complete'!$A$1:$E$292,2,0)</f>
        <v>मुण्डला नायता</v>
      </c>
      <c r="U223" s="13" t="str">
        <f>VLOOKUP(A223,'[1]210 RAU complete'!$A$1:$E$292,3,0)</f>
        <v>माता गुजरी गर्ल्स पब्लिक स्कूल, नायता मुण्डला</v>
      </c>
      <c r="V223" s="13">
        <f t="shared" si="6"/>
        <v>231</v>
      </c>
      <c r="W223" s="15">
        <f t="shared" si="7"/>
        <v>41.30747126436782</v>
      </c>
      <c r="X223" s="16"/>
    </row>
    <row r="224" spans="1:24" x14ac:dyDescent="0.25">
      <c r="A224" s="17">
        <v>224</v>
      </c>
      <c r="B224" s="24" t="s">
        <v>279</v>
      </c>
      <c r="C224" s="17">
        <v>691</v>
      </c>
      <c r="D224" s="17">
        <v>1</v>
      </c>
      <c r="E224" s="17">
        <v>145</v>
      </c>
      <c r="F224" s="17">
        <v>1</v>
      </c>
      <c r="G224" s="17">
        <v>0</v>
      </c>
      <c r="H224" s="17">
        <v>2</v>
      </c>
      <c r="I224" s="17">
        <v>1</v>
      </c>
      <c r="J224" s="17">
        <v>1</v>
      </c>
      <c r="K224" s="17">
        <v>0</v>
      </c>
      <c r="L224" s="17">
        <v>1</v>
      </c>
      <c r="M224" s="17">
        <v>1</v>
      </c>
      <c r="N224" s="17">
        <v>844</v>
      </c>
      <c r="O224" s="17">
        <v>0</v>
      </c>
      <c r="P224" s="17">
        <v>2</v>
      </c>
      <c r="Q224" s="17">
        <v>846</v>
      </c>
      <c r="R224" s="17">
        <v>0</v>
      </c>
      <c r="S224" s="17">
        <v>1330</v>
      </c>
      <c r="T224" s="13" t="str">
        <f>VLOOKUP(A224,'[1]210 RAU complete'!$A$1:$E$292,2,0)</f>
        <v>मुण्डला नायता</v>
      </c>
      <c r="U224" s="13" t="str">
        <f>VLOOKUP(A224,'[1]210 RAU complete'!$A$1:$E$292,3,0)</f>
        <v>शा.प्रा.वि. भवन, क.नं. 2, मुण्डला नायता</v>
      </c>
      <c r="V224" s="17">
        <f t="shared" si="6"/>
        <v>546</v>
      </c>
      <c r="W224" s="18">
        <f t="shared" si="7"/>
        <v>63.609022556390983</v>
      </c>
      <c r="X224" s="16"/>
    </row>
    <row r="225" spans="1:24" x14ac:dyDescent="0.25">
      <c r="A225" s="17">
        <v>225</v>
      </c>
      <c r="B225" s="24" t="s">
        <v>280</v>
      </c>
      <c r="C225" s="17">
        <v>749</v>
      </c>
      <c r="D225" s="17">
        <v>4</v>
      </c>
      <c r="E225" s="17">
        <v>315</v>
      </c>
      <c r="F225" s="17">
        <v>1</v>
      </c>
      <c r="G225" s="17">
        <v>0</v>
      </c>
      <c r="H225" s="17">
        <v>1</v>
      </c>
      <c r="I225" s="17">
        <v>2</v>
      </c>
      <c r="J225" s="17">
        <v>0</v>
      </c>
      <c r="K225" s="17">
        <v>0</v>
      </c>
      <c r="L225" s="17">
        <v>2</v>
      </c>
      <c r="M225" s="17">
        <v>2</v>
      </c>
      <c r="N225" s="17">
        <v>1076</v>
      </c>
      <c r="O225" s="17">
        <v>0</v>
      </c>
      <c r="P225" s="17">
        <v>6</v>
      </c>
      <c r="Q225" s="17">
        <v>1082</v>
      </c>
      <c r="R225" s="17">
        <v>0</v>
      </c>
      <c r="S225" s="17">
        <v>1375</v>
      </c>
      <c r="T225" s="13" t="str">
        <f>VLOOKUP(A225,'[1]210 RAU complete'!$A$1:$E$292,2,0)</f>
        <v>मुण्डला नायता</v>
      </c>
      <c r="U225" s="13" t="str">
        <f>VLOOKUP(A225,'[1]210 RAU complete'!$A$1:$E$292,3,0)</f>
        <v>सेंट एलिजाबेथ स्कूल, क.नं. 1, मुण्डला नायता</v>
      </c>
      <c r="V225" s="17">
        <f t="shared" si="6"/>
        <v>434</v>
      </c>
      <c r="W225" s="18">
        <f t="shared" si="7"/>
        <v>78.690909090909088</v>
      </c>
      <c r="X225" s="16"/>
    </row>
    <row r="226" spans="1:24" x14ac:dyDescent="0.25">
      <c r="A226" s="17">
        <v>226</v>
      </c>
      <c r="B226" s="24" t="s">
        <v>281</v>
      </c>
      <c r="C226" s="17">
        <v>912</v>
      </c>
      <c r="D226" s="17">
        <v>6</v>
      </c>
      <c r="E226" s="17">
        <v>156</v>
      </c>
      <c r="F226" s="17">
        <v>0</v>
      </c>
      <c r="G226" s="17">
        <v>0</v>
      </c>
      <c r="H226" s="17">
        <v>1</v>
      </c>
      <c r="I226" s="17">
        <v>4</v>
      </c>
      <c r="J226" s="17">
        <v>0</v>
      </c>
      <c r="K226" s="17">
        <v>0</v>
      </c>
      <c r="L226" s="17">
        <v>0</v>
      </c>
      <c r="M226" s="17">
        <v>1</v>
      </c>
      <c r="N226" s="17">
        <v>1080</v>
      </c>
      <c r="O226" s="17">
        <v>0</v>
      </c>
      <c r="P226" s="17">
        <v>6</v>
      </c>
      <c r="Q226" s="17">
        <v>1086</v>
      </c>
      <c r="R226" s="17">
        <v>0</v>
      </c>
      <c r="S226" s="17">
        <v>1444</v>
      </c>
      <c r="T226" s="13" t="str">
        <f>VLOOKUP(A226,'[1]210 RAU complete'!$A$1:$E$292,2,0)</f>
        <v>मुण्डला नायता</v>
      </c>
      <c r="U226" s="13" t="str">
        <f>VLOOKUP(A226,'[1]210 RAU complete'!$A$1:$E$292,3,0)</f>
        <v>सेंट एलिजाबेथ स्कूल, क.नं. 2, मुण्डला नायता</v>
      </c>
      <c r="V226" s="17">
        <f t="shared" si="6"/>
        <v>756</v>
      </c>
      <c r="W226" s="18">
        <f t="shared" si="7"/>
        <v>75.20775623268699</v>
      </c>
      <c r="X226" s="16"/>
    </row>
    <row r="227" spans="1:24" x14ac:dyDescent="0.25">
      <c r="A227" s="13">
        <v>227</v>
      </c>
      <c r="B227" s="24" t="s">
        <v>282</v>
      </c>
      <c r="C227" s="13">
        <v>178</v>
      </c>
      <c r="D227" s="13">
        <v>3</v>
      </c>
      <c r="E227" s="13">
        <v>320</v>
      </c>
      <c r="F227" s="13">
        <v>2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1</v>
      </c>
      <c r="N227" s="13">
        <v>505</v>
      </c>
      <c r="O227" s="13">
        <v>0</v>
      </c>
      <c r="P227" s="13">
        <v>2</v>
      </c>
      <c r="Q227" s="13">
        <v>507</v>
      </c>
      <c r="R227" s="13">
        <v>0</v>
      </c>
      <c r="S227" s="13">
        <v>1235</v>
      </c>
      <c r="T227" s="13" t="str">
        <f>VLOOKUP(A227,'[1]210 RAU complete'!$A$1:$E$292,2,0)</f>
        <v>पालदा</v>
      </c>
      <c r="U227" s="13" t="str">
        <f>VLOOKUP(A227,'[1]210 RAU complete'!$A$1:$E$292,3,0)</f>
        <v>शा.मा.वि. भवन, तेजाजी चौक, क.नं. 2</v>
      </c>
      <c r="V227" s="13">
        <f t="shared" si="6"/>
        <v>142</v>
      </c>
      <c r="W227" s="15">
        <f t="shared" si="7"/>
        <v>41.05263157894737</v>
      </c>
      <c r="X227" s="16"/>
    </row>
    <row r="228" spans="1:24" x14ac:dyDescent="0.25">
      <c r="A228" s="13">
        <v>228</v>
      </c>
      <c r="B228" s="24" t="s">
        <v>283</v>
      </c>
      <c r="C228" s="13">
        <v>264</v>
      </c>
      <c r="D228" s="13">
        <v>7</v>
      </c>
      <c r="E228" s="13">
        <v>364</v>
      </c>
      <c r="F228" s="13">
        <v>3</v>
      </c>
      <c r="G228" s="13">
        <v>0</v>
      </c>
      <c r="H228" s="13">
        <v>1</v>
      </c>
      <c r="I228" s="13">
        <v>0</v>
      </c>
      <c r="J228" s="13">
        <v>1</v>
      </c>
      <c r="K228" s="13">
        <v>1</v>
      </c>
      <c r="L228" s="13">
        <v>2</v>
      </c>
      <c r="M228" s="13">
        <v>1</v>
      </c>
      <c r="N228" s="13">
        <v>644</v>
      </c>
      <c r="O228" s="13">
        <v>0</v>
      </c>
      <c r="P228" s="13">
        <v>3</v>
      </c>
      <c r="Q228" s="13">
        <v>647</v>
      </c>
      <c r="R228" s="13">
        <v>0</v>
      </c>
      <c r="S228" s="13">
        <v>1309</v>
      </c>
      <c r="T228" s="13" t="str">
        <f>VLOOKUP(A228,'[1]210 RAU complete'!$A$1:$E$292,2,0)</f>
        <v>पालदा</v>
      </c>
      <c r="U228" s="13" t="str">
        <f>VLOOKUP(A228,'[1]210 RAU complete'!$A$1:$E$292,3,0)</f>
        <v>शा.मा.वि. भवन, तेजाजी चौक, क.नं. 3</v>
      </c>
      <c r="V228" s="13">
        <f t="shared" si="6"/>
        <v>100</v>
      </c>
      <c r="W228" s="15">
        <f t="shared" si="7"/>
        <v>49.427043544690605</v>
      </c>
      <c r="X228" s="16"/>
    </row>
    <row r="229" spans="1:24" x14ac:dyDescent="0.25">
      <c r="A229" s="13">
        <v>229</v>
      </c>
      <c r="B229" s="24" t="s">
        <v>284</v>
      </c>
      <c r="C229" s="13">
        <v>169</v>
      </c>
      <c r="D229" s="13">
        <v>1</v>
      </c>
      <c r="E229" s="13">
        <v>496</v>
      </c>
      <c r="F229" s="13">
        <v>3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1</v>
      </c>
      <c r="N229" s="13">
        <v>670</v>
      </c>
      <c r="O229" s="13">
        <v>0</v>
      </c>
      <c r="P229" s="13">
        <v>5</v>
      </c>
      <c r="Q229" s="13">
        <v>675</v>
      </c>
      <c r="R229" s="13">
        <v>0</v>
      </c>
      <c r="S229" s="13">
        <v>1336</v>
      </c>
      <c r="T229" s="13" t="str">
        <f>VLOOKUP(A229,'[1]210 RAU complete'!$A$1:$E$292,2,0)</f>
        <v>पालदा</v>
      </c>
      <c r="U229" s="13" t="str">
        <f>VLOOKUP(A229,'[1]210 RAU complete'!$A$1:$E$292,3,0)</f>
        <v xml:space="preserve">लायनेस विद्या विहार पालदा कमरा नं. 1 </v>
      </c>
      <c r="V229" s="13">
        <f t="shared" si="6"/>
        <v>327</v>
      </c>
      <c r="W229" s="15">
        <f t="shared" si="7"/>
        <v>50.52395209580839</v>
      </c>
      <c r="X229" s="16"/>
    </row>
    <row r="230" spans="1:24" x14ac:dyDescent="0.25">
      <c r="A230" s="13">
        <v>230</v>
      </c>
      <c r="B230" s="24" t="s">
        <v>285</v>
      </c>
      <c r="C230" s="13">
        <v>245</v>
      </c>
      <c r="D230" s="13">
        <v>3</v>
      </c>
      <c r="E230" s="13">
        <v>755</v>
      </c>
      <c r="F230" s="13">
        <v>7</v>
      </c>
      <c r="G230" s="13">
        <v>0</v>
      </c>
      <c r="H230" s="13">
        <v>0</v>
      </c>
      <c r="I230" s="13">
        <v>0</v>
      </c>
      <c r="J230" s="13">
        <v>0</v>
      </c>
      <c r="K230" s="13">
        <v>2</v>
      </c>
      <c r="L230" s="13">
        <v>3</v>
      </c>
      <c r="M230" s="13">
        <v>2</v>
      </c>
      <c r="N230" s="13">
        <v>1017</v>
      </c>
      <c r="O230" s="13">
        <v>0</v>
      </c>
      <c r="P230" s="13">
        <v>7</v>
      </c>
      <c r="Q230" s="13">
        <v>1024</v>
      </c>
      <c r="R230" s="13">
        <v>0</v>
      </c>
      <c r="S230" s="13">
        <v>1217</v>
      </c>
      <c r="T230" s="13" t="str">
        <f>VLOOKUP(A230,'[1]210 RAU complete'!$A$1:$E$292,2,0)</f>
        <v>पालदा</v>
      </c>
      <c r="U230" s="13" t="str">
        <f>VLOOKUP(A230,'[1]210 RAU complete'!$A$1:$E$292,3,0)</f>
        <v>लायनेस विद्या विहार, पालदा कमरा नं. 2</v>
      </c>
      <c r="V230" s="13">
        <f t="shared" si="6"/>
        <v>510</v>
      </c>
      <c r="W230" s="15">
        <f t="shared" si="7"/>
        <v>84.141331142152836</v>
      </c>
      <c r="X230" s="16"/>
    </row>
    <row r="231" spans="1:24" x14ac:dyDescent="0.25">
      <c r="A231" s="13">
        <v>231</v>
      </c>
      <c r="B231" s="24" t="s">
        <v>286</v>
      </c>
      <c r="C231" s="13">
        <v>225</v>
      </c>
      <c r="D231" s="13">
        <v>5</v>
      </c>
      <c r="E231" s="13">
        <v>377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2</v>
      </c>
      <c r="L231" s="13">
        <v>0</v>
      </c>
      <c r="M231" s="13">
        <v>0</v>
      </c>
      <c r="N231" s="13">
        <v>609</v>
      </c>
      <c r="O231" s="13">
        <v>0</v>
      </c>
      <c r="P231" s="13">
        <v>0</v>
      </c>
      <c r="Q231" s="13">
        <v>609</v>
      </c>
      <c r="R231" s="13">
        <v>0</v>
      </c>
      <c r="S231" s="13">
        <v>1207</v>
      </c>
      <c r="T231" s="13" t="str">
        <f>VLOOKUP(A231,'[1]210 RAU complete'!$A$1:$E$292,2,0)</f>
        <v>पालदा</v>
      </c>
      <c r="U231" s="13" t="str">
        <f>VLOOKUP(A231,'[1]210 RAU complete'!$A$1:$E$292,3,0)</f>
        <v>लायनेस विद्या विहार, पालदा कमरा नं. 3</v>
      </c>
      <c r="V231" s="13">
        <f t="shared" si="6"/>
        <v>152</v>
      </c>
      <c r="W231" s="15">
        <f t="shared" si="7"/>
        <v>50.455675227837617</v>
      </c>
      <c r="X231" s="16"/>
    </row>
    <row r="232" spans="1:24" x14ac:dyDescent="0.25">
      <c r="A232" s="13">
        <v>232</v>
      </c>
      <c r="B232" s="24" t="s">
        <v>287</v>
      </c>
      <c r="C232" s="13">
        <v>170</v>
      </c>
      <c r="D232" s="13">
        <v>2</v>
      </c>
      <c r="E232" s="13">
        <v>495</v>
      </c>
      <c r="F232" s="13">
        <v>1</v>
      </c>
      <c r="G232" s="13">
        <v>0</v>
      </c>
      <c r="H232" s="13">
        <v>0</v>
      </c>
      <c r="I232" s="13">
        <v>1</v>
      </c>
      <c r="J232" s="13">
        <v>0</v>
      </c>
      <c r="K232" s="13">
        <v>2</v>
      </c>
      <c r="L232" s="13">
        <v>1</v>
      </c>
      <c r="M232" s="13">
        <v>0</v>
      </c>
      <c r="N232" s="13">
        <v>672</v>
      </c>
      <c r="O232" s="13">
        <v>0</v>
      </c>
      <c r="P232" s="13">
        <v>2</v>
      </c>
      <c r="Q232" s="13">
        <v>674</v>
      </c>
      <c r="R232" s="13">
        <v>0</v>
      </c>
      <c r="S232" s="13">
        <v>1412</v>
      </c>
      <c r="T232" s="13" t="str">
        <f>VLOOKUP(A232,'[1]210 RAU complete'!$A$1:$E$292,2,0)</f>
        <v>पालदा</v>
      </c>
      <c r="U232" s="13" t="str">
        <f>VLOOKUP(A232,'[1]210 RAU complete'!$A$1:$E$292,3,0)</f>
        <v>लायनेस विद्या विहार, पालदा कमरा नं. 4</v>
      </c>
      <c r="V232" s="13">
        <f t="shared" si="6"/>
        <v>325</v>
      </c>
      <c r="W232" s="15">
        <f t="shared" si="7"/>
        <v>47.733711048158639</v>
      </c>
      <c r="X232" s="16"/>
    </row>
    <row r="233" spans="1:24" x14ac:dyDescent="0.25">
      <c r="A233" s="13">
        <v>233</v>
      </c>
      <c r="B233" s="24" t="s">
        <v>288</v>
      </c>
      <c r="C233" s="13">
        <v>298</v>
      </c>
      <c r="D233" s="13">
        <v>3</v>
      </c>
      <c r="E233" s="13">
        <v>603</v>
      </c>
      <c r="F233" s="13">
        <v>6</v>
      </c>
      <c r="G233" s="13">
        <v>0</v>
      </c>
      <c r="H233" s="13">
        <v>0</v>
      </c>
      <c r="I233" s="13">
        <v>0</v>
      </c>
      <c r="J233" s="13">
        <v>1</v>
      </c>
      <c r="K233" s="13">
        <v>1</v>
      </c>
      <c r="L233" s="13">
        <v>2</v>
      </c>
      <c r="M233" s="13">
        <v>0</v>
      </c>
      <c r="N233" s="13">
        <v>914</v>
      </c>
      <c r="O233" s="13">
        <v>0</v>
      </c>
      <c r="P233" s="13">
        <v>3</v>
      </c>
      <c r="Q233" s="13">
        <v>917</v>
      </c>
      <c r="R233" s="13">
        <v>0</v>
      </c>
      <c r="S233" s="13">
        <v>1388</v>
      </c>
      <c r="T233" s="13" t="str">
        <f>VLOOKUP(A233,'[1]210 RAU complete'!$A$1:$E$292,2,0)</f>
        <v>पालदा</v>
      </c>
      <c r="U233" s="13" t="str">
        <f>VLOOKUP(A233,'[1]210 RAU complete'!$A$1:$E$292,3,0)</f>
        <v>शा.प्रा.वि. भवन, कुम्हार भट्टी, पालदा, कमरा नं. 1</v>
      </c>
      <c r="V233" s="13">
        <f t="shared" si="6"/>
        <v>305</v>
      </c>
      <c r="W233" s="15">
        <f t="shared" si="7"/>
        <v>66.066282420749275</v>
      </c>
      <c r="X233" s="16"/>
    </row>
    <row r="234" spans="1:24" x14ac:dyDescent="0.25">
      <c r="A234" s="13">
        <v>234</v>
      </c>
      <c r="B234" s="24" t="s">
        <v>289</v>
      </c>
      <c r="C234" s="13">
        <v>308</v>
      </c>
      <c r="D234" s="13">
        <v>2</v>
      </c>
      <c r="E234" s="13">
        <v>471</v>
      </c>
      <c r="F234" s="13">
        <v>1</v>
      </c>
      <c r="G234" s="13">
        <v>0</v>
      </c>
      <c r="H234" s="13">
        <v>4</v>
      </c>
      <c r="I234" s="13">
        <v>1</v>
      </c>
      <c r="J234" s="13">
        <v>2</v>
      </c>
      <c r="K234" s="13">
        <v>0</v>
      </c>
      <c r="L234" s="13">
        <v>3</v>
      </c>
      <c r="M234" s="13">
        <v>3</v>
      </c>
      <c r="N234" s="13">
        <v>795</v>
      </c>
      <c r="O234" s="13">
        <v>0</v>
      </c>
      <c r="P234" s="13">
        <v>6</v>
      </c>
      <c r="Q234" s="13">
        <v>801</v>
      </c>
      <c r="R234" s="13">
        <v>0</v>
      </c>
      <c r="S234" s="13">
        <v>1317</v>
      </c>
      <c r="T234" s="13" t="str">
        <f>VLOOKUP(A234,'[1]210 RAU complete'!$A$1:$E$292,2,0)</f>
        <v>पालदा</v>
      </c>
      <c r="U234" s="13" t="str">
        <f>VLOOKUP(A234,'[1]210 RAU complete'!$A$1:$E$292,3,0)</f>
        <v>शा.प्रा.वि., भावना नगर, कमरा नं. 1</v>
      </c>
      <c r="V234" s="13">
        <f t="shared" si="6"/>
        <v>163</v>
      </c>
      <c r="W234" s="15">
        <f t="shared" si="7"/>
        <v>60.820045558086555</v>
      </c>
      <c r="X234" s="16"/>
    </row>
    <row r="235" spans="1:24" x14ac:dyDescent="0.25">
      <c r="A235" s="13">
        <v>235</v>
      </c>
      <c r="B235" s="24" t="s">
        <v>290</v>
      </c>
      <c r="C235" s="13">
        <v>302</v>
      </c>
      <c r="D235" s="13">
        <v>2</v>
      </c>
      <c r="E235" s="13">
        <v>381</v>
      </c>
      <c r="F235" s="13">
        <v>2</v>
      </c>
      <c r="G235" s="13">
        <v>0</v>
      </c>
      <c r="H235" s="13">
        <v>0</v>
      </c>
      <c r="I235" s="13">
        <v>1</v>
      </c>
      <c r="J235" s="13">
        <v>0</v>
      </c>
      <c r="K235" s="13">
        <v>1</v>
      </c>
      <c r="L235" s="13">
        <v>0</v>
      </c>
      <c r="M235" s="13">
        <v>3</v>
      </c>
      <c r="N235" s="13">
        <v>692</v>
      </c>
      <c r="O235" s="13">
        <v>0</v>
      </c>
      <c r="P235" s="13">
        <v>4</v>
      </c>
      <c r="Q235" s="13">
        <v>696</v>
      </c>
      <c r="R235" s="13">
        <v>0</v>
      </c>
      <c r="S235" s="13">
        <v>929</v>
      </c>
      <c r="T235" s="13" t="str">
        <f>VLOOKUP(A235,'[1]210 RAU complete'!$A$1:$E$292,2,0)</f>
        <v>पालदा</v>
      </c>
      <c r="U235" s="13" t="str">
        <f>VLOOKUP(A235,'[1]210 RAU complete'!$A$1:$E$292,3,0)</f>
        <v>विद्या चिल्ड्रन स्कूल, पालदा, कमरा नं. 1</v>
      </c>
      <c r="V235" s="13">
        <f t="shared" si="6"/>
        <v>79</v>
      </c>
      <c r="W235" s="15">
        <f t="shared" si="7"/>
        <v>74.919268030139946</v>
      </c>
      <c r="X235" s="16"/>
    </row>
    <row r="236" spans="1:24" x14ac:dyDescent="0.25">
      <c r="A236" s="13">
        <v>236</v>
      </c>
      <c r="B236" s="24" t="s">
        <v>291</v>
      </c>
      <c r="C236" s="13">
        <v>135</v>
      </c>
      <c r="D236" s="13">
        <v>3</v>
      </c>
      <c r="E236" s="13">
        <v>465</v>
      </c>
      <c r="F236" s="13">
        <v>5</v>
      </c>
      <c r="G236" s="13">
        <v>0</v>
      </c>
      <c r="H236" s="13">
        <v>3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611</v>
      </c>
      <c r="O236" s="13">
        <v>0</v>
      </c>
      <c r="P236" s="13">
        <v>4</v>
      </c>
      <c r="Q236" s="13">
        <v>615</v>
      </c>
      <c r="R236" s="13">
        <v>0</v>
      </c>
      <c r="S236" s="13">
        <v>1191</v>
      </c>
      <c r="T236" s="13" t="str">
        <f>VLOOKUP(A236,'[1]210 RAU complete'!$A$1:$E$292,2,0)</f>
        <v>पालदा</v>
      </c>
      <c r="U236" s="13" t="str">
        <f>VLOOKUP(A236,'[1]210 RAU complete'!$A$1:$E$292,3,0)</f>
        <v>विद्या चिल्ड्रन स्कूल, पालदा, कमरा नं. 2</v>
      </c>
      <c r="V236" s="13">
        <f t="shared" si="6"/>
        <v>330</v>
      </c>
      <c r="W236" s="15">
        <f t="shared" si="7"/>
        <v>51.637279596977322</v>
      </c>
      <c r="X236" s="16"/>
    </row>
    <row r="237" spans="1:24" x14ac:dyDescent="0.25">
      <c r="A237" s="13">
        <v>237</v>
      </c>
      <c r="B237" s="24" t="s">
        <v>292</v>
      </c>
      <c r="C237" s="13">
        <v>291</v>
      </c>
      <c r="D237" s="13">
        <v>5</v>
      </c>
      <c r="E237" s="13">
        <v>707</v>
      </c>
      <c r="F237" s="13">
        <v>1</v>
      </c>
      <c r="G237" s="13">
        <v>1</v>
      </c>
      <c r="H237" s="13">
        <v>0</v>
      </c>
      <c r="I237" s="13">
        <v>0</v>
      </c>
      <c r="J237" s="13">
        <v>2</v>
      </c>
      <c r="K237" s="13">
        <v>3</v>
      </c>
      <c r="L237" s="13">
        <v>4</v>
      </c>
      <c r="M237" s="13">
        <v>3</v>
      </c>
      <c r="N237" s="13">
        <v>1017</v>
      </c>
      <c r="O237" s="13">
        <v>0</v>
      </c>
      <c r="P237" s="13">
        <v>10</v>
      </c>
      <c r="Q237" s="13">
        <v>1027</v>
      </c>
      <c r="R237" s="13">
        <v>0</v>
      </c>
      <c r="S237" s="13">
        <v>1377</v>
      </c>
      <c r="T237" s="13" t="str">
        <f>VLOOKUP(A237,'[1]210 RAU complete'!$A$1:$E$292,2,0)</f>
        <v>पालदा वैद्य नगर</v>
      </c>
      <c r="U237" s="13" t="str">
        <f>VLOOKUP(A237,'[1]210 RAU complete'!$A$1:$E$292,3,0)</f>
        <v>सीतादेवी मल्टी पर्पस स्कूल, पालदा, कमरा नं. 1</v>
      </c>
      <c r="V237" s="13">
        <f t="shared" si="6"/>
        <v>416</v>
      </c>
      <c r="W237" s="15">
        <f t="shared" si="7"/>
        <v>74.582425562817718</v>
      </c>
      <c r="X237" s="16"/>
    </row>
    <row r="238" spans="1:24" x14ac:dyDescent="0.25">
      <c r="A238" s="13">
        <v>238</v>
      </c>
      <c r="B238" s="24" t="s">
        <v>293</v>
      </c>
      <c r="C238" s="13">
        <v>252</v>
      </c>
      <c r="D238" s="13">
        <v>2</v>
      </c>
      <c r="E238" s="13">
        <v>600</v>
      </c>
      <c r="F238" s="13">
        <v>3</v>
      </c>
      <c r="G238" s="13">
        <v>1</v>
      </c>
      <c r="H238" s="13">
        <v>0</v>
      </c>
      <c r="I238" s="13">
        <v>1</v>
      </c>
      <c r="J238" s="13">
        <v>1</v>
      </c>
      <c r="K238" s="13">
        <v>1</v>
      </c>
      <c r="L238" s="13">
        <v>1</v>
      </c>
      <c r="M238" s="13">
        <v>1</v>
      </c>
      <c r="N238" s="13">
        <v>863</v>
      </c>
      <c r="O238" s="13">
        <v>0</v>
      </c>
      <c r="P238" s="13">
        <v>8</v>
      </c>
      <c r="Q238" s="13">
        <v>871</v>
      </c>
      <c r="R238" s="13">
        <v>0</v>
      </c>
      <c r="S238" s="13">
        <v>1466</v>
      </c>
      <c r="T238" s="13" t="str">
        <f>VLOOKUP(A238,'[1]210 RAU complete'!$A$1:$E$292,2,0)</f>
        <v>पालदा वैद्य नगर</v>
      </c>
      <c r="U238" s="13" t="str">
        <f>VLOOKUP(A238,'[1]210 RAU complete'!$A$1:$E$292,3,0)</f>
        <v>सीतादेवी मल्टी पर्पस स्कूल, पालदा, कमरा नं. 2</v>
      </c>
      <c r="V238" s="13">
        <f t="shared" si="6"/>
        <v>348</v>
      </c>
      <c r="W238" s="15">
        <f t="shared" si="7"/>
        <v>59.413369713506135</v>
      </c>
      <c r="X238" s="16"/>
    </row>
    <row r="239" spans="1:24" x14ac:dyDescent="0.25">
      <c r="A239" s="13">
        <v>239</v>
      </c>
      <c r="B239" s="24" t="s">
        <v>294</v>
      </c>
      <c r="C239" s="13">
        <v>450</v>
      </c>
      <c r="D239" s="13">
        <v>5</v>
      </c>
      <c r="E239" s="13">
        <v>602</v>
      </c>
      <c r="F239" s="13">
        <v>3</v>
      </c>
      <c r="G239" s="13">
        <v>3</v>
      </c>
      <c r="H239" s="13">
        <v>2</v>
      </c>
      <c r="I239" s="13">
        <v>0</v>
      </c>
      <c r="J239" s="13">
        <v>2</v>
      </c>
      <c r="K239" s="13">
        <v>1</v>
      </c>
      <c r="L239" s="13">
        <v>3</v>
      </c>
      <c r="M239" s="13">
        <v>1</v>
      </c>
      <c r="N239" s="13">
        <v>1072</v>
      </c>
      <c r="O239" s="13">
        <v>0</v>
      </c>
      <c r="P239" s="13">
        <v>11</v>
      </c>
      <c r="Q239" s="13">
        <v>1083</v>
      </c>
      <c r="R239" s="13">
        <v>0</v>
      </c>
      <c r="S239" s="13">
        <v>1205</v>
      </c>
      <c r="T239" s="13" t="str">
        <f>VLOOKUP(A239,'[1]210 RAU complete'!$A$1:$E$292,2,0)</f>
        <v>पालदा</v>
      </c>
      <c r="U239" s="13" t="str">
        <f>VLOOKUP(A239,'[1]210 RAU complete'!$A$1:$E$292,3,0)</f>
        <v>शा.मा.वि. भवन, भावना नगर, कमरा नं. 3</v>
      </c>
      <c r="V239" s="13">
        <f t="shared" si="6"/>
        <v>152</v>
      </c>
      <c r="W239" s="15">
        <f t="shared" si="7"/>
        <v>89.875518672199178</v>
      </c>
      <c r="X239" s="16"/>
    </row>
    <row r="240" spans="1:24" x14ac:dyDescent="0.25">
      <c r="A240" s="13">
        <v>240</v>
      </c>
      <c r="B240" s="24" t="s">
        <v>295</v>
      </c>
      <c r="C240" s="13">
        <v>391</v>
      </c>
      <c r="D240" s="13">
        <v>2</v>
      </c>
      <c r="E240" s="13">
        <v>743</v>
      </c>
      <c r="F240" s="13">
        <v>3</v>
      </c>
      <c r="G240" s="13">
        <v>1</v>
      </c>
      <c r="H240" s="13">
        <v>2</v>
      </c>
      <c r="I240" s="13">
        <v>0</v>
      </c>
      <c r="J240" s="13">
        <v>0</v>
      </c>
      <c r="K240" s="13">
        <v>2</v>
      </c>
      <c r="L240" s="13">
        <v>0</v>
      </c>
      <c r="M240" s="13">
        <v>1</v>
      </c>
      <c r="N240" s="13">
        <v>1145</v>
      </c>
      <c r="O240" s="13">
        <v>0</v>
      </c>
      <c r="P240" s="13">
        <v>10</v>
      </c>
      <c r="Q240" s="13">
        <v>1155</v>
      </c>
      <c r="R240" s="13">
        <v>0</v>
      </c>
      <c r="S240" s="13">
        <v>1499</v>
      </c>
      <c r="T240" s="13" t="str">
        <f>VLOOKUP(A240,'[1]210 RAU complete'!$A$1:$E$292,2,0)</f>
        <v>दुधिया</v>
      </c>
      <c r="U240" s="13" t="str">
        <f>VLOOKUP(A240,'[1]210 RAU complete'!$A$1:$E$292,3,0)</f>
        <v>शा.मा.वि. भवन, कमरा नं. 1, दुधिया</v>
      </c>
      <c r="V240" s="13">
        <f t="shared" si="6"/>
        <v>352</v>
      </c>
      <c r="W240" s="15">
        <f t="shared" si="7"/>
        <v>77.051367578385594</v>
      </c>
      <c r="X240" s="16"/>
    </row>
    <row r="241" spans="1:24" x14ac:dyDescent="0.25">
      <c r="A241" s="13">
        <v>241</v>
      </c>
      <c r="B241" s="24" t="s">
        <v>296</v>
      </c>
      <c r="C241" s="13">
        <v>381</v>
      </c>
      <c r="D241" s="13">
        <v>3</v>
      </c>
      <c r="E241" s="13">
        <v>632</v>
      </c>
      <c r="F241" s="13">
        <v>1</v>
      </c>
      <c r="G241" s="13">
        <v>1</v>
      </c>
      <c r="H241" s="13">
        <v>4</v>
      </c>
      <c r="I241" s="13">
        <v>0</v>
      </c>
      <c r="J241" s="13">
        <v>0</v>
      </c>
      <c r="K241" s="13">
        <v>4</v>
      </c>
      <c r="L241" s="13">
        <v>3</v>
      </c>
      <c r="M241" s="13">
        <v>5</v>
      </c>
      <c r="N241" s="13">
        <v>1034</v>
      </c>
      <c r="O241" s="13">
        <v>0</v>
      </c>
      <c r="P241" s="13">
        <v>8</v>
      </c>
      <c r="Q241" s="13">
        <v>1042</v>
      </c>
      <c r="R241" s="13">
        <v>0</v>
      </c>
      <c r="S241" s="13">
        <v>1128</v>
      </c>
      <c r="T241" s="13" t="str">
        <f>VLOOKUP(A241,'[1]210 RAU complete'!$A$1:$E$292,2,0)</f>
        <v>दुधिया</v>
      </c>
      <c r="U241" s="13" t="str">
        <f>VLOOKUP(A241,'[1]210 RAU complete'!$A$1:$E$292,3,0)</f>
        <v>शा.मा.वि. भवन, कमरा नं. 3, दुधिया</v>
      </c>
      <c r="V241" s="13">
        <f t="shared" si="6"/>
        <v>251</v>
      </c>
      <c r="W241" s="15">
        <f t="shared" si="7"/>
        <v>92.37588652482269</v>
      </c>
      <c r="X241" s="16"/>
    </row>
    <row r="242" spans="1:24" x14ac:dyDescent="0.25">
      <c r="A242" s="13">
        <v>242</v>
      </c>
      <c r="B242" s="24" t="s">
        <v>297</v>
      </c>
      <c r="C242" s="13">
        <v>411</v>
      </c>
      <c r="D242" s="13">
        <v>0</v>
      </c>
      <c r="E242" s="13">
        <v>602</v>
      </c>
      <c r="F242" s="13">
        <v>7</v>
      </c>
      <c r="G242" s="13">
        <v>0</v>
      </c>
      <c r="H242" s="13">
        <v>1</v>
      </c>
      <c r="I242" s="13">
        <v>0</v>
      </c>
      <c r="J242" s="13">
        <v>2</v>
      </c>
      <c r="K242" s="13">
        <v>1</v>
      </c>
      <c r="L242" s="13">
        <v>1</v>
      </c>
      <c r="M242" s="13">
        <v>2</v>
      </c>
      <c r="N242" s="13">
        <v>1027</v>
      </c>
      <c r="O242" s="13">
        <v>0</v>
      </c>
      <c r="P242" s="13">
        <v>10</v>
      </c>
      <c r="Q242" s="13">
        <v>1037</v>
      </c>
      <c r="R242" s="13">
        <v>0</v>
      </c>
      <c r="S242" s="13">
        <v>1386</v>
      </c>
      <c r="T242" s="13" t="str">
        <f>VLOOKUP(A242,'[1]210 RAU complete'!$A$1:$E$292,2,0)</f>
        <v>दुधिया (ग्रामीण)</v>
      </c>
      <c r="U242" s="13" t="str">
        <f>VLOOKUP(A242,'[1]210 RAU complete'!$A$1:$E$292,3,0)</f>
        <v>शा.मा.वि., दुधिया, क.नं. 2</v>
      </c>
      <c r="V242" s="13">
        <f t="shared" si="6"/>
        <v>191</v>
      </c>
      <c r="W242" s="15">
        <f t="shared" si="7"/>
        <v>74.819624819624821</v>
      </c>
      <c r="X242" s="16"/>
    </row>
    <row r="243" spans="1:24" x14ac:dyDescent="0.25">
      <c r="A243" s="13">
        <v>243</v>
      </c>
      <c r="B243" s="24" t="s">
        <v>298</v>
      </c>
      <c r="C243" s="13">
        <v>493</v>
      </c>
      <c r="D243" s="13">
        <v>6</v>
      </c>
      <c r="E243" s="13">
        <v>588</v>
      </c>
      <c r="F243" s="13">
        <v>2</v>
      </c>
      <c r="G243" s="13">
        <v>1</v>
      </c>
      <c r="H243" s="13">
        <v>3</v>
      </c>
      <c r="I243" s="13">
        <v>0</v>
      </c>
      <c r="J243" s="13">
        <v>1</v>
      </c>
      <c r="K243" s="13">
        <v>0</v>
      </c>
      <c r="L243" s="13">
        <v>0</v>
      </c>
      <c r="M243" s="13">
        <v>4</v>
      </c>
      <c r="N243" s="13">
        <v>1098</v>
      </c>
      <c r="O243" s="13">
        <v>0</v>
      </c>
      <c r="P243" s="13">
        <v>3</v>
      </c>
      <c r="Q243" s="13">
        <v>1101</v>
      </c>
      <c r="R243" s="13">
        <v>0</v>
      </c>
      <c r="S243" s="13">
        <v>1206</v>
      </c>
      <c r="T243" s="13" t="str">
        <f>VLOOKUP(A243,'[1]210 RAU complete'!$A$1:$E$292,2,0)</f>
        <v>देवगुराडिया (ग्रामीण)</v>
      </c>
      <c r="U243" s="13" t="str">
        <f>VLOOKUP(A243,'[1]210 RAU complete'!$A$1:$E$292,3,0)</f>
        <v>शा.प्रा.वि., देवगुराडिया, क.नं. 1</v>
      </c>
      <c r="V243" s="13">
        <f t="shared" si="6"/>
        <v>95</v>
      </c>
      <c r="W243" s="15">
        <f t="shared" si="7"/>
        <v>91.293532338308452</v>
      </c>
      <c r="X243" s="16"/>
    </row>
    <row r="244" spans="1:24" x14ac:dyDescent="0.25">
      <c r="A244" s="13">
        <v>244</v>
      </c>
      <c r="B244" s="24" t="s">
        <v>299</v>
      </c>
      <c r="C244" s="13">
        <v>217</v>
      </c>
      <c r="D244" s="13">
        <v>4</v>
      </c>
      <c r="E244" s="13">
        <v>687</v>
      </c>
      <c r="F244" s="13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6</v>
      </c>
      <c r="L244" s="13">
        <v>1</v>
      </c>
      <c r="M244" s="13">
        <v>0</v>
      </c>
      <c r="N244" s="13">
        <v>917</v>
      </c>
      <c r="O244" s="13">
        <v>0</v>
      </c>
      <c r="P244" s="13">
        <v>7</v>
      </c>
      <c r="Q244" s="13">
        <v>924</v>
      </c>
      <c r="R244" s="13">
        <v>0</v>
      </c>
      <c r="S244" s="13">
        <v>1483</v>
      </c>
      <c r="T244" s="13" t="str">
        <f>VLOOKUP(A244,'[1]210 RAU complete'!$A$1:$E$292,2,0)</f>
        <v>देवगुराडिया (ग्रामीण)</v>
      </c>
      <c r="U244" s="13" t="str">
        <f>VLOOKUP(A244,'[1]210 RAU complete'!$A$1:$E$292,3,0)</f>
        <v>शा.प्रा.वि., देवगुराडिया, क.नं. 2</v>
      </c>
      <c r="V244" s="13">
        <f t="shared" si="6"/>
        <v>470</v>
      </c>
      <c r="W244" s="15">
        <f t="shared" si="7"/>
        <v>62.306136210384352</v>
      </c>
      <c r="X244" s="16"/>
    </row>
    <row r="245" spans="1:24" x14ac:dyDescent="0.25">
      <c r="A245" s="13">
        <v>245</v>
      </c>
      <c r="B245" s="24" t="s">
        <v>300</v>
      </c>
      <c r="C245" s="13">
        <v>198</v>
      </c>
      <c r="D245" s="13">
        <v>2</v>
      </c>
      <c r="E245" s="13">
        <v>321</v>
      </c>
      <c r="F245" s="13">
        <v>0</v>
      </c>
      <c r="G245" s="13">
        <v>0</v>
      </c>
      <c r="H245" s="13">
        <v>1</v>
      </c>
      <c r="I245" s="13">
        <v>0</v>
      </c>
      <c r="J245" s="13">
        <v>0</v>
      </c>
      <c r="K245" s="13">
        <v>1</v>
      </c>
      <c r="L245" s="13">
        <v>0</v>
      </c>
      <c r="M245" s="13">
        <v>0</v>
      </c>
      <c r="N245" s="13">
        <v>523</v>
      </c>
      <c r="O245" s="13">
        <v>0</v>
      </c>
      <c r="P245" s="13">
        <v>2</v>
      </c>
      <c r="Q245" s="13">
        <v>525</v>
      </c>
      <c r="R245" s="13">
        <v>0</v>
      </c>
      <c r="S245" s="13">
        <v>666</v>
      </c>
      <c r="T245" s="13" t="str">
        <f>VLOOKUP(A245,'[1]210 RAU complete'!$A$1:$E$292,2,0)</f>
        <v>देवगुराडिया (ग्रामीण)</v>
      </c>
      <c r="U245" s="13" t="str">
        <f>VLOOKUP(A245,'[1]210 RAU complete'!$A$1:$E$292,3,0)</f>
        <v>शा.प्रा.वि. भवन, देवगुराडिया, क.नं. 3</v>
      </c>
      <c r="V245" s="13">
        <f t="shared" si="6"/>
        <v>123</v>
      </c>
      <c r="W245" s="15">
        <f t="shared" si="7"/>
        <v>78.828828828828833</v>
      </c>
      <c r="X245" s="16"/>
    </row>
    <row r="246" spans="1:24" x14ac:dyDescent="0.25">
      <c r="A246" s="17">
        <v>246</v>
      </c>
      <c r="B246" s="24" t="s">
        <v>301</v>
      </c>
      <c r="C246" s="17">
        <v>423</v>
      </c>
      <c r="D246" s="17">
        <v>3</v>
      </c>
      <c r="E246" s="17">
        <v>360</v>
      </c>
      <c r="F246" s="17">
        <v>2</v>
      </c>
      <c r="G246" s="17">
        <v>0</v>
      </c>
      <c r="H246" s="17">
        <v>6</v>
      </c>
      <c r="I246" s="17">
        <v>0</v>
      </c>
      <c r="J246" s="17">
        <v>1</v>
      </c>
      <c r="K246" s="17">
        <v>0</v>
      </c>
      <c r="L246" s="17">
        <v>0</v>
      </c>
      <c r="M246" s="17">
        <v>2</v>
      </c>
      <c r="N246" s="17">
        <v>797</v>
      </c>
      <c r="O246" s="17">
        <v>0</v>
      </c>
      <c r="P246" s="17">
        <v>8</v>
      </c>
      <c r="Q246" s="17">
        <v>805</v>
      </c>
      <c r="R246" s="17">
        <v>0</v>
      </c>
      <c r="S246" s="17">
        <v>1273</v>
      </c>
      <c r="T246" s="13" t="str">
        <f>VLOOKUP(A246,'[1]210 RAU complete'!$A$1:$E$292,2,0)</f>
        <v>बिचौली मर्दाना</v>
      </c>
      <c r="U246" s="13" t="str">
        <f>VLOOKUP(A246,'[1]210 RAU complete'!$A$1:$E$292,3,0)</f>
        <v>शा.प्रा.वि. भवन, बिचौली मर्दाना, क.नं. 1</v>
      </c>
      <c r="V246" s="17">
        <f t="shared" si="6"/>
        <v>63</v>
      </c>
      <c r="W246" s="18">
        <f t="shared" si="7"/>
        <v>63.236449332285936</v>
      </c>
      <c r="X246" s="16"/>
    </row>
    <row r="247" spans="1:24" x14ac:dyDescent="0.25">
      <c r="A247" s="17">
        <v>247</v>
      </c>
      <c r="B247" s="24" t="s">
        <v>302</v>
      </c>
      <c r="C247" s="17">
        <v>346</v>
      </c>
      <c r="D247" s="17">
        <v>3</v>
      </c>
      <c r="E247" s="17">
        <v>324</v>
      </c>
      <c r="F247" s="17">
        <v>2</v>
      </c>
      <c r="G247" s="17">
        <v>0</v>
      </c>
      <c r="H247" s="17">
        <v>1</v>
      </c>
      <c r="I247" s="17">
        <v>0</v>
      </c>
      <c r="J247" s="17">
        <v>0</v>
      </c>
      <c r="K247" s="17">
        <v>2</v>
      </c>
      <c r="L247" s="17">
        <v>1</v>
      </c>
      <c r="M247" s="17">
        <v>1</v>
      </c>
      <c r="N247" s="17">
        <v>680</v>
      </c>
      <c r="O247" s="17">
        <v>0</v>
      </c>
      <c r="P247" s="17">
        <v>5</v>
      </c>
      <c r="Q247" s="17">
        <v>685</v>
      </c>
      <c r="R247" s="17">
        <v>0</v>
      </c>
      <c r="S247" s="17">
        <v>1315</v>
      </c>
      <c r="T247" s="13" t="str">
        <f>VLOOKUP(A247,'[1]210 RAU complete'!$A$1:$E$292,2,0)</f>
        <v>बिचौली मर्दाना</v>
      </c>
      <c r="U247" s="13" t="str">
        <f>VLOOKUP(A247,'[1]210 RAU complete'!$A$1:$E$292,3,0)</f>
        <v>शा.प्रा.वि. भवन, बिचौली मर्दाना, क.नं. 2</v>
      </c>
      <c r="V247" s="17">
        <f t="shared" si="6"/>
        <v>22</v>
      </c>
      <c r="W247" s="18">
        <f t="shared" si="7"/>
        <v>52.091254752851711</v>
      </c>
      <c r="X247" s="16"/>
    </row>
    <row r="248" spans="1:24" x14ac:dyDescent="0.25">
      <c r="A248" s="13">
        <v>248</v>
      </c>
      <c r="B248" s="24" t="s">
        <v>303</v>
      </c>
      <c r="C248" s="13">
        <v>393</v>
      </c>
      <c r="D248" s="13">
        <v>1</v>
      </c>
      <c r="E248" s="13">
        <v>420</v>
      </c>
      <c r="F248" s="13">
        <v>3</v>
      </c>
      <c r="G248" s="13">
        <v>0</v>
      </c>
      <c r="H248" s="13">
        <v>9</v>
      </c>
      <c r="I248" s="13">
        <v>0</v>
      </c>
      <c r="J248" s="13">
        <v>0</v>
      </c>
      <c r="K248" s="13">
        <v>1</v>
      </c>
      <c r="L248" s="13">
        <v>1</v>
      </c>
      <c r="M248" s="13">
        <v>1</v>
      </c>
      <c r="N248" s="13">
        <v>829</v>
      </c>
      <c r="O248" s="13">
        <v>0</v>
      </c>
      <c r="P248" s="13">
        <v>4</v>
      </c>
      <c r="Q248" s="13">
        <v>833</v>
      </c>
      <c r="R248" s="13">
        <v>0</v>
      </c>
      <c r="S248" s="13">
        <v>1144</v>
      </c>
      <c r="T248" s="13" t="str">
        <f>VLOOKUP(A248,'[1]210 RAU complete'!$A$1:$E$292,2,0)</f>
        <v>बिचौली मर्दाना</v>
      </c>
      <c r="U248" s="13" t="str">
        <f>VLOOKUP(A248,'[1]210 RAU complete'!$A$1:$E$292,3,0)</f>
        <v>शा.मा.वि. भवन, बिचौली मर्दाना, क.नं. 2</v>
      </c>
      <c r="V248" s="13">
        <f t="shared" si="6"/>
        <v>27</v>
      </c>
      <c r="W248" s="15">
        <f t="shared" si="7"/>
        <v>72.814685314685306</v>
      </c>
      <c r="X248" s="16"/>
    </row>
    <row r="249" spans="1:24" x14ac:dyDescent="0.25">
      <c r="A249" s="13">
        <v>249</v>
      </c>
      <c r="B249" s="24" t="s">
        <v>304</v>
      </c>
      <c r="C249" s="13">
        <v>262</v>
      </c>
      <c r="D249" s="13">
        <v>5</v>
      </c>
      <c r="E249" s="13">
        <v>830</v>
      </c>
      <c r="F249" s="13">
        <v>2</v>
      </c>
      <c r="G249" s="13">
        <v>1</v>
      </c>
      <c r="H249" s="13">
        <v>0</v>
      </c>
      <c r="I249" s="13">
        <v>0</v>
      </c>
      <c r="J249" s="13">
        <v>0</v>
      </c>
      <c r="K249" s="13">
        <v>7</v>
      </c>
      <c r="L249" s="13">
        <v>1</v>
      </c>
      <c r="M249" s="13">
        <v>0</v>
      </c>
      <c r="N249" s="13">
        <v>1108</v>
      </c>
      <c r="O249" s="13">
        <v>0</v>
      </c>
      <c r="P249" s="13">
        <v>6</v>
      </c>
      <c r="Q249" s="13">
        <v>1114</v>
      </c>
      <c r="R249" s="13">
        <v>0</v>
      </c>
      <c r="S249" s="13">
        <v>1347</v>
      </c>
      <c r="T249" s="13" t="str">
        <f>VLOOKUP(A249,'[1]210 RAU complete'!$A$1:$E$292,2,0)</f>
        <v>बिचौली मर्दाना</v>
      </c>
      <c r="U249" s="13" t="str">
        <f>VLOOKUP(A249,'[1]210 RAU complete'!$A$1:$E$292,3,0)</f>
        <v xml:space="preserve">कंगारू किड्स प्ले स्कूल, कक्ष क्र. 1 ए </v>
      </c>
      <c r="V249" s="13">
        <f t="shared" si="6"/>
        <v>568</v>
      </c>
      <c r="W249" s="15">
        <f t="shared" si="7"/>
        <v>82.702301410541949</v>
      </c>
      <c r="X249" s="16"/>
    </row>
    <row r="250" spans="1:24" x14ac:dyDescent="0.25">
      <c r="A250" s="13">
        <v>250</v>
      </c>
      <c r="B250" s="24" t="s">
        <v>305</v>
      </c>
      <c r="C250" s="13">
        <v>195</v>
      </c>
      <c r="D250" s="13">
        <v>0</v>
      </c>
      <c r="E250" s="13">
        <v>574</v>
      </c>
      <c r="F250" s="13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3</v>
      </c>
      <c r="L250" s="13">
        <v>0</v>
      </c>
      <c r="M250" s="13">
        <v>1</v>
      </c>
      <c r="N250" s="13">
        <v>776</v>
      </c>
      <c r="O250" s="13">
        <v>0</v>
      </c>
      <c r="P250" s="13">
        <v>13</v>
      </c>
      <c r="Q250" s="13">
        <v>789</v>
      </c>
      <c r="R250" s="13">
        <v>0</v>
      </c>
      <c r="S250" s="13">
        <v>1257</v>
      </c>
      <c r="T250" s="13" t="str">
        <f>VLOOKUP(A250,'[1]210 RAU complete'!$A$1:$E$292,2,0)</f>
        <v>बिचौली मर्दाना</v>
      </c>
      <c r="U250" s="13" t="str">
        <f>VLOOKUP(A250,'[1]210 RAU complete'!$A$1:$E$292,3,0)</f>
        <v xml:space="preserve">कंगारू किड्स प्ले स्कूल, कक्ष क्र. 1बी </v>
      </c>
      <c r="V250" s="13">
        <f t="shared" si="6"/>
        <v>379</v>
      </c>
      <c r="W250" s="15">
        <f t="shared" si="7"/>
        <v>62.76849642004774</v>
      </c>
      <c r="X250" s="16"/>
    </row>
    <row r="251" spans="1:24" x14ac:dyDescent="0.25">
      <c r="A251" s="13">
        <v>251</v>
      </c>
      <c r="B251" s="24" t="s">
        <v>306</v>
      </c>
      <c r="C251" s="13">
        <v>293</v>
      </c>
      <c r="D251" s="13">
        <v>1</v>
      </c>
      <c r="E251" s="13">
        <v>821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9</v>
      </c>
      <c r="L251" s="13">
        <v>0</v>
      </c>
      <c r="M251" s="13">
        <v>0</v>
      </c>
      <c r="N251" s="13">
        <v>1124</v>
      </c>
      <c r="O251" s="13">
        <v>0</v>
      </c>
      <c r="P251" s="13">
        <v>4</v>
      </c>
      <c r="Q251" s="13">
        <v>1128</v>
      </c>
      <c r="R251" s="13">
        <v>0</v>
      </c>
      <c r="S251" s="13">
        <v>1407</v>
      </c>
      <c r="T251" s="13" t="str">
        <f>VLOOKUP(A251,'[1]210 RAU complete'!$A$1:$E$292,2,0)</f>
        <v>बिचौली मर्दाना</v>
      </c>
      <c r="U251" s="13" t="str">
        <f>VLOOKUP(A251,'[1]210 RAU complete'!$A$1:$E$292,3,0)</f>
        <v>शा.मा.वि., बिचौली मर्दाना</v>
      </c>
      <c r="V251" s="13">
        <f t="shared" si="6"/>
        <v>528</v>
      </c>
      <c r="W251" s="15">
        <f t="shared" si="7"/>
        <v>80.170575692963752</v>
      </c>
      <c r="X251" s="16"/>
    </row>
    <row r="252" spans="1:24" x14ac:dyDescent="0.25">
      <c r="A252" s="13">
        <v>252</v>
      </c>
      <c r="B252" s="24" t="s">
        <v>307</v>
      </c>
      <c r="C252" s="13">
        <v>217</v>
      </c>
      <c r="D252" s="13">
        <v>0</v>
      </c>
      <c r="E252" s="13">
        <v>674</v>
      </c>
      <c r="F252" s="13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4</v>
      </c>
      <c r="L252" s="13">
        <v>0</v>
      </c>
      <c r="M252" s="13">
        <v>0</v>
      </c>
      <c r="N252" s="13">
        <v>896</v>
      </c>
      <c r="O252" s="13">
        <v>0</v>
      </c>
      <c r="P252" s="13">
        <v>8</v>
      </c>
      <c r="Q252" s="13">
        <v>904</v>
      </c>
      <c r="R252" s="13">
        <v>0</v>
      </c>
      <c r="S252" s="13">
        <v>1363</v>
      </c>
      <c r="T252" s="13" t="str">
        <f>VLOOKUP(A252,'[1]210 RAU complete'!$A$1:$E$292,2,0)</f>
        <v>बिचौली मर्दाना</v>
      </c>
      <c r="U252" s="13" t="str">
        <f>VLOOKUP(A252,'[1]210 RAU complete'!$A$1:$E$292,3,0)</f>
        <v>अग्रवाल पब्लिक स्कूल, बिचौली मर्दाना</v>
      </c>
      <c r="V252" s="13">
        <f t="shared" si="6"/>
        <v>457</v>
      </c>
      <c r="W252" s="15">
        <f t="shared" si="7"/>
        <v>66.324284666177547</v>
      </c>
      <c r="X252" s="16"/>
    </row>
    <row r="253" spans="1:24" x14ac:dyDescent="0.25">
      <c r="A253" s="13">
        <v>253</v>
      </c>
      <c r="B253" s="24" t="s">
        <v>308</v>
      </c>
      <c r="C253" s="13">
        <v>400</v>
      </c>
      <c r="D253" s="13">
        <v>3</v>
      </c>
      <c r="E253" s="13">
        <v>453</v>
      </c>
      <c r="F253" s="13">
        <v>4</v>
      </c>
      <c r="G253" s="13">
        <v>2</v>
      </c>
      <c r="H253" s="13">
        <v>3</v>
      </c>
      <c r="I253" s="13">
        <v>0</v>
      </c>
      <c r="J253" s="13">
        <v>2</v>
      </c>
      <c r="K253" s="13">
        <v>1</v>
      </c>
      <c r="L253" s="13">
        <v>0</v>
      </c>
      <c r="M253" s="13">
        <v>1</v>
      </c>
      <c r="N253" s="13">
        <v>869</v>
      </c>
      <c r="O253" s="13">
        <v>0</v>
      </c>
      <c r="P253" s="13">
        <v>5</v>
      </c>
      <c r="Q253" s="13">
        <v>874</v>
      </c>
      <c r="R253" s="13">
        <v>0</v>
      </c>
      <c r="S253" s="13">
        <v>985</v>
      </c>
      <c r="T253" s="13" t="str">
        <f>VLOOKUP(A253,'[1]210 RAU complete'!$A$1:$E$292,2,0)</f>
        <v>बिचौली मर्दाना</v>
      </c>
      <c r="U253" s="13" t="str">
        <f>VLOOKUP(A253,'[1]210 RAU complete'!$A$1:$E$292,3,0)</f>
        <v>शा.प्रा.वि., बिचौली मर्दाना, कमरा नं. 3</v>
      </c>
      <c r="V253" s="13">
        <f t="shared" si="6"/>
        <v>53</v>
      </c>
      <c r="W253" s="15">
        <f t="shared" si="7"/>
        <v>88.73096446700508</v>
      </c>
      <c r="X253" s="16"/>
    </row>
    <row r="254" spans="1:24" x14ac:dyDescent="0.25">
      <c r="A254" s="13">
        <v>254</v>
      </c>
      <c r="B254" s="24" t="s">
        <v>309</v>
      </c>
      <c r="C254" s="13">
        <v>404</v>
      </c>
      <c r="D254" s="13">
        <v>0</v>
      </c>
      <c r="E254" s="13">
        <v>521</v>
      </c>
      <c r="F254" s="13">
        <v>1</v>
      </c>
      <c r="G254" s="13">
        <v>1</v>
      </c>
      <c r="H254" s="13">
        <v>6</v>
      </c>
      <c r="I254" s="13">
        <v>0</v>
      </c>
      <c r="J254" s="13">
        <v>0</v>
      </c>
      <c r="K254" s="13">
        <v>1</v>
      </c>
      <c r="L254" s="13">
        <v>0</v>
      </c>
      <c r="M254" s="13">
        <v>0</v>
      </c>
      <c r="N254" s="13">
        <v>934</v>
      </c>
      <c r="O254" s="13">
        <v>0</v>
      </c>
      <c r="P254" s="13">
        <v>9</v>
      </c>
      <c r="Q254" s="13">
        <v>943</v>
      </c>
      <c r="R254" s="13">
        <v>0</v>
      </c>
      <c r="S254" s="13">
        <v>1100</v>
      </c>
      <c r="T254" s="13" t="str">
        <f>VLOOKUP(A254,'[1]210 RAU complete'!$A$1:$E$292,2,0)</f>
        <v>बिचौली मर्दाना</v>
      </c>
      <c r="U254" s="13" t="str">
        <f>VLOOKUP(A254,'[1]210 RAU complete'!$A$1:$E$292,3,0)</f>
        <v>शा.प्रा.वि., बिचौली मर्दाना, कमरा नं. 4</v>
      </c>
      <c r="V254" s="13">
        <f t="shared" si="6"/>
        <v>117</v>
      </c>
      <c r="W254" s="15">
        <f t="shared" si="7"/>
        <v>85.727272727272734</v>
      </c>
      <c r="X254" s="16"/>
    </row>
    <row r="255" spans="1:24" x14ac:dyDescent="0.25">
      <c r="A255" s="13">
        <v>255</v>
      </c>
      <c r="B255" s="24" t="s">
        <v>310</v>
      </c>
      <c r="C255" s="13">
        <v>250</v>
      </c>
      <c r="D255" s="13">
        <v>4</v>
      </c>
      <c r="E255" s="13">
        <v>646</v>
      </c>
      <c r="F255" s="13">
        <v>1</v>
      </c>
      <c r="G255" s="13">
        <v>0</v>
      </c>
      <c r="H255" s="13">
        <v>0</v>
      </c>
      <c r="I255" s="13">
        <v>0</v>
      </c>
      <c r="J255" s="13">
        <v>0</v>
      </c>
      <c r="K255" s="13">
        <v>2</v>
      </c>
      <c r="L255" s="13">
        <v>0</v>
      </c>
      <c r="M255" s="13">
        <v>2</v>
      </c>
      <c r="N255" s="13">
        <v>905</v>
      </c>
      <c r="O255" s="13">
        <v>0</v>
      </c>
      <c r="P255" s="13">
        <v>2</v>
      </c>
      <c r="Q255" s="13">
        <v>907</v>
      </c>
      <c r="R255" s="13">
        <v>0</v>
      </c>
      <c r="S255" s="13">
        <v>1273</v>
      </c>
      <c r="T255" s="13" t="str">
        <f>VLOOKUP(A255,'[1]210 RAU complete'!$A$1:$E$292,2,0)</f>
        <v>बिचौली मर्दाना</v>
      </c>
      <c r="U255" s="13" t="str">
        <f>VLOOKUP(A255,'[1]210 RAU complete'!$A$1:$E$292,3,0)</f>
        <v>शा.मा.वि., बिचौली मर्दाना, क.नं. 5</v>
      </c>
      <c r="V255" s="13">
        <f t="shared" si="6"/>
        <v>396</v>
      </c>
      <c r="W255" s="15">
        <f t="shared" si="7"/>
        <v>71.24901806755696</v>
      </c>
      <c r="X255" s="16"/>
    </row>
    <row r="256" spans="1:24" x14ac:dyDescent="0.25">
      <c r="A256" s="13">
        <v>256</v>
      </c>
      <c r="B256" s="24" t="s">
        <v>311</v>
      </c>
      <c r="C256" s="13">
        <v>124</v>
      </c>
      <c r="D256" s="13">
        <v>0</v>
      </c>
      <c r="E256" s="13">
        <v>400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1</v>
      </c>
      <c r="L256" s="13">
        <v>0</v>
      </c>
      <c r="M256" s="13">
        <v>0</v>
      </c>
      <c r="N256" s="13">
        <v>525</v>
      </c>
      <c r="O256" s="13">
        <v>0</v>
      </c>
      <c r="P256" s="13">
        <v>2</v>
      </c>
      <c r="Q256" s="13">
        <v>527</v>
      </c>
      <c r="R256" s="13">
        <v>0</v>
      </c>
      <c r="S256" s="13">
        <v>1453</v>
      </c>
      <c r="T256" s="13" t="str">
        <f>VLOOKUP(A256,'[1]210 RAU complete'!$A$1:$E$292,2,0)</f>
        <v>बिचौली मर्दाना</v>
      </c>
      <c r="U256" s="13" t="str">
        <f>VLOOKUP(A256,'[1]210 RAU complete'!$A$1:$E$292,3,0)</f>
        <v>शा.मा.वि., बिचौली मर्दाना, क.नं. 6</v>
      </c>
      <c r="V256" s="13">
        <f t="shared" si="6"/>
        <v>276</v>
      </c>
      <c r="W256" s="15">
        <f t="shared" si="7"/>
        <v>36.269786648313833</v>
      </c>
      <c r="X256" s="16"/>
    </row>
    <row r="257" spans="1:24" x14ac:dyDescent="0.25">
      <c r="A257" s="13">
        <v>257</v>
      </c>
      <c r="B257" s="24" t="s">
        <v>312</v>
      </c>
      <c r="C257" s="13">
        <v>284</v>
      </c>
      <c r="D257" s="13">
        <v>2</v>
      </c>
      <c r="E257" s="13">
        <v>694</v>
      </c>
      <c r="F257" s="13">
        <v>1</v>
      </c>
      <c r="G257" s="13">
        <v>0</v>
      </c>
      <c r="H257" s="13">
        <v>0</v>
      </c>
      <c r="I257" s="13">
        <v>0</v>
      </c>
      <c r="J257" s="13">
        <v>0</v>
      </c>
      <c r="K257" s="13">
        <v>7</v>
      </c>
      <c r="L257" s="13">
        <v>0</v>
      </c>
      <c r="M257" s="13">
        <v>1</v>
      </c>
      <c r="N257" s="13">
        <v>989</v>
      </c>
      <c r="O257" s="13">
        <v>0</v>
      </c>
      <c r="P257" s="13">
        <v>14</v>
      </c>
      <c r="Q257" s="13">
        <v>1003</v>
      </c>
      <c r="R257" s="13">
        <v>0</v>
      </c>
      <c r="S257" s="13">
        <v>1205</v>
      </c>
      <c r="T257" s="13" t="str">
        <f>VLOOKUP(A257,'[1]210 RAU complete'!$A$1:$E$292,2,0)</f>
        <v>बिचौली हप्सी रोड</v>
      </c>
      <c r="U257" s="13" t="str">
        <f>VLOOKUP(A257,'[1]210 RAU complete'!$A$1:$E$292,3,0)</f>
        <v>कोलंबिया कॉन्वेंट हा.से. स्कूल, कक्ष क्र. 1</v>
      </c>
      <c r="V257" s="13">
        <f t="shared" si="6"/>
        <v>410</v>
      </c>
      <c r="W257" s="15">
        <f t="shared" si="7"/>
        <v>83.236514522821579</v>
      </c>
      <c r="X257" s="16"/>
    </row>
    <row r="258" spans="1:24" x14ac:dyDescent="0.25">
      <c r="A258" s="13">
        <v>258</v>
      </c>
      <c r="B258" s="24" t="s">
        <v>313</v>
      </c>
      <c r="C258" s="13">
        <v>291</v>
      </c>
      <c r="D258" s="13">
        <v>1</v>
      </c>
      <c r="E258" s="13">
        <v>771</v>
      </c>
      <c r="F258" s="13">
        <v>1</v>
      </c>
      <c r="G258" s="13">
        <v>0</v>
      </c>
      <c r="H258" s="13">
        <v>0</v>
      </c>
      <c r="I258" s="13">
        <v>0</v>
      </c>
      <c r="J258" s="13">
        <v>0</v>
      </c>
      <c r="K258" s="13">
        <v>6</v>
      </c>
      <c r="L258" s="13">
        <v>0</v>
      </c>
      <c r="M258" s="13">
        <v>1</v>
      </c>
      <c r="N258" s="13">
        <v>1071</v>
      </c>
      <c r="O258" s="13">
        <v>0</v>
      </c>
      <c r="P258" s="13">
        <v>10</v>
      </c>
      <c r="Q258" s="13">
        <v>1081</v>
      </c>
      <c r="R258" s="13">
        <v>0</v>
      </c>
      <c r="S258" s="13">
        <v>1220</v>
      </c>
      <c r="T258" s="13" t="str">
        <f>VLOOKUP(A258,'[1]210 RAU complete'!$A$1:$E$292,2,0)</f>
        <v>बिचौली हप्सी रोड</v>
      </c>
      <c r="U258" s="13" t="str">
        <f>VLOOKUP(A258,'[1]210 RAU complete'!$A$1:$E$292,3,0)</f>
        <v>कोलम्बिया कॉन्वेंट हा.से. स्कूल, कक्ष क.-2. भिचौली हप्सी रोड</v>
      </c>
      <c r="V258" s="13">
        <f t="shared" ref="V258:V323" si="8">MAX(E258,C258)-MIN(C258,E258)</f>
        <v>480</v>
      </c>
      <c r="W258" s="15">
        <f t="shared" ref="W258:W295" si="9">(Q258/S258)*100</f>
        <v>88.606557377049171</v>
      </c>
      <c r="X258" s="16"/>
    </row>
    <row r="259" spans="1:24" x14ac:dyDescent="0.25">
      <c r="A259" s="13">
        <v>259</v>
      </c>
      <c r="B259" s="24" t="s">
        <v>314</v>
      </c>
      <c r="C259" s="13">
        <v>118</v>
      </c>
      <c r="D259" s="13">
        <v>1</v>
      </c>
      <c r="E259" s="13">
        <v>321</v>
      </c>
      <c r="F259" s="13">
        <v>1</v>
      </c>
      <c r="G259" s="13">
        <v>0</v>
      </c>
      <c r="H259" s="13">
        <v>0</v>
      </c>
      <c r="I259" s="13">
        <v>0</v>
      </c>
      <c r="J259" s="13">
        <v>0</v>
      </c>
      <c r="K259" s="13">
        <v>1</v>
      </c>
      <c r="L259" s="13">
        <v>0</v>
      </c>
      <c r="M259" s="13">
        <v>0</v>
      </c>
      <c r="N259" s="13">
        <v>442</v>
      </c>
      <c r="O259" s="13">
        <v>0</v>
      </c>
      <c r="P259" s="13">
        <v>3</v>
      </c>
      <c r="Q259" s="13">
        <v>445</v>
      </c>
      <c r="R259" s="13">
        <v>0</v>
      </c>
      <c r="S259" s="13">
        <v>1138</v>
      </c>
      <c r="T259" s="13" t="str">
        <f>VLOOKUP(A259,'[1]210 RAU complete'!$A$1:$E$292,2,0)</f>
        <v>बिचौली हप्सी रोड</v>
      </c>
      <c r="U259" s="13" t="str">
        <f>VLOOKUP(A259,'[1]210 RAU complete'!$A$1:$E$292,3,0)</f>
        <v>कोलम्बिया कॉन्वेंट हा.से. स्कूल, कक्ष क.-4 . भिचौली हप्सी रोड</v>
      </c>
      <c r="V259" s="13">
        <f t="shared" si="8"/>
        <v>203</v>
      </c>
      <c r="W259" s="15">
        <f t="shared" si="9"/>
        <v>39.103690685413007</v>
      </c>
      <c r="X259" s="16"/>
    </row>
    <row r="260" spans="1:24" x14ac:dyDescent="0.25">
      <c r="A260" s="13">
        <v>260</v>
      </c>
      <c r="B260" s="24" t="s">
        <v>315</v>
      </c>
      <c r="C260" s="13">
        <v>256</v>
      </c>
      <c r="D260" s="13">
        <v>2</v>
      </c>
      <c r="E260" s="13">
        <v>394</v>
      </c>
      <c r="F260" s="13">
        <v>3</v>
      </c>
      <c r="G260" s="13">
        <v>0</v>
      </c>
      <c r="H260" s="13">
        <v>1</v>
      </c>
      <c r="I260" s="13">
        <v>0</v>
      </c>
      <c r="J260" s="13">
        <v>0</v>
      </c>
      <c r="K260" s="13">
        <v>3</v>
      </c>
      <c r="L260" s="13">
        <v>0</v>
      </c>
      <c r="M260" s="13">
        <v>0</v>
      </c>
      <c r="N260" s="13">
        <v>659</v>
      </c>
      <c r="O260" s="13">
        <v>0</v>
      </c>
      <c r="P260" s="13">
        <v>6</v>
      </c>
      <c r="Q260" s="13">
        <v>665</v>
      </c>
      <c r="R260" s="13">
        <v>0</v>
      </c>
      <c r="S260" s="13">
        <v>1029</v>
      </c>
      <c r="T260" s="13" t="str">
        <f>VLOOKUP(A260,'[1]210 RAU complete'!$A$1:$E$292,2,0)</f>
        <v>बिचौली हप्सी रोड</v>
      </c>
      <c r="U260" s="13" t="str">
        <f>VLOOKUP(A260,'[1]210 RAU complete'!$A$1:$E$292,3,0)</f>
        <v>कोलम्बिया कॉन्वेंट हा.से. स्कूल, कक्ष क.-3. भिचौली हप्सी रोड</v>
      </c>
      <c r="V260" s="13">
        <f t="shared" si="8"/>
        <v>138</v>
      </c>
      <c r="W260" s="15">
        <f t="shared" si="9"/>
        <v>64.625850340136054</v>
      </c>
      <c r="X260" s="16"/>
    </row>
    <row r="261" spans="1:24" x14ac:dyDescent="0.25">
      <c r="A261" s="13">
        <v>261</v>
      </c>
      <c r="B261" s="24" t="s">
        <v>316</v>
      </c>
      <c r="C261" s="13">
        <v>188</v>
      </c>
      <c r="D261" s="13">
        <v>4</v>
      </c>
      <c r="E261" s="13">
        <v>197</v>
      </c>
      <c r="F261" s="13">
        <v>0</v>
      </c>
      <c r="G261" s="13">
        <v>1</v>
      </c>
      <c r="H261" s="13">
        <v>5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395</v>
      </c>
      <c r="O261" s="13">
        <v>0</v>
      </c>
      <c r="P261" s="13">
        <v>2</v>
      </c>
      <c r="Q261" s="13">
        <v>397</v>
      </c>
      <c r="R261" s="13">
        <v>0</v>
      </c>
      <c r="S261" s="13">
        <v>1046</v>
      </c>
      <c r="T261" s="13" t="str">
        <f>VLOOKUP(A261,'[1]210 RAU complete'!$A$1:$E$292,2,0)</f>
        <v>बिचौली हप्सी रोड</v>
      </c>
      <c r="U261" s="13" t="str">
        <f>VLOOKUP(A261,'[1]210 RAU complete'!$A$1:$E$292,3,0)</f>
        <v>शा.प्रा.वि., भूरी टेकरी</v>
      </c>
      <c r="V261" s="13">
        <f t="shared" si="8"/>
        <v>9</v>
      </c>
      <c r="W261" s="15">
        <f t="shared" si="9"/>
        <v>37.954110898661568</v>
      </c>
      <c r="X261" s="16"/>
    </row>
    <row r="262" spans="1:24" x14ac:dyDescent="0.25">
      <c r="A262" s="17">
        <v>262</v>
      </c>
      <c r="B262" s="24" t="s">
        <v>317</v>
      </c>
      <c r="C262" s="17">
        <v>454</v>
      </c>
      <c r="D262" s="17">
        <v>9</v>
      </c>
      <c r="E262" s="17">
        <v>351</v>
      </c>
      <c r="F262" s="17">
        <v>3</v>
      </c>
      <c r="G262" s="17">
        <v>0</v>
      </c>
      <c r="H262" s="17">
        <v>6</v>
      </c>
      <c r="I262" s="17">
        <v>0</v>
      </c>
      <c r="J262" s="17">
        <v>1</v>
      </c>
      <c r="K262" s="17">
        <v>0</v>
      </c>
      <c r="L262" s="17">
        <v>0</v>
      </c>
      <c r="M262" s="17">
        <v>2</v>
      </c>
      <c r="N262" s="17">
        <v>826</v>
      </c>
      <c r="O262" s="17">
        <v>0</v>
      </c>
      <c r="P262" s="17">
        <v>7</v>
      </c>
      <c r="Q262" s="17">
        <v>833</v>
      </c>
      <c r="R262" s="17">
        <v>0</v>
      </c>
      <c r="S262" s="17">
        <v>1248</v>
      </c>
      <c r="T262" s="13" t="str">
        <f>VLOOKUP(A262,'[1]210 RAU complete'!$A$1:$E$292,2,0)</f>
        <v>बिचौली हप्सी रोड</v>
      </c>
      <c r="U262" s="13" t="str">
        <f>VLOOKUP(A262,'[1]210 RAU complete'!$A$1:$E$292,3,0)</f>
        <v>शा.प्रा.वि., भूरी टेकरी, कमरा नं. 3</v>
      </c>
      <c r="V262" s="17">
        <f t="shared" si="8"/>
        <v>103</v>
      </c>
      <c r="W262" s="18">
        <f t="shared" si="9"/>
        <v>66.746794871794862</v>
      </c>
      <c r="X262" s="16"/>
    </row>
    <row r="263" spans="1:24" x14ac:dyDescent="0.25">
      <c r="A263" s="13">
        <v>263</v>
      </c>
      <c r="B263" s="24" t="s">
        <v>318</v>
      </c>
      <c r="C263" s="13">
        <v>370</v>
      </c>
      <c r="D263" s="13">
        <v>9</v>
      </c>
      <c r="E263" s="13">
        <v>559</v>
      </c>
      <c r="F263" s="13">
        <v>2</v>
      </c>
      <c r="G263" s="13">
        <v>1</v>
      </c>
      <c r="H263" s="13">
        <v>13</v>
      </c>
      <c r="I263" s="13">
        <v>1</v>
      </c>
      <c r="J263" s="13">
        <v>2</v>
      </c>
      <c r="K263" s="13">
        <v>2</v>
      </c>
      <c r="L263" s="13">
        <v>2</v>
      </c>
      <c r="M263" s="13">
        <v>3</v>
      </c>
      <c r="N263" s="13">
        <v>964</v>
      </c>
      <c r="O263" s="13">
        <v>0</v>
      </c>
      <c r="P263" s="13">
        <v>9</v>
      </c>
      <c r="Q263" s="13">
        <v>973</v>
      </c>
      <c r="R263" s="13">
        <v>0</v>
      </c>
      <c r="S263" s="13">
        <v>1103</v>
      </c>
      <c r="T263" s="13" t="str">
        <f>VLOOKUP(A263,'[1]210 RAU complete'!$A$1:$E$292,2,0)</f>
        <v>बिचौली हप्सी रोड</v>
      </c>
      <c r="U263" s="13" t="str">
        <f>VLOOKUP(A263,'[1]210 RAU complete'!$A$1:$E$292,3,0)</f>
        <v>शा.प्रा.वि., भूरी टेकरी</v>
      </c>
      <c r="V263" s="13">
        <f t="shared" si="8"/>
        <v>189</v>
      </c>
      <c r="W263" s="15">
        <f t="shared" si="9"/>
        <v>88.213961922030819</v>
      </c>
      <c r="X263" s="16"/>
    </row>
    <row r="264" spans="1:24" x14ac:dyDescent="0.25">
      <c r="A264" s="13">
        <v>264</v>
      </c>
      <c r="B264" s="24" t="s">
        <v>319</v>
      </c>
      <c r="C264" s="13">
        <v>342</v>
      </c>
      <c r="D264" s="13">
        <v>3</v>
      </c>
      <c r="E264" s="13">
        <v>442</v>
      </c>
      <c r="F264" s="13">
        <v>0</v>
      </c>
      <c r="G264" s="13">
        <v>0</v>
      </c>
      <c r="H264" s="13">
        <v>1</v>
      </c>
      <c r="I264" s="13">
        <v>0</v>
      </c>
      <c r="J264" s="13">
        <v>0</v>
      </c>
      <c r="K264" s="13">
        <v>4</v>
      </c>
      <c r="L264" s="13">
        <v>0</v>
      </c>
      <c r="M264" s="13">
        <v>0</v>
      </c>
      <c r="N264" s="13">
        <v>792</v>
      </c>
      <c r="O264" s="13">
        <v>0</v>
      </c>
      <c r="P264" s="13">
        <v>8</v>
      </c>
      <c r="Q264" s="13">
        <v>800</v>
      </c>
      <c r="R264" s="13">
        <v>0</v>
      </c>
      <c r="S264" s="13">
        <v>1391</v>
      </c>
      <c r="T264" s="13" t="str">
        <f>VLOOKUP(A264,'[1]210 RAU complete'!$A$1:$E$292,2,0)</f>
        <v>बिचौली हप्सी रोड</v>
      </c>
      <c r="U264" s="13" t="str">
        <f>VLOOKUP(A264,'[1]210 RAU complete'!$A$1:$E$292,3,0)</f>
        <v>स्वाती जैन महाविद्यालय, क.नं. 4, बिचौली मर्दाना रोड</v>
      </c>
      <c r="V264" s="13">
        <f t="shared" si="8"/>
        <v>100</v>
      </c>
      <c r="W264" s="15">
        <f t="shared" si="9"/>
        <v>57.512580877066853</v>
      </c>
      <c r="X264" s="16"/>
    </row>
    <row r="265" spans="1:24" x14ac:dyDescent="0.25">
      <c r="A265" s="13">
        <v>265</v>
      </c>
      <c r="B265" s="24" t="s">
        <v>320</v>
      </c>
      <c r="C265" s="13">
        <v>417</v>
      </c>
      <c r="D265" s="13">
        <v>1</v>
      </c>
      <c r="E265" s="13">
        <v>532</v>
      </c>
      <c r="F265" s="13">
        <v>1</v>
      </c>
      <c r="G265" s="13">
        <v>0</v>
      </c>
      <c r="H265" s="13">
        <v>1</v>
      </c>
      <c r="I265" s="13">
        <v>0</v>
      </c>
      <c r="J265" s="13">
        <v>0</v>
      </c>
      <c r="K265" s="13">
        <v>1</v>
      </c>
      <c r="L265" s="13">
        <v>2</v>
      </c>
      <c r="M265" s="13">
        <v>0</v>
      </c>
      <c r="N265" s="13">
        <v>955</v>
      </c>
      <c r="O265" s="13">
        <v>0</v>
      </c>
      <c r="P265" s="13">
        <v>4</v>
      </c>
      <c r="Q265" s="13">
        <v>959</v>
      </c>
      <c r="R265" s="13">
        <v>0</v>
      </c>
      <c r="S265" s="13">
        <v>1152</v>
      </c>
      <c r="T265" s="13" t="str">
        <f>VLOOKUP(A265,'[1]210 RAU complete'!$A$1:$E$292,2,0)</f>
        <v>बिचौली हप्सी</v>
      </c>
      <c r="U265" s="13" t="str">
        <f>VLOOKUP(A265,'[1]210 RAU complete'!$A$1:$E$292,3,0)</f>
        <v>शा.मा.वि. भवन, बिचौली हप्सी, क.नं. 1</v>
      </c>
      <c r="V265" s="13">
        <f t="shared" si="8"/>
        <v>115</v>
      </c>
      <c r="W265" s="15">
        <f t="shared" si="9"/>
        <v>83.246527777777786</v>
      </c>
      <c r="X265" s="16"/>
    </row>
    <row r="266" spans="1:24" x14ac:dyDescent="0.25">
      <c r="A266" s="13">
        <v>266</v>
      </c>
      <c r="B266" s="24" t="s">
        <v>321</v>
      </c>
      <c r="C266" s="13">
        <v>318</v>
      </c>
      <c r="D266" s="13">
        <v>3</v>
      </c>
      <c r="E266" s="13">
        <v>380</v>
      </c>
      <c r="F266" s="13">
        <v>2</v>
      </c>
      <c r="G266" s="13">
        <v>1</v>
      </c>
      <c r="H266" s="13">
        <v>1</v>
      </c>
      <c r="I266" s="13">
        <v>1</v>
      </c>
      <c r="J266" s="13">
        <v>0</v>
      </c>
      <c r="K266" s="13">
        <v>1</v>
      </c>
      <c r="L266" s="13">
        <v>4</v>
      </c>
      <c r="M266" s="13">
        <v>2</v>
      </c>
      <c r="N266" s="13">
        <v>713</v>
      </c>
      <c r="O266" s="13">
        <v>0</v>
      </c>
      <c r="P266" s="13">
        <v>3</v>
      </c>
      <c r="Q266" s="13">
        <v>716</v>
      </c>
      <c r="R266" s="13">
        <v>0</v>
      </c>
      <c r="S266" s="13">
        <v>1436</v>
      </c>
      <c r="T266" s="13" t="str">
        <f>VLOOKUP(A266,'[1]210 RAU complete'!$A$1:$E$292,2,0)</f>
        <v>बिचौली हप्सी</v>
      </c>
      <c r="U266" s="13" t="str">
        <f>VLOOKUP(A266,'[1]210 RAU complete'!$A$1:$E$292,3,0)</f>
        <v>शा.मा.वि. भवन, बिचौली हप्सी, क.नं. 2</v>
      </c>
      <c r="V266" s="13">
        <f t="shared" si="8"/>
        <v>62</v>
      </c>
      <c r="W266" s="15">
        <f t="shared" si="9"/>
        <v>49.860724233983291</v>
      </c>
      <c r="X266" s="16"/>
    </row>
    <row r="267" spans="1:24" x14ac:dyDescent="0.25">
      <c r="A267" s="13">
        <v>267</v>
      </c>
      <c r="B267" s="24" t="s">
        <v>322</v>
      </c>
      <c r="C267" s="13">
        <v>368</v>
      </c>
      <c r="D267" s="13">
        <v>3</v>
      </c>
      <c r="E267" s="13">
        <v>680</v>
      </c>
      <c r="F267" s="13">
        <v>3</v>
      </c>
      <c r="G267" s="13">
        <v>2</v>
      </c>
      <c r="H267" s="13">
        <v>2</v>
      </c>
      <c r="I267" s="13">
        <v>0</v>
      </c>
      <c r="J267" s="13">
        <v>0</v>
      </c>
      <c r="K267" s="13">
        <v>1</v>
      </c>
      <c r="L267" s="13">
        <v>6</v>
      </c>
      <c r="M267" s="13">
        <v>0</v>
      </c>
      <c r="N267" s="13">
        <v>1065</v>
      </c>
      <c r="O267" s="13">
        <v>0</v>
      </c>
      <c r="P267" s="13">
        <v>7</v>
      </c>
      <c r="Q267" s="13">
        <v>1072</v>
      </c>
      <c r="R267" s="13">
        <v>0</v>
      </c>
      <c r="S267" s="13">
        <v>1201</v>
      </c>
      <c r="T267" s="13" t="str">
        <f>VLOOKUP(A267,'[1]210 RAU complete'!$A$1:$E$292,2,0)</f>
        <v>बढ़िया कीमा (ग्रामीण)</v>
      </c>
      <c r="U267" s="13" t="str">
        <f>VLOOKUP(A267,'[1]210 RAU complete'!$A$1:$E$292,3,0)</f>
        <v>शा.प्रा.वि. भवन, बढ़िया कीमा, कमरा नं. 1</v>
      </c>
      <c r="V267" s="13">
        <f t="shared" si="8"/>
        <v>312</v>
      </c>
      <c r="W267" s="15">
        <f t="shared" si="9"/>
        <v>89.258950874271434</v>
      </c>
      <c r="X267" s="16"/>
    </row>
    <row r="268" spans="1:24" x14ac:dyDescent="0.25">
      <c r="A268" s="13">
        <v>268</v>
      </c>
      <c r="B268" s="24" t="s">
        <v>323</v>
      </c>
      <c r="C268" s="13">
        <v>243</v>
      </c>
      <c r="D268" s="13">
        <v>3</v>
      </c>
      <c r="E268" s="13">
        <v>403</v>
      </c>
      <c r="F268" s="13">
        <v>3</v>
      </c>
      <c r="G268" s="13">
        <v>0</v>
      </c>
      <c r="H268" s="13">
        <v>13</v>
      </c>
      <c r="I268" s="13">
        <v>0</v>
      </c>
      <c r="J268" s="13">
        <v>0</v>
      </c>
      <c r="K268" s="13">
        <v>0</v>
      </c>
      <c r="L268" s="13">
        <v>2</v>
      </c>
      <c r="M268" s="13">
        <v>2</v>
      </c>
      <c r="N268" s="13">
        <v>669</v>
      </c>
      <c r="O268" s="13">
        <v>0</v>
      </c>
      <c r="P268" s="13">
        <v>3</v>
      </c>
      <c r="Q268" s="13">
        <v>672</v>
      </c>
      <c r="R268" s="13">
        <v>0</v>
      </c>
      <c r="S268" s="13">
        <v>795</v>
      </c>
      <c r="T268" s="13" t="str">
        <f>VLOOKUP(A268,'[1]210 RAU complete'!$A$1:$E$292,2,0)</f>
        <v>बढ़िया कीमा (ग्रामीण)</v>
      </c>
      <c r="U268" s="13" t="str">
        <f>VLOOKUP(A268,'[1]210 RAU complete'!$A$1:$E$292,3,0)</f>
        <v>पावर हाउस सामुदायिक शेड, बढ़िया कीमा</v>
      </c>
      <c r="V268" s="13">
        <f t="shared" si="8"/>
        <v>160</v>
      </c>
      <c r="W268" s="15">
        <f t="shared" si="9"/>
        <v>84.528301886792462</v>
      </c>
      <c r="X268" s="16"/>
    </row>
    <row r="269" spans="1:24" x14ac:dyDescent="0.25">
      <c r="A269" s="17">
        <v>269</v>
      </c>
      <c r="B269" s="24" t="s">
        <v>324</v>
      </c>
      <c r="C269" s="17">
        <v>422</v>
      </c>
      <c r="D269" s="17">
        <v>3</v>
      </c>
      <c r="E269" s="17">
        <v>347</v>
      </c>
      <c r="F269" s="17">
        <v>6</v>
      </c>
      <c r="G269" s="17">
        <v>0</v>
      </c>
      <c r="H269" s="17">
        <v>2</v>
      </c>
      <c r="I269" s="17">
        <v>0</v>
      </c>
      <c r="J269" s="17">
        <v>2</v>
      </c>
      <c r="K269" s="17">
        <v>1</v>
      </c>
      <c r="L269" s="17">
        <v>4</v>
      </c>
      <c r="M269" s="17">
        <v>0</v>
      </c>
      <c r="N269" s="17">
        <v>787</v>
      </c>
      <c r="O269" s="17">
        <v>0</v>
      </c>
      <c r="P269" s="17">
        <v>7</v>
      </c>
      <c r="Q269" s="17">
        <v>794</v>
      </c>
      <c r="R269" s="17">
        <v>0</v>
      </c>
      <c r="S269" s="17">
        <v>1460</v>
      </c>
      <c r="T269" s="13" t="str">
        <f>VLOOKUP(A269,'[1]210 RAU complete'!$A$1:$E$292,2,0)</f>
        <v>सनावदिया (ग्रामीण)</v>
      </c>
      <c r="U269" s="13" t="str">
        <f>VLOOKUP(A269,'[1]210 RAU complete'!$A$1:$E$292,3,0)</f>
        <v>शा.मा.वि. भवन, सनावदिया, क.नं. 1</v>
      </c>
      <c r="V269" s="17">
        <f t="shared" si="8"/>
        <v>75</v>
      </c>
      <c r="W269" s="18">
        <f t="shared" si="9"/>
        <v>54.38356164383562</v>
      </c>
      <c r="X269" s="16"/>
    </row>
    <row r="270" spans="1:24" x14ac:dyDescent="0.25">
      <c r="A270" s="13">
        <v>270</v>
      </c>
      <c r="B270" s="24" t="s">
        <v>325</v>
      </c>
      <c r="C270" s="13">
        <v>264</v>
      </c>
      <c r="D270" s="13">
        <v>3</v>
      </c>
      <c r="E270" s="13">
        <v>455</v>
      </c>
      <c r="F270" s="13">
        <v>1</v>
      </c>
      <c r="G270" s="13">
        <v>0</v>
      </c>
      <c r="H270" s="13">
        <v>1</v>
      </c>
      <c r="I270" s="13">
        <v>0</v>
      </c>
      <c r="J270" s="13">
        <v>0</v>
      </c>
      <c r="K270" s="13">
        <v>0</v>
      </c>
      <c r="L270" s="13">
        <v>4</v>
      </c>
      <c r="M270" s="13">
        <v>1</v>
      </c>
      <c r="N270" s="13">
        <v>729</v>
      </c>
      <c r="O270" s="13">
        <v>0</v>
      </c>
      <c r="P270" s="13">
        <v>4</v>
      </c>
      <c r="Q270" s="13">
        <v>733</v>
      </c>
      <c r="R270" s="13">
        <v>0</v>
      </c>
      <c r="S270" s="13">
        <v>1391</v>
      </c>
      <c r="T270" s="13" t="str">
        <f>VLOOKUP(A270,'[1]210 RAU complete'!$A$1:$E$292,2,0)</f>
        <v>सनावदिया (ग्रामीण)</v>
      </c>
      <c r="U270" s="13" t="str">
        <f>VLOOKUP(A270,'[1]210 RAU complete'!$A$1:$E$292,3,0)</f>
        <v>शा.मा.वि. भवन सनावदिया क.नं 2</v>
      </c>
      <c r="V270" s="13">
        <f t="shared" si="8"/>
        <v>191</v>
      </c>
      <c r="W270" s="15">
        <f t="shared" si="9"/>
        <v>52.69590222861251</v>
      </c>
      <c r="X270" s="16"/>
    </row>
    <row r="271" spans="1:24" x14ac:dyDescent="0.25">
      <c r="A271" s="13">
        <v>271</v>
      </c>
      <c r="B271" s="24" t="s">
        <v>326</v>
      </c>
      <c r="C271" s="13">
        <v>322</v>
      </c>
      <c r="D271" s="13">
        <v>2</v>
      </c>
      <c r="E271" s="13">
        <v>350</v>
      </c>
      <c r="F271" s="13">
        <v>4</v>
      </c>
      <c r="G271" s="13">
        <v>0</v>
      </c>
      <c r="H271" s="13">
        <v>12</v>
      </c>
      <c r="I271" s="13">
        <v>0</v>
      </c>
      <c r="J271" s="13">
        <v>1</v>
      </c>
      <c r="K271" s="13">
        <v>0</v>
      </c>
      <c r="L271" s="13">
        <v>1</v>
      </c>
      <c r="M271" s="13">
        <v>1</v>
      </c>
      <c r="N271" s="13">
        <v>693</v>
      </c>
      <c r="O271" s="13">
        <v>0</v>
      </c>
      <c r="P271" s="13">
        <v>4</v>
      </c>
      <c r="Q271" s="13">
        <v>697</v>
      </c>
      <c r="R271" s="13">
        <v>0</v>
      </c>
      <c r="S271" s="13">
        <v>1317</v>
      </c>
      <c r="T271" s="13" t="str">
        <f>VLOOKUP(A271,'[1]210 RAU complete'!$A$1:$E$292,2,0)</f>
        <v>बिहाड़िया (ग्रामीण)</v>
      </c>
      <c r="U271" s="13" t="str">
        <f>VLOOKUP(A271,'[1]210 RAU complete'!$A$1:$E$292,3,0)</f>
        <v>शा.मा.वि. भवन, बिहाड़िया, कमरा नं. 3</v>
      </c>
      <c r="V271" s="13">
        <f t="shared" si="8"/>
        <v>28</v>
      </c>
      <c r="W271" s="15">
        <f t="shared" si="9"/>
        <v>52.923310554290047</v>
      </c>
      <c r="X271" s="16"/>
    </row>
    <row r="272" spans="1:24" x14ac:dyDescent="0.25">
      <c r="A272" s="13">
        <v>272</v>
      </c>
      <c r="B272" s="24" t="s">
        <v>327</v>
      </c>
      <c r="C272" s="13">
        <v>372</v>
      </c>
      <c r="D272" s="13">
        <v>3</v>
      </c>
      <c r="E272" s="13">
        <v>501</v>
      </c>
      <c r="F272" s="13">
        <v>2</v>
      </c>
      <c r="G272" s="13">
        <v>1</v>
      </c>
      <c r="H272" s="13">
        <v>6</v>
      </c>
      <c r="I272" s="13">
        <v>0</v>
      </c>
      <c r="J272" s="13">
        <v>0</v>
      </c>
      <c r="K272" s="13">
        <v>4</v>
      </c>
      <c r="L272" s="13">
        <v>2</v>
      </c>
      <c r="M272" s="13">
        <v>4</v>
      </c>
      <c r="N272" s="13">
        <v>895</v>
      </c>
      <c r="O272" s="13">
        <v>0</v>
      </c>
      <c r="P272" s="13">
        <v>4</v>
      </c>
      <c r="Q272" s="13">
        <v>899</v>
      </c>
      <c r="R272" s="13">
        <v>0</v>
      </c>
      <c r="S272" s="13">
        <v>1477</v>
      </c>
      <c r="T272" s="13" t="str">
        <f>VLOOKUP(A272,'[1]210 RAU complete'!$A$1:$E$292,2,0)</f>
        <v>उमरिया खुर्द (ग्रामीण)</v>
      </c>
      <c r="U272" s="13" t="str">
        <f>VLOOKUP(A272,'[1]210 RAU complete'!$A$1:$E$292,3,0)</f>
        <v>शा.प्रा.वि. भवन, उमरिया खुर्द, क.नं. 2</v>
      </c>
      <c r="V272" s="13">
        <f t="shared" si="8"/>
        <v>129</v>
      </c>
      <c r="W272" s="15">
        <f t="shared" si="9"/>
        <v>60.86662153012864</v>
      </c>
      <c r="X272" s="16"/>
    </row>
    <row r="273" spans="1:24" x14ac:dyDescent="0.25">
      <c r="A273" s="13">
        <v>273</v>
      </c>
      <c r="B273" s="24" t="s">
        <v>328</v>
      </c>
      <c r="C273" s="13">
        <v>265</v>
      </c>
      <c r="D273" s="13">
        <v>1</v>
      </c>
      <c r="E273" s="13">
        <v>380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646</v>
      </c>
      <c r="O273" s="13">
        <v>0</v>
      </c>
      <c r="P273" s="13">
        <v>5</v>
      </c>
      <c r="Q273" s="13">
        <v>651</v>
      </c>
      <c r="R273" s="13">
        <v>0</v>
      </c>
      <c r="S273" s="13">
        <v>1081</v>
      </c>
      <c r="T273" s="13" t="str">
        <f>VLOOKUP(A273,'[1]210 RAU complete'!$A$1:$E$292,2,0)</f>
        <v>उमरिया खुर्द (ग्रामीण)</v>
      </c>
      <c r="U273" s="13" t="str">
        <f>VLOOKUP(A273,'[1]210 RAU complete'!$A$1:$E$292,3,0)</f>
        <v>शा.प्रा.वि. भवन, उमरिया खुर्द, क.नं. 1</v>
      </c>
      <c r="V273" s="13">
        <f t="shared" si="8"/>
        <v>115</v>
      </c>
      <c r="W273" s="15">
        <f t="shared" si="9"/>
        <v>60.222016651248843</v>
      </c>
      <c r="X273" s="16"/>
    </row>
    <row r="274" spans="1:24" x14ac:dyDescent="0.25">
      <c r="A274" s="13">
        <v>274</v>
      </c>
      <c r="B274" s="24" t="s">
        <v>329</v>
      </c>
      <c r="C274" s="13">
        <v>259</v>
      </c>
      <c r="D274" s="13">
        <v>3</v>
      </c>
      <c r="E274" s="13">
        <v>380</v>
      </c>
      <c r="F274" s="13">
        <v>2</v>
      </c>
      <c r="G274" s="13">
        <v>0</v>
      </c>
      <c r="H274" s="13">
        <v>1</v>
      </c>
      <c r="I274" s="13">
        <v>0</v>
      </c>
      <c r="J274" s="13">
        <v>0</v>
      </c>
      <c r="K274" s="13">
        <v>1</v>
      </c>
      <c r="L274" s="13">
        <v>0</v>
      </c>
      <c r="M274" s="13">
        <v>1</v>
      </c>
      <c r="N274" s="13">
        <v>647</v>
      </c>
      <c r="O274" s="13">
        <v>0</v>
      </c>
      <c r="P274" s="13">
        <v>6</v>
      </c>
      <c r="Q274" s="13">
        <v>653</v>
      </c>
      <c r="R274" s="13">
        <v>0</v>
      </c>
      <c r="S274" s="13">
        <v>1148</v>
      </c>
      <c r="T274" s="13" t="str">
        <f>VLOOKUP(A274,'[1]210 RAU complete'!$A$1:$E$292,2,0)</f>
        <v>सोनगुराडिया (ग्रामीण)</v>
      </c>
      <c r="U274" s="13" t="str">
        <f>VLOOKUP(A274,'[1]210 RAU complete'!$A$1:$E$292,3,0)</f>
        <v>शा.प्रा.वि. भवन, सोनगुराडिया, कमरा नं. 4</v>
      </c>
      <c r="V274" s="13">
        <f t="shared" si="8"/>
        <v>121</v>
      </c>
      <c r="W274" s="15">
        <f t="shared" si="9"/>
        <v>56.881533101045299</v>
      </c>
      <c r="X274" s="16"/>
    </row>
    <row r="275" spans="1:24" x14ac:dyDescent="0.25">
      <c r="A275" s="13">
        <v>275</v>
      </c>
      <c r="B275" s="24" t="s">
        <v>330</v>
      </c>
      <c r="C275" s="13">
        <v>225</v>
      </c>
      <c r="D275" s="13">
        <v>5</v>
      </c>
      <c r="E275" s="13">
        <v>499</v>
      </c>
      <c r="F275" s="13">
        <v>3</v>
      </c>
      <c r="G275" s="13">
        <v>0</v>
      </c>
      <c r="H275" s="13">
        <v>1</v>
      </c>
      <c r="I275" s="13">
        <v>0</v>
      </c>
      <c r="J275" s="13">
        <v>0</v>
      </c>
      <c r="K275" s="13">
        <v>0</v>
      </c>
      <c r="L275" s="13">
        <v>1</v>
      </c>
      <c r="M275" s="13">
        <v>0</v>
      </c>
      <c r="N275" s="13">
        <v>734</v>
      </c>
      <c r="O275" s="13">
        <v>0</v>
      </c>
      <c r="P275" s="13">
        <v>6</v>
      </c>
      <c r="Q275" s="13">
        <v>740</v>
      </c>
      <c r="R275" s="13">
        <v>0</v>
      </c>
      <c r="S275" s="13">
        <v>1091</v>
      </c>
      <c r="T275" s="13" t="str">
        <f>VLOOKUP(A275,'[1]210 RAU complete'!$A$1:$E$292,2,0)</f>
        <v>धमनाय (ग्रामीण)</v>
      </c>
      <c r="U275" s="13" t="str">
        <f>VLOOKUP(A275,'[1]210 RAU complete'!$A$1:$E$292,3,0)</f>
        <v>शा.प्रा.वि. भवन, क.नं. 1, धमनाय</v>
      </c>
      <c r="V275" s="13">
        <f t="shared" si="8"/>
        <v>274</v>
      </c>
      <c r="W275" s="15">
        <f t="shared" si="9"/>
        <v>67.827681026581118</v>
      </c>
      <c r="X275" s="16"/>
    </row>
    <row r="276" spans="1:24" x14ac:dyDescent="0.25">
      <c r="A276" s="17">
        <v>276</v>
      </c>
      <c r="B276" s="24" t="s">
        <v>331</v>
      </c>
      <c r="C276" s="17">
        <v>414</v>
      </c>
      <c r="D276" s="17">
        <v>3</v>
      </c>
      <c r="E276" s="17">
        <v>373</v>
      </c>
      <c r="F276" s="17">
        <v>3</v>
      </c>
      <c r="G276" s="17">
        <v>0</v>
      </c>
      <c r="H276" s="17">
        <v>0</v>
      </c>
      <c r="I276" s="17">
        <v>0</v>
      </c>
      <c r="J276" s="17">
        <v>1</v>
      </c>
      <c r="K276" s="17">
        <v>2</v>
      </c>
      <c r="L276" s="17">
        <v>1</v>
      </c>
      <c r="M276" s="17">
        <v>0</v>
      </c>
      <c r="N276" s="17">
        <v>797</v>
      </c>
      <c r="O276" s="17">
        <v>0</v>
      </c>
      <c r="P276" s="17">
        <v>3</v>
      </c>
      <c r="Q276" s="17">
        <v>800</v>
      </c>
      <c r="R276" s="17">
        <v>0</v>
      </c>
      <c r="S276" s="17">
        <v>863</v>
      </c>
      <c r="T276" s="13" t="str">
        <f>VLOOKUP(A276,'[1]210 RAU complete'!$A$1:$E$292,2,0)</f>
        <v>धमनाय (ग्रामीण)</v>
      </c>
      <c r="U276" s="13" t="str">
        <f>VLOOKUP(A276,'[1]210 RAU complete'!$A$1:$E$292,3,0)</f>
        <v>शा.प्रा.वि. भवन, क.नं. 1, कपाल्याखेड़ी</v>
      </c>
      <c r="V276" s="17">
        <f t="shared" si="8"/>
        <v>41</v>
      </c>
      <c r="W276" s="18">
        <f t="shared" si="9"/>
        <v>92.699884125144848</v>
      </c>
      <c r="X276" s="16"/>
    </row>
    <row r="277" spans="1:24" x14ac:dyDescent="0.25">
      <c r="A277" s="13">
        <v>277</v>
      </c>
      <c r="B277" s="24" t="s">
        <v>332</v>
      </c>
      <c r="C277" s="13">
        <v>198</v>
      </c>
      <c r="D277" s="13">
        <v>1</v>
      </c>
      <c r="E277" s="13">
        <v>368</v>
      </c>
      <c r="F277" s="13">
        <v>5</v>
      </c>
      <c r="G277" s="13">
        <v>3</v>
      </c>
      <c r="H277" s="13">
        <v>2</v>
      </c>
      <c r="I277" s="13">
        <v>1</v>
      </c>
      <c r="J277" s="13">
        <v>1</v>
      </c>
      <c r="K277" s="13">
        <v>0</v>
      </c>
      <c r="L277" s="13">
        <v>0</v>
      </c>
      <c r="M277" s="13">
        <v>1</v>
      </c>
      <c r="N277" s="13">
        <v>580</v>
      </c>
      <c r="O277" s="13">
        <v>0</v>
      </c>
      <c r="P277" s="13">
        <v>4</v>
      </c>
      <c r="Q277" s="13">
        <v>584</v>
      </c>
      <c r="R277" s="13">
        <v>0</v>
      </c>
      <c r="S277" s="13">
        <v>1143</v>
      </c>
      <c r="T277" s="13" t="str">
        <f>VLOOKUP(A277,'[1]210 RAU complete'!$A$1:$E$292,2,0)</f>
        <v>सोनवाय (ग्रामीण)</v>
      </c>
      <c r="U277" s="13" t="str">
        <f>VLOOKUP(A277,'[1]210 RAU complete'!$A$1:$E$292,3,0)</f>
        <v>शा.प्रा.वि. भवन, सोनवाय, कमरा नं. 1</v>
      </c>
      <c r="V277" s="13">
        <f t="shared" si="8"/>
        <v>170</v>
      </c>
      <c r="W277" s="15">
        <f t="shared" si="9"/>
        <v>51.093613298337701</v>
      </c>
      <c r="X277" s="16"/>
    </row>
    <row r="278" spans="1:24" x14ac:dyDescent="0.25">
      <c r="A278" s="13">
        <v>278</v>
      </c>
      <c r="B278" s="24" t="s">
        <v>333</v>
      </c>
      <c r="C278" s="13">
        <v>277</v>
      </c>
      <c r="D278" s="13">
        <v>3</v>
      </c>
      <c r="E278" s="13">
        <v>448</v>
      </c>
      <c r="F278" s="13">
        <v>6</v>
      </c>
      <c r="G278" s="13">
        <v>1</v>
      </c>
      <c r="H278" s="13">
        <v>1</v>
      </c>
      <c r="I278" s="13">
        <v>0</v>
      </c>
      <c r="J278" s="13">
        <v>0</v>
      </c>
      <c r="K278" s="13">
        <v>2</v>
      </c>
      <c r="L278" s="13">
        <v>2</v>
      </c>
      <c r="M278" s="13">
        <v>2</v>
      </c>
      <c r="N278" s="13">
        <v>742</v>
      </c>
      <c r="O278" s="13">
        <v>0</v>
      </c>
      <c r="P278" s="13">
        <v>8</v>
      </c>
      <c r="Q278" s="13">
        <v>750</v>
      </c>
      <c r="R278" s="13">
        <v>0</v>
      </c>
      <c r="S278" s="13">
        <v>925</v>
      </c>
      <c r="T278" s="13" t="str">
        <f>VLOOKUP(A278,'[1]210 RAU complete'!$A$1:$E$292,2,0)</f>
        <v>मुण्डला दोस्तदार (ग्रामीण)</v>
      </c>
      <c r="U278" s="13" t="str">
        <f>VLOOKUP(A278,'[1]210 RAU complete'!$A$1:$E$292,3,0)</f>
        <v>शा.प्रा.वि. भवन, मुण्डला दोस्तदार, क.नं. 1</v>
      </c>
      <c r="V278" s="13">
        <f t="shared" si="8"/>
        <v>171</v>
      </c>
      <c r="W278" s="15">
        <f t="shared" si="9"/>
        <v>81.081081081081081</v>
      </c>
      <c r="X278" s="16"/>
    </row>
    <row r="279" spans="1:24" x14ac:dyDescent="0.25">
      <c r="A279" s="13">
        <v>279</v>
      </c>
      <c r="B279" s="24" t="s">
        <v>334</v>
      </c>
      <c r="C279" s="13">
        <v>282</v>
      </c>
      <c r="D279" s="13">
        <v>4</v>
      </c>
      <c r="E279" s="13">
        <v>540</v>
      </c>
      <c r="F279" s="13">
        <v>5</v>
      </c>
      <c r="G279" s="13">
        <v>2</v>
      </c>
      <c r="H279" s="13">
        <v>8</v>
      </c>
      <c r="I279" s="13">
        <v>0</v>
      </c>
      <c r="J279" s="13">
        <v>0</v>
      </c>
      <c r="K279" s="13">
        <v>1</v>
      </c>
      <c r="L279" s="13">
        <v>3</v>
      </c>
      <c r="M279" s="13">
        <v>3</v>
      </c>
      <c r="N279" s="13">
        <v>848</v>
      </c>
      <c r="O279" s="13">
        <v>0</v>
      </c>
      <c r="P279" s="13">
        <v>5</v>
      </c>
      <c r="Q279" s="13">
        <v>853</v>
      </c>
      <c r="R279" s="13">
        <v>0</v>
      </c>
      <c r="S279" s="13">
        <v>935</v>
      </c>
      <c r="T279" s="13" t="str">
        <f>VLOOKUP(A279,'[1]210 RAU complete'!$A$1:$E$292,2,0)</f>
        <v>राजधरा (ग्रामीण)</v>
      </c>
      <c r="U279" s="13" t="str">
        <f>VLOOKUP(A279,'[1]210 RAU complete'!$A$1:$E$292,3,0)</f>
        <v>शा.प्रा.वि. भवन, राजधरा, क.नं. 1</v>
      </c>
      <c r="V279" s="13">
        <f t="shared" si="8"/>
        <v>258</v>
      </c>
      <c r="W279" s="15">
        <f t="shared" si="9"/>
        <v>91.229946524064175</v>
      </c>
      <c r="X279" s="16"/>
    </row>
    <row r="280" spans="1:24" x14ac:dyDescent="0.25">
      <c r="A280" s="13">
        <v>280</v>
      </c>
      <c r="B280" s="24" t="s">
        <v>335</v>
      </c>
      <c r="C280" s="13">
        <v>278</v>
      </c>
      <c r="D280" s="13">
        <v>2</v>
      </c>
      <c r="E280" s="13">
        <v>420</v>
      </c>
      <c r="F280" s="13">
        <v>1</v>
      </c>
      <c r="G280" s="13">
        <v>0</v>
      </c>
      <c r="H280" s="13">
        <v>2</v>
      </c>
      <c r="I280" s="13">
        <v>0</v>
      </c>
      <c r="J280" s="13">
        <v>0</v>
      </c>
      <c r="K280" s="13">
        <v>0</v>
      </c>
      <c r="L280" s="13">
        <v>0</v>
      </c>
      <c r="M280" s="13">
        <v>2</v>
      </c>
      <c r="N280" s="13">
        <v>705</v>
      </c>
      <c r="O280" s="13">
        <v>0</v>
      </c>
      <c r="P280" s="13">
        <v>5</v>
      </c>
      <c r="Q280" s="13">
        <v>710</v>
      </c>
      <c r="R280" s="13">
        <v>0</v>
      </c>
      <c r="S280" s="13">
        <v>1325</v>
      </c>
      <c r="T280" s="13" t="str">
        <f>VLOOKUP(A280,'[1]210 RAU complete'!$A$1:$E$292,2,0)</f>
        <v>जामनिया खुर्द (ग्रामीण)</v>
      </c>
      <c r="U280" s="13" t="str">
        <f>VLOOKUP(A280,'[1]210 RAU complete'!$A$1:$E$292,3,0)</f>
        <v>शा.प्रा.वि. भवन, जामनिया खुर्द, कमरा नं. 1</v>
      </c>
      <c r="V280" s="13">
        <f t="shared" si="8"/>
        <v>142</v>
      </c>
      <c r="W280" s="15">
        <f t="shared" si="9"/>
        <v>53.584905660377359</v>
      </c>
      <c r="X280" s="16"/>
    </row>
    <row r="281" spans="1:24" x14ac:dyDescent="0.25">
      <c r="A281" s="17">
        <v>281</v>
      </c>
      <c r="B281" s="24" t="s">
        <v>336</v>
      </c>
      <c r="C281" s="17">
        <v>424</v>
      </c>
      <c r="D281" s="17">
        <v>4</v>
      </c>
      <c r="E281" s="17">
        <v>410</v>
      </c>
      <c r="F281" s="17">
        <v>4</v>
      </c>
      <c r="G281" s="17">
        <v>2</v>
      </c>
      <c r="H281" s="17">
        <v>16</v>
      </c>
      <c r="I281" s="17">
        <v>1</v>
      </c>
      <c r="J281" s="17">
        <v>0</v>
      </c>
      <c r="K281" s="17">
        <v>1</v>
      </c>
      <c r="L281" s="17">
        <v>3</v>
      </c>
      <c r="M281" s="17">
        <v>4</v>
      </c>
      <c r="N281" s="17">
        <v>869</v>
      </c>
      <c r="O281" s="17">
        <v>0</v>
      </c>
      <c r="P281" s="17">
        <v>1</v>
      </c>
      <c r="Q281" s="17">
        <v>870</v>
      </c>
      <c r="R281" s="17">
        <v>0</v>
      </c>
      <c r="S281" s="17">
        <v>947</v>
      </c>
      <c r="T281" s="13" t="str">
        <f>VLOOKUP(A281,'[1]210 RAU complete'!$A$1:$E$292,2,0)</f>
        <v>तिल्लौर खुर्द (ग्रामीण)</v>
      </c>
      <c r="U281" s="13" t="str">
        <f>VLOOKUP(A281,'[1]210 RAU complete'!$A$1:$E$292,3,0)</f>
        <v>शा.मा.वि. भवन, क.नं. 1, तिल्लौर खुर्द</v>
      </c>
      <c r="V281" s="17">
        <f t="shared" si="8"/>
        <v>14</v>
      </c>
      <c r="W281" s="18">
        <f t="shared" si="9"/>
        <v>91.86906019007391</v>
      </c>
      <c r="X281" s="16"/>
    </row>
    <row r="282" spans="1:24" x14ac:dyDescent="0.25">
      <c r="A282" s="13">
        <v>282</v>
      </c>
      <c r="B282" s="24" t="s">
        <v>337</v>
      </c>
      <c r="C282" s="13">
        <v>232</v>
      </c>
      <c r="D282" s="13">
        <v>5</v>
      </c>
      <c r="E282" s="13">
        <v>715</v>
      </c>
      <c r="F282" s="13">
        <v>6</v>
      </c>
      <c r="G282" s="13">
        <v>0</v>
      </c>
      <c r="H282" s="13">
        <v>0</v>
      </c>
      <c r="I282" s="13">
        <v>0</v>
      </c>
      <c r="J282" s="13">
        <v>0</v>
      </c>
      <c r="K282" s="13">
        <v>3</v>
      </c>
      <c r="L282" s="13">
        <v>1</v>
      </c>
      <c r="M282" s="13">
        <v>1</v>
      </c>
      <c r="N282" s="13">
        <v>963</v>
      </c>
      <c r="O282" s="13">
        <v>0</v>
      </c>
      <c r="P282" s="13">
        <v>9</v>
      </c>
      <c r="Q282" s="13">
        <v>972</v>
      </c>
      <c r="R282" s="13">
        <v>0</v>
      </c>
      <c r="S282" s="13">
        <v>1529</v>
      </c>
      <c r="T282" s="13" t="str">
        <f>VLOOKUP(A282,'[1]210 RAU complete'!$A$1:$E$292,2,0)</f>
        <v>तिल्लौर खुर्द (ग्रामीण)</v>
      </c>
      <c r="U282" s="13" t="str">
        <f>VLOOKUP(A282,'[1]210 RAU complete'!$A$1:$E$292,3,0)</f>
        <v>शा.मा.वि. भवन, क.नं. 4, तिल्लौर खुर्द</v>
      </c>
      <c r="V282" s="13">
        <f t="shared" si="8"/>
        <v>483</v>
      </c>
      <c r="W282" s="15">
        <f t="shared" si="9"/>
        <v>63.570961412688035</v>
      </c>
      <c r="X282" s="16"/>
    </row>
    <row r="283" spans="1:24" x14ac:dyDescent="0.25">
      <c r="A283" s="13">
        <v>283</v>
      </c>
      <c r="B283" s="24" t="s">
        <v>338</v>
      </c>
      <c r="C283" s="13">
        <v>275</v>
      </c>
      <c r="D283" s="13">
        <v>3</v>
      </c>
      <c r="E283" s="13">
        <v>962</v>
      </c>
      <c r="F283" s="13">
        <v>2</v>
      </c>
      <c r="G283" s="13">
        <v>0</v>
      </c>
      <c r="H283" s="13">
        <v>1</v>
      </c>
      <c r="I283" s="13">
        <v>0</v>
      </c>
      <c r="J283" s="13">
        <v>0</v>
      </c>
      <c r="K283" s="13">
        <v>2</v>
      </c>
      <c r="L283" s="13">
        <v>3</v>
      </c>
      <c r="M283" s="13">
        <v>3</v>
      </c>
      <c r="N283" s="13">
        <v>1251</v>
      </c>
      <c r="O283" s="13">
        <v>0</v>
      </c>
      <c r="P283" s="13">
        <v>4</v>
      </c>
      <c r="Q283" s="13">
        <v>1255</v>
      </c>
      <c r="R283" s="13">
        <v>0</v>
      </c>
      <c r="S283" s="13">
        <v>1349</v>
      </c>
      <c r="T283" s="13" t="str">
        <f>VLOOKUP(A283,'[1]210 RAU complete'!$A$1:$E$292,2,0)</f>
        <v>तिल्लौर खुर्द (ग्रामीण)</v>
      </c>
      <c r="U283" s="13" t="str">
        <f>VLOOKUP(A283,'[1]210 RAU complete'!$A$1:$E$292,3,0)</f>
        <v>शा.आ.क.मा.वि. भवन, क.नं. 2, तिल्लौर खुर्द</v>
      </c>
      <c r="V283" s="13">
        <f t="shared" si="8"/>
        <v>687</v>
      </c>
      <c r="W283" s="15">
        <f t="shared" si="9"/>
        <v>93.031875463306164</v>
      </c>
      <c r="X283" s="16"/>
    </row>
    <row r="284" spans="1:24" x14ac:dyDescent="0.25">
      <c r="A284" s="17">
        <v>284</v>
      </c>
      <c r="B284" s="24" t="s">
        <v>339</v>
      </c>
      <c r="C284" s="17">
        <v>654</v>
      </c>
      <c r="D284" s="17">
        <v>5</v>
      </c>
      <c r="E284" s="17">
        <v>587</v>
      </c>
      <c r="F284" s="17">
        <v>5</v>
      </c>
      <c r="G284" s="17">
        <v>0</v>
      </c>
      <c r="H284" s="17">
        <v>5</v>
      </c>
      <c r="I284" s="17">
        <v>0</v>
      </c>
      <c r="J284" s="17">
        <v>0</v>
      </c>
      <c r="K284" s="17">
        <v>1</v>
      </c>
      <c r="L284" s="17">
        <v>1</v>
      </c>
      <c r="M284" s="17">
        <v>5</v>
      </c>
      <c r="N284" s="17">
        <v>1263</v>
      </c>
      <c r="O284" s="17">
        <v>0</v>
      </c>
      <c r="P284" s="17">
        <v>20</v>
      </c>
      <c r="Q284" s="17">
        <v>1283</v>
      </c>
      <c r="R284" s="17">
        <v>0</v>
      </c>
      <c r="S284" s="17">
        <v>1405</v>
      </c>
      <c r="T284" s="13" t="str">
        <f>VLOOKUP(A284,'[1]210 RAU complete'!$A$1:$E$292,2,0)</f>
        <v>तिल्लौर खुर्द (ग्रामीण)</v>
      </c>
      <c r="U284" s="13" t="str">
        <f>VLOOKUP(A284,'[1]210 RAU complete'!$A$1:$E$292,3,0)</f>
        <v>शा.मा.वि. भवन, क.नं. 4, तिल्लौर खुर्द</v>
      </c>
      <c r="V284" s="17">
        <f t="shared" si="8"/>
        <v>67</v>
      </c>
      <c r="W284" s="18">
        <f t="shared" si="9"/>
        <v>91.316725978647682</v>
      </c>
      <c r="X284" s="16"/>
    </row>
    <row r="285" spans="1:24" x14ac:dyDescent="0.25">
      <c r="A285" s="13">
        <v>285</v>
      </c>
      <c r="B285" s="24" t="s">
        <v>340</v>
      </c>
      <c r="C285" s="13">
        <v>211</v>
      </c>
      <c r="D285" s="13">
        <v>3</v>
      </c>
      <c r="E285" s="13">
        <v>304</v>
      </c>
      <c r="F285" s="13">
        <v>1</v>
      </c>
      <c r="G285" s="13">
        <v>0</v>
      </c>
      <c r="H285" s="13">
        <v>2</v>
      </c>
      <c r="I285" s="13">
        <v>0</v>
      </c>
      <c r="J285" s="13">
        <v>0</v>
      </c>
      <c r="K285" s="13">
        <v>2</v>
      </c>
      <c r="L285" s="13">
        <v>2</v>
      </c>
      <c r="M285" s="13">
        <v>2</v>
      </c>
      <c r="N285" s="13">
        <v>527</v>
      </c>
      <c r="O285" s="13">
        <v>0</v>
      </c>
      <c r="P285" s="13">
        <v>11</v>
      </c>
      <c r="Q285" s="13">
        <v>538</v>
      </c>
      <c r="R285" s="13">
        <v>0</v>
      </c>
      <c r="S285" s="13">
        <v>1529</v>
      </c>
      <c r="T285" s="13" t="str">
        <f>VLOOKUP(A285,'[1]210 RAU complete'!$A$1:$E$292,2,0)</f>
        <v>काचरोट (ग्रामीण)</v>
      </c>
      <c r="U285" s="13" t="str">
        <f>VLOOKUP(A285,'[1]210 RAU complete'!$A$1:$E$292,3,0)</f>
        <v>शा.प्रा.वि. भवन, काचरोट, कमरा नं. 1</v>
      </c>
      <c r="V285" s="13">
        <f t="shared" si="8"/>
        <v>93</v>
      </c>
      <c r="W285" s="15">
        <f t="shared" si="9"/>
        <v>35.186396337475472</v>
      </c>
      <c r="X285" s="16"/>
    </row>
    <row r="286" spans="1:24" x14ac:dyDescent="0.25">
      <c r="A286" s="17">
        <v>286</v>
      </c>
      <c r="B286" s="24" t="s">
        <v>341</v>
      </c>
      <c r="C286" s="17">
        <v>457</v>
      </c>
      <c r="D286" s="17">
        <v>5</v>
      </c>
      <c r="E286" s="17">
        <v>414</v>
      </c>
      <c r="F286" s="17">
        <v>4</v>
      </c>
      <c r="G286" s="17">
        <v>1</v>
      </c>
      <c r="H286" s="17">
        <v>0</v>
      </c>
      <c r="I286" s="17">
        <v>0</v>
      </c>
      <c r="J286" s="17">
        <v>1</v>
      </c>
      <c r="K286" s="17">
        <v>1</v>
      </c>
      <c r="L286" s="17">
        <v>1</v>
      </c>
      <c r="M286" s="17">
        <v>5</v>
      </c>
      <c r="N286" s="17">
        <v>889</v>
      </c>
      <c r="O286" s="17">
        <v>0</v>
      </c>
      <c r="P286" s="17">
        <v>8</v>
      </c>
      <c r="Q286" s="17">
        <v>897</v>
      </c>
      <c r="R286" s="17">
        <v>0</v>
      </c>
      <c r="S286" s="17">
        <v>1327</v>
      </c>
      <c r="T286" s="13" t="str">
        <f>VLOOKUP(A286,'[1]210 RAU complete'!$A$1:$E$292,2,0)</f>
        <v>तिन्छा (ग्रामीण)</v>
      </c>
      <c r="U286" s="13" t="str">
        <f>VLOOKUP(A286,'[1]210 RAU complete'!$A$1:$E$292,3,0)</f>
        <v>शा.प्रा.वि. भवन, तिन्छा, कमरा नं. 2</v>
      </c>
      <c r="V286" s="17">
        <f t="shared" si="8"/>
        <v>43</v>
      </c>
      <c r="W286" s="18">
        <f t="shared" si="9"/>
        <v>67.596081386586278</v>
      </c>
      <c r="X286" s="16"/>
    </row>
    <row r="287" spans="1:24" x14ac:dyDescent="0.25">
      <c r="A287" s="13">
        <v>287</v>
      </c>
      <c r="B287" s="24" t="s">
        <v>342</v>
      </c>
      <c r="C287" s="13">
        <v>376</v>
      </c>
      <c r="D287" s="13">
        <v>5</v>
      </c>
      <c r="E287" s="13">
        <v>423</v>
      </c>
      <c r="F287" s="13">
        <v>2</v>
      </c>
      <c r="G287" s="13">
        <v>0</v>
      </c>
      <c r="H287" s="13">
        <v>5</v>
      </c>
      <c r="I287" s="13">
        <v>0</v>
      </c>
      <c r="J287" s="13">
        <v>0</v>
      </c>
      <c r="K287" s="13">
        <v>2</v>
      </c>
      <c r="L287" s="13">
        <v>4</v>
      </c>
      <c r="M287" s="13">
        <v>1</v>
      </c>
      <c r="N287" s="13">
        <v>818</v>
      </c>
      <c r="O287" s="13">
        <v>0</v>
      </c>
      <c r="P287" s="13">
        <v>10</v>
      </c>
      <c r="Q287" s="13">
        <v>828</v>
      </c>
      <c r="R287" s="13">
        <v>0</v>
      </c>
      <c r="S287" s="13">
        <v>880</v>
      </c>
      <c r="T287" s="13" t="str">
        <f>VLOOKUP(A287,'[1]210 RAU complete'!$A$1:$E$292,2,0)</f>
        <v>तिल्लौर बुजुर्ग (ग्रामीण)</v>
      </c>
      <c r="U287" s="13" t="str">
        <f>VLOOKUP(A287,'[1]210 RAU complete'!$A$1:$E$292,3,0)</f>
        <v>शा.प्रा.वि. भवन, क.नं. 1, तिल्लौर बुजुर्ग</v>
      </c>
      <c r="V287" s="13">
        <f t="shared" si="8"/>
        <v>47</v>
      </c>
      <c r="W287" s="15">
        <f t="shared" si="9"/>
        <v>94.090909090909093</v>
      </c>
      <c r="X287" s="16"/>
    </row>
    <row r="288" spans="1:24" x14ac:dyDescent="0.25">
      <c r="A288" s="13">
        <v>288</v>
      </c>
      <c r="B288" s="24" t="s">
        <v>343</v>
      </c>
      <c r="C288" s="13">
        <v>263</v>
      </c>
      <c r="D288" s="13">
        <v>8</v>
      </c>
      <c r="E288" s="13">
        <v>386</v>
      </c>
      <c r="F288" s="13">
        <v>1</v>
      </c>
      <c r="G288" s="13">
        <v>0</v>
      </c>
      <c r="H288" s="13">
        <v>3</v>
      </c>
      <c r="I288" s="13">
        <v>0</v>
      </c>
      <c r="J288" s="13">
        <v>0</v>
      </c>
      <c r="K288" s="13">
        <v>0</v>
      </c>
      <c r="L288" s="13">
        <v>1</v>
      </c>
      <c r="M288" s="13">
        <v>1</v>
      </c>
      <c r="N288" s="13">
        <v>663</v>
      </c>
      <c r="O288" s="13">
        <v>0</v>
      </c>
      <c r="P288" s="13">
        <v>3</v>
      </c>
      <c r="Q288" s="13">
        <v>666</v>
      </c>
      <c r="R288" s="13">
        <v>0</v>
      </c>
      <c r="S288" s="13">
        <v>1307</v>
      </c>
      <c r="T288" s="13" t="str">
        <f>VLOOKUP(A288,'[1]210 RAU complete'!$A$1:$E$292,2,0)</f>
        <v>तिल्लौर बुजुर्ग (ग्रामीण)</v>
      </c>
      <c r="U288" s="13" t="str">
        <f>VLOOKUP(A288,'[1]210 RAU complete'!$A$1:$E$292,3,0)</f>
        <v>शा.प्रा.वि. भवन, क.नं. 2, तिल्लौर बुजुर्ग</v>
      </c>
      <c r="V288" s="13">
        <f t="shared" si="8"/>
        <v>123</v>
      </c>
      <c r="W288" s="15">
        <f t="shared" si="9"/>
        <v>50.956388676358067</v>
      </c>
      <c r="X288" s="16"/>
    </row>
    <row r="289" spans="1:24" x14ac:dyDescent="0.25">
      <c r="A289" s="17">
        <v>289</v>
      </c>
      <c r="B289" s="24" t="s">
        <v>344</v>
      </c>
      <c r="C289" s="17">
        <v>601</v>
      </c>
      <c r="D289" s="17">
        <v>3</v>
      </c>
      <c r="E289" s="17">
        <v>530</v>
      </c>
      <c r="F289" s="17">
        <v>8</v>
      </c>
      <c r="G289" s="17">
        <v>0</v>
      </c>
      <c r="H289" s="17">
        <v>1</v>
      </c>
      <c r="I289" s="17">
        <v>0</v>
      </c>
      <c r="J289" s="17">
        <v>2</v>
      </c>
      <c r="K289" s="17">
        <v>1</v>
      </c>
      <c r="L289" s="17">
        <v>3</v>
      </c>
      <c r="M289" s="17">
        <v>3</v>
      </c>
      <c r="N289" s="17">
        <v>1152</v>
      </c>
      <c r="O289" s="17">
        <v>0</v>
      </c>
      <c r="P289" s="17">
        <v>17</v>
      </c>
      <c r="Q289" s="17">
        <v>1169</v>
      </c>
      <c r="R289" s="17">
        <v>0</v>
      </c>
      <c r="S289" s="17">
        <v>1495</v>
      </c>
      <c r="T289" s="13" t="str">
        <f>VLOOKUP(A289,'[1]210 RAU complete'!$A$1:$E$292,2,0)</f>
        <v>पिपल्दा</v>
      </c>
      <c r="U289" s="13" t="str">
        <f>VLOOKUP(A289,'[1]210 RAU complete'!$A$1:$E$292,3,0)</f>
        <v>शा.मा.वि. भवन,पिपल्दा क.नं. 4,</v>
      </c>
      <c r="V289" s="17">
        <f t="shared" si="8"/>
        <v>71</v>
      </c>
      <c r="W289" s="18">
        <f t="shared" si="9"/>
        <v>78.19397993311037</v>
      </c>
      <c r="X289" s="16"/>
    </row>
    <row r="290" spans="1:24" x14ac:dyDescent="0.25">
      <c r="A290" s="17">
        <v>290</v>
      </c>
      <c r="B290" s="24" t="s">
        <v>345</v>
      </c>
      <c r="C290" s="17">
        <v>682</v>
      </c>
      <c r="D290" s="17">
        <v>5</v>
      </c>
      <c r="E290" s="17">
        <v>447</v>
      </c>
      <c r="F290" s="17">
        <v>3</v>
      </c>
      <c r="G290" s="17">
        <v>1</v>
      </c>
      <c r="H290" s="17">
        <v>22</v>
      </c>
      <c r="I290" s="17">
        <v>1</v>
      </c>
      <c r="J290" s="17">
        <v>0</v>
      </c>
      <c r="K290" s="17">
        <v>5</v>
      </c>
      <c r="L290" s="17">
        <v>1</v>
      </c>
      <c r="M290" s="17">
        <v>3</v>
      </c>
      <c r="N290" s="17">
        <v>1170</v>
      </c>
      <c r="O290" s="17">
        <v>0</v>
      </c>
      <c r="P290" s="17">
        <v>10</v>
      </c>
      <c r="Q290" s="17">
        <v>1180</v>
      </c>
      <c r="R290" s="17">
        <v>0</v>
      </c>
      <c r="S290" s="17">
        <v>1253</v>
      </c>
      <c r="T290" s="13" t="str">
        <f>VLOOKUP(A290,'[1]210 RAU complete'!$A$1:$E$292,2,0)</f>
        <v>पिपल्दा</v>
      </c>
      <c r="U290" s="13" t="str">
        <f>VLOOKUP(A290,'[1]210 RAU complete'!$A$1:$E$292,3,0)</f>
        <v>शा.मा.वि. भवन, क.नं. 5, पिपल्दा</v>
      </c>
      <c r="V290" s="17">
        <f t="shared" si="8"/>
        <v>235</v>
      </c>
      <c r="W290" s="18">
        <f t="shared" si="9"/>
        <v>94.173982442138865</v>
      </c>
      <c r="X290" s="16"/>
    </row>
    <row r="291" spans="1:24" s="21" customFormat="1" x14ac:dyDescent="0.25">
      <c r="A291" s="19"/>
      <c r="B291" s="24" t="s">
        <v>346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20"/>
      <c r="X291" s="19"/>
    </row>
    <row r="292" spans="1:24" x14ac:dyDescent="0.25">
      <c r="A292" s="13">
        <v>291</v>
      </c>
      <c r="B292" s="24" t="s">
        <v>347</v>
      </c>
      <c r="C292" s="13">
        <v>300</v>
      </c>
      <c r="D292" s="13">
        <v>1</v>
      </c>
      <c r="E292" s="13">
        <v>399</v>
      </c>
      <c r="F292" s="13">
        <v>6</v>
      </c>
      <c r="G292" s="13">
        <v>2</v>
      </c>
      <c r="H292" s="13">
        <v>2</v>
      </c>
      <c r="I292" s="13">
        <v>0</v>
      </c>
      <c r="J292" s="13">
        <v>0</v>
      </c>
      <c r="K292" s="13">
        <v>0</v>
      </c>
      <c r="L292" s="13">
        <v>1</v>
      </c>
      <c r="M292" s="13">
        <v>2</v>
      </c>
      <c r="N292" s="13">
        <v>713</v>
      </c>
      <c r="O292" s="13">
        <v>0</v>
      </c>
      <c r="P292" s="13">
        <v>13</v>
      </c>
      <c r="Q292" s="13">
        <v>726</v>
      </c>
      <c r="R292" s="13">
        <v>0</v>
      </c>
      <c r="S292" s="13">
        <v>1150</v>
      </c>
      <c r="T292" s="13" t="str">
        <f>VLOOKUP(A292,'[1]210 RAU complete'!$A$1:$E$292,2,0)</f>
        <v>पिपल्दा (ग्रामीण)</v>
      </c>
      <c r="U292" s="13" t="str">
        <f>VLOOKUP(A292,'[1]210 RAU complete'!$A$1:$E$292,3,0)</f>
        <v>शा.मा.वि. भवन, क.नं. 3, पिपल्दा</v>
      </c>
      <c r="V292" s="13">
        <f t="shared" si="8"/>
        <v>99</v>
      </c>
      <c r="W292" s="15">
        <f t="shared" si="9"/>
        <v>63.130434782608688</v>
      </c>
      <c r="X292" s="16"/>
    </row>
    <row r="293" spans="1:24" x14ac:dyDescent="0.25">
      <c r="A293" s="17" t="s">
        <v>43</v>
      </c>
      <c r="B293" s="24" t="s">
        <v>348</v>
      </c>
      <c r="C293" s="17">
        <v>558</v>
      </c>
      <c r="D293" s="17">
        <v>19</v>
      </c>
      <c r="E293" s="17">
        <v>323</v>
      </c>
      <c r="F293" s="17">
        <v>2</v>
      </c>
      <c r="G293" s="17">
        <v>1</v>
      </c>
      <c r="H293" s="17">
        <v>3</v>
      </c>
      <c r="I293" s="17">
        <v>2</v>
      </c>
      <c r="J293" s="17">
        <v>0</v>
      </c>
      <c r="K293" s="17">
        <v>1</v>
      </c>
      <c r="L293" s="17">
        <v>1</v>
      </c>
      <c r="M293" s="17">
        <v>1</v>
      </c>
      <c r="N293" s="17">
        <v>911</v>
      </c>
      <c r="O293" s="17">
        <v>0</v>
      </c>
      <c r="P293" s="17">
        <v>7</v>
      </c>
      <c r="Q293" s="17">
        <v>918</v>
      </c>
      <c r="R293" s="17">
        <v>0</v>
      </c>
      <c r="S293" s="17">
        <v>1423</v>
      </c>
      <c r="T293" s="13" t="e">
        <f>VLOOKUP(A293,'[1]210 RAU complete'!$A$1:$E$292,2,0)</f>
        <v>#N/A</v>
      </c>
      <c r="U293" s="13" t="e">
        <f>VLOOKUP(A293,'[1]210 RAU complete'!$A$1:$E$292,3,0)</f>
        <v>#N/A</v>
      </c>
      <c r="V293" s="17">
        <f t="shared" si="8"/>
        <v>235</v>
      </c>
      <c r="W293" s="18">
        <f t="shared" si="9"/>
        <v>64.511595221363322</v>
      </c>
      <c r="X293" s="16"/>
    </row>
    <row r="294" spans="1:24" x14ac:dyDescent="0.25">
      <c r="A294" s="13" t="s">
        <v>5</v>
      </c>
      <c r="B294" s="24" t="s">
        <v>349</v>
      </c>
      <c r="C294" s="13">
        <v>169</v>
      </c>
      <c r="D294" s="13">
        <v>5</v>
      </c>
      <c r="E294" s="13">
        <v>442</v>
      </c>
      <c r="F294" s="13">
        <v>3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1</v>
      </c>
      <c r="N294" s="13">
        <v>620</v>
      </c>
      <c r="O294" s="13">
        <v>0</v>
      </c>
      <c r="P294" s="13">
        <v>5</v>
      </c>
      <c r="Q294" s="13">
        <v>625</v>
      </c>
      <c r="R294" s="13">
        <v>0</v>
      </c>
      <c r="S294" s="13">
        <v>705</v>
      </c>
      <c r="T294" s="13" t="e">
        <f>VLOOKUP(A294,'[1]210 RAU complete'!$A$1:$E$292,2,0)</f>
        <v>#N/A</v>
      </c>
      <c r="U294" s="13" t="e">
        <f>VLOOKUP(A294,'[1]210 RAU complete'!$A$1:$E$292,3,0)</f>
        <v>#N/A</v>
      </c>
      <c r="V294" s="13">
        <f t="shared" si="8"/>
        <v>273</v>
      </c>
      <c r="W294" s="15">
        <f t="shared" si="9"/>
        <v>88.652482269503537</v>
      </c>
      <c r="X294" s="16"/>
    </row>
    <row r="295" spans="1:24" x14ac:dyDescent="0.25">
      <c r="A295" s="13" t="s">
        <v>6</v>
      </c>
      <c r="B295" s="24" t="s">
        <v>350</v>
      </c>
      <c r="C295" s="13">
        <v>325</v>
      </c>
      <c r="D295" s="13">
        <v>2</v>
      </c>
      <c r="E295" s="13">
        <v>373</v>
      </c>
      <c r="F295" s="13">
        <v>1</v>
      </c>
      <c r="G295" s="13">
        <v>0</v>
      </c>
      <c r="H295" s="13">
        <v>14</v>
      </c>
      <c r="I295" s="13">
        <v>0</v>
      </c>
      <c r="J295" s="13">
        <v>0</v>
      </c>
      <c r="K295" s="13">
        <v>1</v>
      </c>
      <c r="L295" s="13">
        <v>0</v>
      </c>
      <c r="M295" s="13">
        <v>0</v>
      </c>
      <c r="N295" s="13">
        <v>716</v>
      </c>
      <c r="O295" s="13">
        <v>0</v>
      </c>
      <c r="P295" s="13">
        <v>0</v>
      </c>
      <c r="Q295" s="13">
        <v>716</v>
      </c>
      <c r="R295" s="13">
        <v>0</v>
      </c>
      <c r="S295" s="13">
        <v>824</v>
      </c>
      <c r="T295" s="13" t="e">
        <f>VLOOKUP(A295,'[1]210 RAU complete'!$A$1:$E$292,2,0)</f>
        <v>#N/A</v>
      </c>
      <c r="U295" s="13" t="e">
        <f>VLOOKUP(A295,'[1]210 RAU complete'!$A$1:$E$292,3,0)</f>
        <v>#N/A</v>
      </c>
      <c r="V295" s="13">
        <f t="shared" si="8"/>
        <v>48</v>
      </c>
      <c r="W295" s="15">
        <f t="shared" si="9"/>
        <v>86.893203883495147</v>
      </c>
      <c r="X295" s="16"/>
    </row>
    <row r="296" spans="1:24" x14ac:dyDescent="0.25">
      <c r="A296" s="17" t="s">
        <v>22</v>
      </c>
      <c r="B296" s="24" t="s">
        <v>351</v>
      </c>
      <c r="C296" s="17">
        <v>634</v>
      </c>
      <c r="D296" s="17">
        <v>1</v>
      </c>
      <c r="E296" s="17">
        <v>7</v>
      </c>
      <c r="F296" s="17">
        <v>0</v>
      </c>
      <c r="G296" s="17">
        <v>0</v>
      </c>
      <c r="H296" s="17">
        <v>1</v>
      </c>
      <c r="I296" s="17">
        <v>5</v>
      </c>
      <c r="J296" s="17">
        <v>0</v>
      </c>
      <c r="K296" s="17">
        <v>0</v>
      </c>
      <c r="L296" s="17">
        <v>0</v>
      </c>
      <c r="M296" s="17">
        <v>0</v>
      </c>
      <c r="N296" s="17">
        <v>648</v>
      </c>
      <c r="O296" s="17">
        <v>0</v>
      </c>
      <c r="P296" s="17">
        <v>3</v>
      </c>
      <c r="Q296" s="17">
        <v>651</v>
      </c>
      <c r="R296" s="17">
        <v>0</v>
      </c>
      <c r="S296" s="17">
        <v>756</v>
      </c>
      <c r="T296" s="13" t="e">
        <f>VLOOKUP(A296,'[1]210 RAU complete'!$A$1:$E$292,2,0)</f>
        <v>#N/A</v>
      </c>
      <c r="U296" s="13" t="e">
        <f>VLOOKUP(A296,'[1]210 RAU complete'!$A$1:$E$292,3,0)</f>
        <v>#N/A</v>
      </c>
      <c r="V296" s="17">
        <f t="shared" si="8"/>
        <v>627</v>
      </c>
      <c r="W296" s="15">
        <f t="shared" ref="W296:W320" si="10">(Q296/S296)*100</f>
        <v>86.111111111111114</v>
      </c>
      <c r="X296" s="16"/>
    </row>
    <row r="297" spans="1:24" x14ac:dyDescent="0.25">
      <c r="A297" s="17" t="s">
        <v>23</v>
      </c>
      <c r="B297" s="24" t="s">
        <v>352</v>
      </c>
      <c r="C297" s="17">
        <v>548</v>
      </c>
      <c r="D297" s="17">
        <v>0</v>
      </c>
      <c r="E297" s="17">
        <v>3</v>
      </c>
      <c r="F297" s="17">
        <v>0</v>
      </c>
      <c r="G297" s="17">
        <v>0</v>
      </c>
      <c r="H297" s="17">
        <v>2</v>
      </c>
      <c r="I297" s="17">
        <v>0</v>
      </c>
      <c r="J297" s="17">
        <v>0</v>
      </c>
      <c r="K297" s="17">
        <v>0</v>
      </c>
      <c r="L297" s="17">
        <v>1</v>
      </c>
      <c r="M297" s="17">
        <v>0</v>
      </c>
      <c r="N297" s="17">
        <v>554</v>
      </c>
      <c r="O297" s="17">
        <v>0</v>
      </c>
      <c r="P297" s="17">
        <v>2</v>
      </c>
      <c r="Q297" s="17">
        <v>556</v>
      </c>
      <c r="R297" s="17">
        <v>0</v>
      </c>
      <c r="S297" s="17">
        <v>744</v>
      </c>
      <c r="T297" s="13" t="e">
        <f>VLOOKUP(A297,'[1]210 RAU complete'!$A$1:$E$292,2,0)</f>
        <v>#N/A</v>
      </c>
      <c r="U297" s="13" t="e">
        <f>VLOOKUP(A297,'[1]210 RAU complete'!$A$1:$E$292,3,0)</f>
        <v>#N/A</v>
      </c>
      <c r="V297" s="17">
        <f t="shared" si="8"/>
        <v>545</v>
      </c>
      <c r="W297" s="15">
        <f t="shared" si="10"/>
        <v>74.731182795698928</v>
      </c>
      <c r="X297" s="16"/>
    </row>
    <row r="298" spans="1:24" x14ac:dyDescent="0.25">
      <c r="A298" s="13" t="s">
        <v>24</v>
      </c>
      <c r="B298" s="24" t="s">
        <v>353</v>
      </c>
      <c r="C298" s="13">
        <v>125</v>
      </c>
      <c r="D298" s="13">
        <v>0</v>
      </c>
      <c r="E298" s="13">
        <v>521</v>
      </c>
      <c r="F298" s="13">
        <v>1</v>
      </c>
      <c r="G298" s="13">
        <v>0</v>
      </c>
      <c r="H298" s="13">
        <v>0</v>
      </c>
      <c r="I298" s="13">
        <v>1</v>
      </c>
      <c r="J298" s="13">
        <v>1</v>
      </c>
      <c r="K298" s="13">
        <v>6</v>
      </c>
      <c r="L298" s="13">
        <v>0</v>
      </c>
      <c r="M298" s="13">
        <v>0</v>
      </c>
      <c r="N298" s="13">
        <v>655</v>
      </c>
      <c r="O298" s="13">
        <v>0</v>
      </c>
      <c r="P298" s="13">
        <v>2</v>
      </c>
      <c r="Q298" s="13">
        <v>657</v>
      </c>
      <c r="R298" s="13">
        <v>0</v>
      </c>
      <c r="S298" s="13">
        <v>753</v>
      </c>
      <c r="T298" s="13" t="e">
        <f>VLOOKUP(A298,'[1]210 RAU complete'!$A$1:$E$292,2,0)</f>
        <v>#N/A</v>
      </c>
      <c r="U298" s="13" t="e">
        <f>VLOOKUP(A298,'[1]210 RAU complete'!$A$1:$E$292,3,0)</f>
        <v>#N/A</v>
      </c>
      <c r="V298" s="13">
        <f t="shared" si="8"/>
        <v>396</v>
      </c>
      <c r="W298" s="15">
        <f t="shared" si="10"/>
        <v>87.250996015936252</v>
      </c>
      <c r="X298" s="16"/>
    </row>
    <row r="299" spans="1:24" x14ac:dyDescent="0.25">
      <c r="A299" s="13" t="s">
        <v>25</v>
      </c>
      <c r="B299" s="24" t="s">
        <v>354</v>
      </c>
      <c r="C299" s="13">
        <v>208</v>
      </c>
      <c r="D299" s="13">
        <v>3</v>
      </c>
      <c r="E299" s="13">
        <v>392</v>
      </c>
      <c r="F299" s="13">
        <v>1</v>
      </c>
      <c r="G299" s="13">
        <v>0</v>
      </c>
      <c r="H299" s="13">
        <v>0</v>
      </c>
      <c r="I299" s="13">
        <v>0</v>
      </c>
      <c r="J299" s="13">
        <v>1</v>
      </c>
      <c r="K299" s="13">
        <v>4</v>
      </c>
      <c r="L299" s="13">
        <v>0</v>
      </c>
      <c r="M299" s="13">
        <v>0</v>
      </c>
      <c r="N299" s="13">
        <v>609</v>
      </c>
      <c r="O299" s="13">
        <v>0</v>
      </c>
      <c r="P299" s="13">
        <v>9</v>
      </c>
      <c r="Q299" s="13">
        <v>618</v>
      </c>
      <c r="R299" s="13">
        <v>0</v>
      </c>
      <c r="S299" s="13">
        <v>852</v>
      </c>
      <c r="T299" s="13" t="e">
        <f>VLOOKUP(A299,'[1]210 RAU complete'!$A$1:$E$292,2,0)</f>
        <v>#N/A</v>
      </c>
      <c r="U299" s="13" t="e">
        <f>VLOOKUP(A299,'[1]210 RAU complete'!$A$1:$E$292,3,0)</f>
        <v>#N/A</v>
      </c>
      <c r="V299" s="13">
        <f t="shared" si="8"/>
        <v>184</v>
      </c>
      <c r="W299" s="15">
        <f t="shared" si="10"/>
        <v>72.535211267605632</v>
      </c>
      <c r="X299" s="16"/>
    </row>
    <row r="300" spans="1:24" x14ac:dyDescent="0.25">
      <c r="A300" s="13" t="s">
        <v>26</v>
      </c>
      <c r="B300" s="24" t="s">
        <v>355</v>
      </c>
      <c r="C300" s="13">
        <v>204</v>
      </c>
      <c r="D300" s="13">
        <v>1</v>
      </c>
      <c r="E300" s="13">
        <v>412</v>
      </c>
      <c r="F300" s="13">
        <v>1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1</v>
      </c>
      <c r="N300" s="13">
        <v>619</v>
      </c>
      <c r="O300" s="13">
        <v>0</v>
      </c>
      <c r="P300" s="13">
        <v>2</v>
      </c>
      <c r="Q300" s="13">
        <v>621</v>
      </c>
      <c r="R300" s="13">
        <v>0</v>
      </c>
      <c r="S300" s="13">
        <v>844</v>
      </c>
      <c r="T300" s="13" t="e">
        <f>VLOOKUP(A300,'[1]210 RAU complete'!$A$1:$E$292,2,0)</f>
        <v>#N/A</v>
      </c>
      <c r="U300" s="13" t="e">
        <f>VLOOKUP(A300,'[1]210 RAU complete'!$A$1:$E$292,3,0)</f>
        <v>#N/A</v>
      </c>
      <c r="V300" s="13">
        <f t="shared" si="8"/>
        <v>208</v>
      </c>
      <c r="W300" s="15">
        <f t="shared" si="10"/>
        <v>73.578199052132703</v>
      </c>
      <c r="X300" s="16"/>
    </row>
    <row r="301" spans="1:24" x14ac:dyDescent="0.25">
      <c r="A301" s="17" t="s">
        <v>27</v>
      </c>
      <c r="B301" s="24" t="s">
        <v>356</v>
      </c>
      <c r="C301" s="17">
        <v>344</v>
      </c>
      <c r="D301" s="17">
        <v>3</v>
      </c>
      <c r="E301" s="17">
        <v>285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1</v>
      </c>
      <c r="L301" s="17">
        <v>1</v>
      </c>
      <c r="M301" s="17">
        <v>1</v>
      </c>
      <c r="N301" s="17">
        <v>635</v>
      </c>
      <c r="O301" s="17">
        <v>0</v>
      </c>
      <c r="P301" s="17">
        <v>3</v>
      </c>
      <c r="Q301" s="17">
        <v>638</v>
      </c>
      <c r="R301" s="17">
        <v>0</v>
      </c>
      <c r="S301" s="17">
        <v>725</v>
      </c>
      <c r="T301" s="13" t="e">
        <f>VLOOKUP(A301,'[1]210 RAU complete'!$A$1:$E$292,2,0)</f>
        <v>#N/A</v>
      </c>
      <c r="U301" s="13" t="e">
        <f>VLOOKUP(A301,'[1]210 RAU complete'!$A$1:$E$292,3,0)</f>
        <v>#N/A</v>
      </c>
      <c r="V301" s="17">
        <f t="shared" si="8"/>
        <v>59</v>
      </c>
      <c r="W301" s="15">
        <f t="shared" si="10"/>
        <v>88</v>
      </c>
      <c r="X301" s="16"/>
    </row>
    <row r="302" spans="1:24" x14ac:dyDescent="0.25">
      <c r="A302" s="13" t="s">
        <v>28</v>
      </c>
      <c r="B302" s="24" t="s">
        <v>357</v>
      </c>
      <c r="C302" s="13">
        <v>221</v>
      </c>
      <c r="D302" s="13">
        <v>1</v>
      </c>
      <c r="E302" s="13">
        <v>408</v>
      </c>
      <c r="F302" s="13">
        <v>1</v>
      </c>
      <c r="G302" s="13">
        <v>0</v>
      </c>
      <c r="H302" s="13">
        <v>1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632</v>
      </c>
      <c r="O302" s="13">
        <v>0</v>
      </c>
      <c r="P302" s="13">
        <v>4</v>
      </c>
      <c r="Q302" s="13">
        <v>636</v>
      </c>
      <c r="R302" s="13">
        <v>0</v>
      </c>
      <c r="S302" s="13">
        <v>852</v>
      </c>
      <c r="T302" s="13" t="e">
        <f>VLOOKUP(A302,'[1]210 RAU complete'!$A$1:$E$292,2,0)</f>
        <v>#N/A</v>
      </c>
      <c r="U302" s="13" t="e">
        <f>VLOOKUP(A302,'[1]210 RAU complete'!$A$1:$E$292,3,0)</f>
        <v>#N/A</v>
      </c>
      <c r="V302" s="13">
        <f t="shared" si="8"/>
        <v>187</v>
      </c>
      <c r="W302" s="15">
        <f t="shared" si="10"/>
        <v>74.647887323943664</v>
      </c>
      <c r="X302" s="16"/>
    </row>
    <row r="303" spans="1:24" x14ac:dyDescent="0.25">
      <c r="A303" s="17" t="s">
        <v>29</v>
      </c>
      <c r="B303" s="24" t="s">
        <v>358</v>
      </c>
      <c r="C303" s="17">
        <v>411</v>
      </c>
      <c r="D303" s="17">
        <v>1</v>
      </c>
      <c r="E303" s="17">
        <v>226</v>
      </c>
      <c r="F303" s="17">
        <v>2</v>
      </c>
      <c r="G303" s="17">
        <v>0</v>
      </c>
      <c r="H303" s="17">
        <v>0</v>
      </c>
      <c r="I303" s="17">
        <v>0</v>
      </c>
      <c r="J303" s="17">
        <v>1</v>
      </c>
      <c r="K303" s="17">
        <v>0</v>
      </c>
      <c r="L303" s="17">
        <v>1</v>
      </c>
      <c r="M303" s="17">
        <v>0</v>
      </c>
      <c r="N303" s="17">
        <v>642</v>
      </c>
      <c r="O303" s="17">
        <v>0</v>
      </c>
      <c r="P303" s="17">
        <v>4</v>
      </c>
      <c r="Q303" s="17">
        <v>646</v>
      </c>
      <c r="R303" s="17">
        <v>0</v>
      </c>
      <c r="S303" s="17">
        <v>732</v>
      </c>
      <c r="T303" s="13" t="e">
        <f>VLOOKUP(A303,'[1]210 RAU complete'!$A$1:$E$292,2,0)</f>
        <v>#N/A</v>
      </c>
      <c r="U303" s="13" t="e">
        <f>VLOOKUP(A303,'[1]210 RAU complete'!$A$1:$E$292,3,0)</f>
        <v>#N/A</v>
      </c>
      <c r="V303" s="17">
        <f t="shared" si="8"/>
        <v>185</v>
      </c>
      <c r="W303" s="15">
        <f t="shared" si="10"/>
        <v>88.251366120218577</v>
      </c>
      <c r="X303" s="16"/>
    </row>
    <row r="304" spans="1:24" x14ac:dyDescent="0.25">
      <c r="A304" s="13" t="s">
        <v>30</v>
      </c>
      <c r="B304" s="24" t="s">
        <v>359</v>
      </c>
      <c r="C304" s="13">
        <v>202</v>
      </c>
      <c r="D304" s="13">
        <v>4</v>
      </c>
      <c r="E304" s="13">
        <v>441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2</v>
      </c>
      <c r="L304" s="13">
        <v>0</v>
      </c>
      <c r="M304" s="13">
        <v>0</v>
      </c>
      <c r="N304" s="13">
        <v>649</v>
      </c>
      <c r="O304" s="13">
        <v>0</v>
      </c>
      <c r="P304" s="13">
        <v>3</v>
      </c>
      <c r="Q304" s="13">
        <v>652</v>
      </c>
      <c r="R304" s="13">
        <v>0</v>
      </c>
      <c r="S304" s="13">
        <v>845</v>
      </c>
      <c r="T304" s="13" t="e">
        <f>VLOOKUP(A304,'[1]210 RAU complete'!$A$1:$E$292,2,0)</f>
        <v>#N/A</v>
      </c>
      <c r="U304" s="13" t="e">
        <f>VLOOKUP(A304,'[1]210 RAU complete'!$A$1:$E$292,3,0)</f>
        <v>#N/A</v>
      </c>
      <c r="V304" s="13">
        <f t="shared" si="8"/>
        <v>239</v>
      </c>
      <c r="W304" s="15">
        <f t="shared" si="10"/>
        <v>77.15976331360946</v>
      </c>
      <c r="X304" s="16"/>
    </row>
    <row r="305" spans="1:24" x14ac:dyDescent="0.25">
      <c r="A305" s="13" t="s">
        <v>31</v>
      </c>
      <c r="B305" s="24" t="s">
        <v>360</v>
      </c>
      <c r="C305" s="13">
        <v>237</v>
      </c>
      <c r="D305" s="13">
        <v>1</v>
      </c>
      <c r="E305" s="13">
        <v>336</v>
      </c>
      <c r="F305" s="13">
        <v>1</v>
      </c>
      <c r="G305" s="13">
        <v>0</v>
      </c>
      <c r="H305" s="13">
        <v>0</v>
      </c>
      <c r="I305" s="13">
        <v>0</v>
      </c>
      <c r="J305" s="13">
        <v>0</v>
      </c>
      <c r="K305" s="13">
        <v>1</v>
      </c>
      <c r="L305" s="13">
        <v>0</v>
      </c>
      <c r="M305" s="13">
        <v>0</v>
      </c>
      <c r="N305" s="13">
        <v>576</v>
      </c>
      <c r="O305" s="13">
        <v>0</v>
      </c>
      <c r="P305" s="13">
        <v>1</v>
      </c>
      <c r="Q305" s="13">
        <v>577</v>
      </c>
      <c r="R305" s="13">
        <v>0</v>
      </c>
      <c r="S305" s="13">
        <v>704</v>
      </c>
      <c r="T305" s="13" t="e">
        <f>VLOOKUP(A305,'[1]210 RAU complete'!$A$1:$E$292,2,0)</f>
        <v>#N/A</v>
      </c>
      <c r="U305" s="13" t="e">
        <f>VLOOKUP(A305,'[1]210 RAU complete'!$A$1:$E$292,3,0)</f>
        <v>#N/A</v>
      </c>
      <c r="V305" s="13">
        <f t="shared" si="8"/>
        <v>99</v>
      </c>
      <c r="W305" s="15">
        <f t="shared" si="10"/>
        <v>81.960227272727266</v>
      </c>
      <c r="X305" s="16"/>
    </row>
    <row r="306" spans="1:24" x14ac:dyDescent="0.25">
      <c r="A306" s="17" t="s">
        <v>32</v>
      </c>
      <c r="B306" s="24" t="s">
        <v>361</v>
      </c>
      <c r="C306" s="17">
        <v>467</v>
      </c>
      <c r="D306" s="17">
        <v>1</v>
      </c>
      <c r="E306" s="17">
        <v>143</v>
      </c>
      <c r="F306" s="17">
        <v>1</v>
      </c>
      <c r="G306" s="17">
        <v>0</v>
      </c>
      <c r="H306" s="17">
        <v>0</v>
      </c>
      <c r="I306" s="17">
        <v>1</v>
      </c>
      <c r="J306" s="17">
        <v>0</v>
      </c>
      <c r="K306" s="17">
        <v>0</v>
      </c>
      <c r="L306" s="17">
        <v>0</v>
      </c>
      <c r="M306" s="17">
        <v>0</v>
      </c>
      <c r="N306" s="17">
        <v>613</v>
      </c>
      <c r="O306" s="17">
        <v>0</v>
      </c>
      <c r="P306" s="17">
        <v>3</v>
      </c>
      <c r="Q306" s="17">
        <v>616</v>
      </c>
      <c r="R306" s="17">
        <v>0</v>
      </c>
      <c r="S306" s="17">
        <v>804</v>
      </c>
      <c r="T306" s="13" t="e">
        <f>VLOOKUP(A306,'[1]210 RAU complete'!$A$1:$E$292,2,0)</f>
        <v>#N/A</v>
      </c>
      <c r="U306" s="13" t="e">
        <f>VLOOKUP(A306,'[1]210 RAU complete'!$A$1:$E$292,3,0)</f>
        <v>#N/A</v>
      </c>
      <c r="V306" s="17">
        <f t="shared" si="8"/>
        <v>324</v>
      </c>
      <c r="W306" s="15">
        <f t="shared" si="10"/>
        <v>76.616915422885569</v>
      </c>
      <c r="X306" s="16"/>
    </row>
    <row r="307" spans="1:24" x14ac:dyDescent="0.25">
      <c r="A307" s="13" t="s">
        <v>33</v>
      </c>
      <c r="B307" s="24" t="s">
        <v>362</v>
      </c>
      <c r="C307" s="13">
        <v>238</v>
      </c>
      <c r="D307" s="13">
        <v>0</v>
      </c>
      <c r="E307" s="13">
        <v>302</v>
      </c>
      <c r="F307" s="13">
        <v>0</v>
      </c>
      <c r="G307" s="13">
        <v>0</v>
      </c>
      <c r="H307" s="13">
        <v>0</v>
      </c>
      <c r="I307" s="13">
        <v>0</v>
      </c>
      <c r="J307" s="13">
        <v>0</v>
      </c>
      <c r="K307" s="13">
        <v>2</v>
      </c>
      <c r="L307" s="13">
        <v>0</v>
      </c>
      <c r="M307" s="13">
        <v>0</v>
      </c>
      <c r="N307" s="13">
        <v>542</v>
      </c>
      <c r="O307" s="13">
        <v>0</v>
      </c>
      <c r="P307" s="13">
        <v>7</v>
      </c>
      <c r="Q307" s="13">
        <v>549</v>
      </c>
      <c r="R307" s="13">
        <v>0</v>
      </c>
      <c r="S307" s="13">
        <v>705</v>
      </c>
      <c r="T307" s="13" t="e">
        <f>VLOOKUP(A307,'[1]210 RAU complete'!$A$1:$E$292,2,0)</f>
        <v>#N/A</v>
      </c>
      <c r="U307" s="13" t="e">
        <f>VLOOKUP(A307,'[1]210 RAU complete'!$A$1:$E$292,3,0)</f>
        <v>#N/A</v>
      </c>
      <c r="V307" s="13">
        <f t="shared" si="8"/>
        <v>64</v>
      </c>
      <c r="W307" s="15">
        <f t="shared" si="10"/>
        <v>77.872340425531917</v>
      </c>
      <c r="X307" s="16"/>
    </row>
    <row r="308" spans="1:24" x14ac:dyDescent="0.25">
      <c r="A308" s="13" t="s">
        <v>34</v>
      </c>
      <c r="B308" s="24" t="s">
        <v>363</v>
      </c>
      <c r="C308" s="13">
        <v>245</v>
      </c>
      <c r="D308" s="13">
        <v>2</v>
      </c>
      <c r="E308" s="13">
        <v>371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618</v>
      </c>
      <c r="O308" s="13">
        <v>0</v>
      </c>
      <c r="P308" s="13">
        <v>2</v>
      </c>
      <c r="Q308" s="13">
        <v>620</v>
      </c>
      <c r="R308" s="13">
        <v>0</v>
      </c>
      <c r="S308" s="13">
        <v>810</v>
      </c>
      <c r="T308" s="13" t="e">
        <f>VLOOKUP(A308,'[1]210 RAU complete'!$A$1:$E$292,2,0)</f>
        <v>#N/A</v>
      </c>
      <c r="U308" s="13" t="e">
        <f>VLOOKUP(A308,'[1]210 RAU complete'!$A$1:$E$292,3,0)</f>
        <v>#N/A</v>
      </c>
      <c r="V308" s="13">
        <f t="shared" si="8"/>
        <v>126</v>
      </c>
      <c r="W308" s="15">
        <f t="shared" si="10"/>
        <v>76.543209876543202</v>
      </c>
      <c r="X308" s="16"/>
    </row>
    <row r="309" spans="1:24" x14ac:dyDescent="0.25">
      <c r="A309" s="13" t="s">
        <v>35</v>
      </c>
      <c r="B309" s="24" t="s">
        <v>364</v>
      </c>
      <c r="C309" s="13">
        <v>152</v>
      </c>
      <c r="D309" s="13">
        <v>0</v>
      </c>
      <c r="E309" s="13">
        <v>537</v>
      </c>
      <c r="F309" s="13">
        <v>1</v>
      </c>
      <c r="G309" s="13">
        <v>1</v>
      </c>
      <c r="H309" s="13">
        <v>0</v>
      </c>
      <c r="I309" s="13">
        <v>0</v>
      </c>
      <c r="J309" s="13">
        <v>0</v>
      </c>
      <c r="K309" s="13">
        <v>4</v>
      </c>
      <c r="L309" s="13">
        <v>1</v>
      </c>
      <c r="M309" s="13">
        <v>0</v>
      </c>
      <c r="N309" s="13">
        <v>696</v>
      </c>
      <c r="O309" s="13">
        <v>0</v>
      </c>
      <c r="P309" s="13">
        <v>1</v>
      </c>
      <c r="Q309" s="13">
        <v>697</v>
      </c>
      <c r="R309" s="13">
        <v>0</v>
      </c>
      <c r="S309" s="13">
        <v>832</v>
      </c>
      <c r="T309" s="13" t="e">
        <f>VLOOKUP(A309,'[1]210 RAU complete'!$A$1:$E$292,2,0)</f>
        <v>#N/A</v>
      </c>
      <c r="U309" s="13" t="e">
        <f>VLOOKUP(A309,'[1]210 RAU complete'!$A$1:$E$292,3,0)</f>
        <v>#N/A</v>
      </c>
      <c r="V309" s="13">
        <f t="shared" si="8"/>
        <v>385</v>
      </c>
      <c r="W309" s="15">
        <f t="shared" si="10"/>
        <v>83.774038461538453</v>
      </c>
      <c r="X309" s="16"/>
    </row>
    <row r="310" spans="1:24" x14ac:dyDescent="0.25">
      <c r="A310" s="13" t="s">
        <v>36</v>
      </c>
      <c r="B310" s="24" t="s">
        <v>365</v>
      </c>
      <c r="C310" s="13">
        <v>157</v>
      </c>
      <c r="D310" s="13">
        <v>1</v>
      </c>
      <c r="E310" s="13">
        <v>462</v>
      </c>
      <c r="F310" s="13">
        <v>0</v>
      </c>
      <c r="G310" s="13">
        <v>0</v>
      </c>
      <c r="H310" s="13">
        <v>0</v>
      </c>
      <c r="I310" s="13">
        <v>0</v>
      </c>
      <c r="J310" s="13">
        <v>1</v>
      </c>
      <c r="K310" s="13">
        <v>1</v>
      </c>
      <c r="L310" s="13">
        <v>0</v>
      </c>
      <c r="M310" s="13">
        <v>0</v>
      </c>
      <c r="N310" s="13">
        <v>622</v>
      </c>
      <c r="O310" s="13">
        <v>0</v>
      </c>
      <c r="P310" s="13">
        <v>2</v>
      </c>
      <c r="Q310" s="13">
        <v>624</v>
      </c>
      <c r="R310" s="13">
        <v>0</v>
      </c>
      <c r="S310" s="13">
        <v>904</v>
      </c>
      <c r="T310" s="13" t="e">
        <f>VLOOKUP(A310,'[1]210 RAU complete'!$A$1:$E$292,2,0)</f>
        <v>#N/A</v>
      </c>
      <c r="U310" s="13" t="e">
        <f>VLOOKUP(A310,'[1]210 RAU complete'!$A$1:$E$292,3,0)</f>
        <v>#N/A</v>
      </c>
      <c r="V310" s="13">
        <f t="shared" si="8"/>
        <v>305</v>
      </c>
      <c r="W310" s="15">
        <f t="shared" si="10"/>
        <v>69.026548672566364</v>
      </c>
      <c r="X310" s="16"/>
    </row>
    <row r="311" spans="1:24" x14ac:dyDescent="0.25">
      <c r="A311" s="13" t="s">
        <v>37</v>
      </c>
      <c r="B311" s="24" t="s">
        <v>366</v>
      </c>
      <c r="C311" s="13">
        <v>240</v>
      </c>
      <c r="D311" s="13">
        <v>3</v>
      </c>
      <c r="E311" s="13">
        <v>396</v>
      </c>
      <c r="F311" s="13">
        <v>2</v>
      </c>
      <c r="G311" s="13">
        <v>0</v>
      </c>
      <c r="H311" s="13">
        <v>0</v>
      </c>
      <c r="I311" s="13">
        <v>0</v>
      </c>
      <c r="J311" s="13">
        <v>0</v>
      </c>
      <c r="K311" s="13">
        <v>0</v>
      </c>
      <c r="L311" s="13">
        <v>0</v>
      </c>
      <c r="M311" s="13">
        <v>1</v>
      </c>
      <c r="N311" s="13">
        <v>642</v>
      </c>
      <c r="O311" s="13">
        <v>0</v>
      </c>
      <c r="P311" s="13">
        <v>2</v>
      </c>
      <c r="Q311" s="13">
        <v>644</v>
      </c>
      <c r="R311" s="13">
        <v>0</v>
      </c>
      <c r="S311" s="13">
        <v>842</v>
      </c>
      <c r="T311" s="13" t="e">
        <f>VLOOKUP(A311,'[1]210 RAU complete'!$A$1:$E$292,2,0)</f>
        <v>#N/A</v>
      </c>
      <c r="U311" s="13" t="e">
        <f>VLOOKUP(A311,'[1]210 RAU complete'!$A$1:$E$292,3,0)</f>
        <v>#N/A</v>
      </c>
      <c r="V311" s="13">
        <f t="shared" si="8"/>
        <v>156</v>
      </c>
      <c r="W311" s="15">
        <f t="shared" si="10"/>
        <v>76.484560570071253</v>
      </c>
      <c r="X311" s="16"/>
    </row>
    <row r="312" spans="1:24" x14ac:dyDescent="0.25">
      <c r="A312" s="17" t="s">
        <v>38</v>
      </c>
      <c r="B312" s="24" t="s">
        <v>367</v>
      </c>
      <c r="C312" s="17">
        <v>395</v>
      </c>
      <c r="D312" s="17">
        <v>5</v>
      </c>
      <c r="E312" s="17">
        <v>366</v>
      </c>
      <c r="F312" s="17">
        <v>1</v>
      </c>
      <c r="G312" s="17">
        <v>1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1</v>
      </c>
      <c r="N312" s="17">
        <v>769</v>
      </c>
      <c r="O312" s="17">
        <v>0</v>
      </c>
      <c r="P312" s="17">
        <v>3</v>
      </c>
      <c r="Q312" s="17">
        <v>772</v>
      </c>
      <c r="R312" s="17">
        <v>0</v>
      </c>
      <c r="S312" s="17">
        <v>952</v>
      </c>
      <c r="T312" s="13" t="e">
        <f>VLOOKUP(A312,'[1]210 RAU complete'!$A$1:$E$292,2,0)</f>
        <v>#N/A</v>
      </c>
      <c r="U312" s="13" t="e">
        <f>VLOOKUP(A312,'[1]210 RAU complete'!$A$1:$E$292,3,0)</f>
        <v>#N/A</v>
      </c>
      <c r="V312" s="17">
        <f t="shared" si="8"/>
        <v>29</v>
      </c>
      <c r="W312" s="15">
        <f t="shared" si="10"/>
        <v>81.092436974789919</v>
      </c>
      <c r="X312" s="16"/>
    </row>
    <row r="313" spans="1:24" x14ac:dyDescent="0.25">
      <c r="A313" s="13" t="s">
        <v>39</v>
      </c>
      <c r="B313" s="24" t="s">
        <v>368</v>
      </c>
      <c r="C313" s="13">
        <v>253</v>
      </c>
      <c r="D313" s="13">
        <v>3</v>
      </c>
      <c r="E313" s="13">
        <v>428</v>
      </c>
      <c r="F313" s="13">
        <v>4</v>
      </c>
      <c r="G313" s="13">
        <v>0</v>
      </c>
      <c r="H313" s="13">
        <v>0</v>
      </c>
      <c r="I313" s="13">
        <v>0</v>
      </c>
      <c r="J313" s="13">
        <v>1</v>
      </c>
      <c r="K313" s="13">
        <v>4</v>
      </c>
      <c r="L313" s="13">
        <v>2</v>
      </c>
      <c r="M313" s="13">
        <v>0</v>
      </c>
      <c r="N313" s="13">
        <v>695</v>
      </c>
      <c r="O313" s="13">
        <v>0</v>
      </c>
      <c r="P313" s="13">
        <v>1</v>
      </c>
      <c r="Q313" s="13">
        <v>696</v>
      </c>
      <c r="R313" s="13">
        <v>0</v>
      </c>
      <c r="S313" s="13">
        <v>804</v>
      </c>
      <c r="T313" s="13" t="e">
        <f>VLOOKUP(A313,'[1]210 RAU complete'!$A$1:$E$292,2,0)</f>
        <v>#N/A</v>
      </c>
      <c r="U313" s="13" t="e">
        <f>VLOOKUP(A313,'[1]210 RAU complete'!$A$1:$E$292,3,0)</f>
        <v>#N/A</v>
      </c>
      <c r="V313" s="13">
        <f t="shared" si="8"/>
        <v>175</v>
      </c>
      <c r="W313" s="15">
        <f t="shared" si="10"/>
        <v>86.567164179104466</v>
      </c>
      <c r="X313" s="16"/>
    </row>
    <row r="314" spans="1:24" x14ac:dyDescent="0.25">
      <c r="A314" s="17" t="s">
        <v>40</v>
      </c>
      <c r="B314" s="24" t="s">
        <v>369</v>
      </c>
      <c r="C314" s="17">
        <v>407</v>
      </c>
      <c r="D314" s="17">
        <v>5</v>
      </c>
      <c r="E314" s="17">
        <v>280</v>
      </c>
      <c r="F314" s="17">
        <v>2</v>
      </c>
      <c r="G314" s="17">
        <v>0</v>
      </c>
      <c r="H314" s="17">
        <v>1</v>
      </c>
      <c r="I314" s="17">
        <v>0</v>
      </c>
      <c r="J314" s="17">
        <v>0</v>
      </c>
      <c r="K314" s="17">
        <v>1</v>
      </c>
      <c r="L314" s="17">
        <v>1</v>
      </c>
      <c r="M314" s="17">
        <v>0</v>
      </c>
      <c r="N314" s="17">
        <v>697</v>
      </c>
      <c r="O314" s="17">
        <v>0</v>
      </c>
      <c r="P314" s="17">
        <v>7</v>
      </c>
      <c r="Q314" s="17">
        <v>704</v>
      </c>
      <c r="R314" s="17">
        <v>0</v>
      </c>
      <c r="S314" s="17">
        <v>952</v>
      </c>
      <c r="T314" s="13" t="e">
        <f>VLOOKUP(A314,'[1]210 RAU complete'!$A$1:$E$292,2,0)</f>
        <v>#N/A</v>
      </c>
      <c r="U314" s="13" t="e">
        <f>VLOOKUP(A314,'[1]210 RAU complete'!$A$1:$E$292,3,0)</f>
        <v>#N/A</v>
      </c>
      <c r="V314" s="17">
        <f t="shared" si="8"/>
        <v>127</v>
      </c>
      <c r="W314" s="15">
        <f t="shared" si="10"/>
        <v>73.94957983193278</v>
      </c>
      <c r="X314" s="16"/>
    </row>
    <row r="315" spans="1:24" x14ac:dyDescent="0.25">
      <c r="A315" s="13" t="s">
        <v>41</v>
      </c>
      <c r="B315" s="24" t="s">
        <v>370</v>
      </c>
      <c r="C315" s="13">
        <v>281</v>
      </c>
      <c r="D315" s="13">
        <v>1</v>
      </c>
      <c r="E315" s="13">
        <v>412</v>
      </c>
      <c r="F315" s="13">
        <v>4</v>
      </c>
      <c r="G315" s="13">
        <v>0</v>
      </c>
      <c r="H315" s="13">
        <v>3</v>
      </c>
      <c r="I315" s="13">
        <v>0</v>
      </c>
      <c r="J315" s="13">
        <v>0</v>
      </c>
      <c r="K315" s="13">
        <v>0</v>
      </c>
      <c r="L315" s="13">
        <v>2</v>
      </c>
      <c r="M315" s="13">
        <v>1</v>
      </c>
      <c r="N315" s="13">
        <v>704</v>
      </c>
      <c r="O315" s="13">
        <v>0</v>
      </c>
      <c r="P315" s="13">
        <v>9</v>
      </c>
      <c r="Q315" s="13">
        <v>713</v>
      </c>
      <c r="R315" s="13">
        <v>0</v>
      </c>
      <c r="S315" s="13">
        <v>985</v>
      </c>
      <c r="T315" s="13" t="e">
        <f>VLOOKUP(A315,'[1]210 RAU complete'!$A$1:$E$292,2,0)</f>
        <v>#N/A</v>
      </c>
      <c r="U315" s="13" t="e">
        <f>VLOOKUP(A315,'[1]210 RAU complete'!$A$1:$E$292,3,0)</f>
        <v>#N/A</v>
      </c>
      <c r="V315" s="13">
        <f t="shared" si="8"/>
        <v>131</v>
      </c>
      <c r="W315" s="15">
        <f t="shared" si="10"/>
        <v>72.385786802030466</v>
      </c>
      <c r="X315" s="16"/>
    </row>
    <row r="316" spans="1:24" x14ac:dyDescent="0.25">
      <c r="A316" s="13" t="s">
        <v>0</v>
      </c>
      <c r="B316" s="24" t="s">
        <v>371</v>
      </c>
      <c r="C316" s="13">
        <v>172</v>
      </c>
      <c r="D316" s="13">
        <v>1</v>
      </c>
      <c r="E316" s="13">
        <v>400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1</v>
      </c>
      <c r="L316" s="13">
        <v>0</v>
      </c>
      <c r="M316" s="13">
        <v>0</v>
      </c>
      <c r="N316" s="13">
        <v>574</v>
      </c>
      <c r="O316" s="13">
        <v>0</v>
      </c>
      <c r="P316" s="13">
        <v>5</v>
      </c>
      <c r="Q316" s="13">
        <v>579</v>
      </c>
      <c r="R316" s="13">
        <v>0</v>
      </c>
      <c r="S316" s="13">
        <v>705</v>
      </c>
      <c r="T316" s="13" t="e">
        <f>VLOOKUP(A316,'[1]210 RAU complete'!$A$1:$E$292,2,0)</f>
        <v>#N/A</v>
      </c>
      <c r="U316" s="13" t="e">
        <f>VLOOKUP(A316,'[1]210 RAU complete'!$A$1:$E$292,3,0)</f>
        <v>#N/A</v>
      </c>
      <c r="V316" s="13">
        <f t="shared" si="8"/>
        <v>228</v>
      </c>
      <c r="W316" s="15">
        <f t="shared" si="10"/>
        <v>82.127659574468083</v>
      </c>
      <c r="X316" s="16"/>
    </row>
    <row r="317" spans="1:24" x14ac:dyDescent="0.25">
      <c r="A317" s="17" t="s">
        <v>1</v>
      </c>
      <c r="B317" s="24" t="s">
        <v>372</v>
      </c>
      <c r="C317" s="17">
        <v>503</v>
      </c>
      <c r="D317" s="17">
        <v>0</v>
      </c>
      <c r="E317" s="17">
        <v>138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1</v>
      </c>
      <c r="L317" s="17">
        <v>0</v>
      </c>
      <c r="M317" s="17">
        <v>0</v>
      </c>
      <c r="N317" s="17">
        <v>642</v>
      </c>
      <c r="O317" s="17">
        <v>0</v>
      </c>
      <c r="P317" s="17">
        <v>2</v>
      </c>
      <c r="Q317" s="17">
        <v>644</v>
      </c>
      <c r="R317" s="17">
        <v>0</v>
      </c>
      <c r="S317" s="17">
        <v>877</v>
      </c>
      <c r="T317" s="13" t="e">
        <f>VLOOKUP(A317,'[1]210 RAU complete'!$A$1:$E$292,2,0)</f>
        <v>#N/A</v>
      </c>
      <c r="U317" s="13" t="e">
        <f>VLOOKUP(A317,'[1]210 RAU complete'!$A$1:$E$292,3,0)</f>
        <v>#N/A</v>
      </c>
      <c r="V317" s="17">
        <f t="shared" si="8"/>
        <v>365</v>
      </c>
      <c r="W317" s="15">
        <f t="shared" si="10"/>
        <v>73.432155074116295</v>
      </c>
      <c r="X317" s="16"/>
    </row>
    <row r="318" spans="1:24" x14ac:dyDescent="0.25">
      <c r="A318" s="13" t="s">
        <v>2</v>
      </c>
      <c r="B318" s="24" t="s">
        <v>373</v>
      </c>
      <c r="C318" s="13">
        <v>317</v>
      </c>
      <c r="D318" s="13">
        <v>1</v>
      </c>
      <c r="E318" s="13">
        <v>383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1</v>
      </c>
      <c r="L318" s="13">
        <v>0</v>
      </c>
      <c r="M318" s="13">
        <v>0</v>
      </c>
      <c r="N318" s="13">
        <v>702</v>
      </c>
      <c r="O318" s="13">
        <v>0</v>
      </c>
      <c r="P318" s="13">
        <v>9</v>
      </c>
      <c r="Q318" s="13">
        <v>711</v>
      </c>
      <c r="R318" s="13">
        <v>0</v>
      </c>
      <c r="S318" s="13">
        <v>925</v>
      </c>
      <c r="T318" s="13" t="e">
        <f>VLOOKUP(A318,'[1]210 RAU complete'!$A$1:$E$292,2,0)</f>
        <v>#N/A</v>
      </c>
      <c r="U318" s="13" t="e">
        <f>VLOOKUP(A318,'[1]210 RAU complete'!$A$1:$E$292,3,0)</f>
        <v>#N/A</v>
      </c>
      <c r="V318" s="13">
        <f t="shared" si="8"/>
        <v>66</v>
      </c>
      <c r="W318" s="15">
        <f t="shared" si="10"/>
        <v>76.86486486486487</v>
      </c>
      <c r="X318" s="16"/>
    </row>
    <row r="319" spans="1:24" x14ac:dyDescent="0.25">
      <c r="A319" s="13" t="s">
        <v>3</v>
      </c>
      <c r="B319" s="24" t="s">
        <v>374</v>
      </c>
      <c r="C319" s="13">
        <v>197</v>
      </c>
      <c r="D319" s="13">
        <v>1</v>
      </c>
      <c r="E319" s="13">
        <v>473</v>
      </c>
      <c r="F319" s="13">
        <v>2</v>
      </c>
      <c r="G319" s="13">
        <v>0</v>
      </c>
      <c r="H319" s="13">
        <v>1</v>
      </c>
      <c r="I319" s="13">
        <v>0</v>
      </c>
      <c r="J319" s="13">
        <v>1</v>
      </c>
      <c r="K319" s="13">
        <v>0</v>
      </c>
      <c r="L319" s="13">
        <v>1</v>
      </c>
      <c r="M319" s="13">
        <v>0</v>
      </c>
      <c r="N319" s="13">
        <v>676</v>
      </c>
      <c r="O319" s="13">
        <v>0</v>
      </c>
      <c r="P319" s="13">
        <v>6</v>
      </c>
      <c r="Q319" s="13">
        <v>682</v>
      </c>
      <c r="R319" s="13">
        <v>0</v>
      </c>
      <c r="S319" s="13">
        <v>847</v>
      </c>
      <c r="T319" s="13" t="e">
        <f>VLOOKUP(A319,'[1]210 RAU complete'!$A$1:$E$292,2,0)</f>
        <v>#N/A</v>
      </c>
      <c r="U319" s="13" t="e">
        <f>VLOOKUP(A319,'[1]210 RAU complete'!$A$1:$E$292,3,0)</f>
        <v>#N/A</v>
      </c>
      <c r="V319" s="13">
        <f t="shared" si="8"/>
        <v>276</v>
      </c>
      <c r="W319" s="15">
        <f t="shared" si="10"/>
        <v>80.519480519480524</v>
      </c>
      <c r="X319" s="16"/>
    </row>
    <row r="320" spans="1:24" x14ac:dyDescent="0.25">
      <c r="A320" s="13" t="s">
        <v>4</v>
      </c>
      <c r="B320" s="24" t="s">
        <v>375</v>
      </c>
      <c r="C320" s="13">
        <v>164</v>
      </c>
      <c r="D320" s="13">
        <v>0</v>
      </c>
      <c r="E320" s="13">
        <v>474</v>
      </c>
      <c r="F320" s="13">
        <v>0</v>
      </c>
      <c r="G320" s="13">
        <v>0</v>
      </c>
      <c r="H320" s="13">
        <v>1</v>
      </c>
      <c r="I320" s="13">
        <v>0</v>
      </c>
      <c r="J320" s="13">
        <v>0</v>
      </c>
      <c r="K320" s="13">
        <v>5</v>
      </c>
      <c r="L320" s="13">
        <v>0</v>
      </c>
      <c r="M320" s="13">
        <v>0</v>
      </c>
      <c r="N320" s="13">
        <v>644</v>
      </c>
      <c r="O320" s="13">
        <v>0</v>
      </c>
      <c r="P320" s="13">
        <v>7</v>
      </c>
      <c r="Q320" s="13">
        <v>651</v>
      </c>
      <c r="R320" s="13">
        <v>0</v>
      </c>
      <c r="S320" s="13">
        <v>753</v>
      </c>
      <c r="T320" s="13" t="e">
        <f>VLOOKUP(A320,'[1]210 RAU complete'!$A$1:$E$292,2,0)</f>
        <v>#N/A</v>
      </c>
      <c r="U320" s="13" t="e">
        <f>VLOOKUP(A320,'[1]210 RAU complete'!$A$1:$E$292,3,0)</f>
        <v>#N/A</v>
      </c>
      <c r="V320" s="13">
        <f t="shared" si="8"/>
        <v>310</v>
      </c>
      <c r="W320" s="15">
        <f t="shared" si="10"/>
        <v>86.454183266932276</v>
      </c>
      <c r="X320" s="16"/>
    </row>
    <row r="321" spans="1:24" x14ac:dyDescent="0.25">
      <c r="A321" s="22" t="s">
        <v>54</v>
      </c>
      <c r="B321" s="22"/>
      <c r="C321" s="16">
        <v>114618</v>
      </c>
      <c r="D321" s="16">
        <v>1036</v>
      </c>
      <c r="E321" s="16">
        <v>150107</v>
      </c>
      <c r="F321" s="16">
        <v>617</v>
      </c>
      <c r="G321" s="16">
        <v>94</v>
      </c>
      <c r="H321" s="16">
        <v>543</v>
      </c>
      <c r="I321" s="16">
        <v>119</v>
      </c>
      <c r="J321" s="16">
        <v>120</v>
      </c>
      <c r="K321" s="16">
        <v>564</v>
      </c>
      <c r="L321" s="16">
        <v>273</v>
      </c>
      <c r="M321" s="16">
        <v>328</v>
      </c>
      <c r="N321" s="16">
        <v>268419</v>
      </c>
      <c r="O321" s="16">
        <v>0</v>
      </c>
      <c r="P321" s="16">
        <v>2085</v>
      </c>
      <c r="Q321" s="16">
        <v>270504</v>
      </c>
      <c r="R321" s="16">
        <v>0</v>
      </c>
      <c r="S321" s="16"/>
      <c r="T321" s="13" t="e">
        <f>VLOOKUP(A321,'[1]210 RAU complete'!$A$1:$E$292,2,0)</f>
        <v>#N/A</v>
      </c>
      <c r="U321" s="13" t="e">
        <f>VLOOKUP(A321,'[1]210 RAU complete'!$A$1:$E$292,3,0)</f>
        <v>#N/A</v>
      </c>
      <c r="V321" s="16">
        <f t="shared" si="8"/>
        <v>35489</v>
      </c>
      <c r="W321" s="15"/>
      <c r="X321" s="16"/>
    </row>
    <row r="322" spans="1:24" x14ac:dyDescent="0.25">
      <c r="A322" s="22" t="s">
        <v>55</v>
      </c>
      <c r="B322" s="22"/>
      <c r="C322" s="16">
        <v>1532</v>
      </c>
      <c r="D322" s="16">
        <v>15</v>
      </c>
      <c r="E322" s="16">
        <v>1565</v>
      </c>
      <c r="F322" s="16">
        <v>0</v>
      </c>
      <c r="G322" s="16">
        <v>1</v>
      </c>
      <c r="H322" s="16">
        <v>1</v>
      </c>
      <c r="I322" s="16">
        <v>2</v>
      </c>
      <c r="J322" s="16">
        <v>1</v>
      </c>
      <c r="K322" s="16">
        <v>15</v>
      </c>
      <c r="L322" s="16">
        <v>0</v>
      </c>
      <c r="M322" s="16">
        <v>2</v>
      </c>
      <c r="N322" s="16">
        <v>3134</v>
      </c>
      <c r="O322" s="16">
        <v>368</v>
      </c>
      <c r="P322" s="16">
        <v>19</v>
      </c>
      <c r="Q322" s="16">
        <v>3521</v>
      </c>
      <c r="R322" s="16">
        <v>0</v>
      </c>
      <c r="S322" s="16"/>
      <c r="T322" s="13" t="e">
        <f>VLOOKUP(A322,'[1]210 RAU complete'!$A$1:$E$292,2,0)</f>
        <v>#N/A</v>
      </c>
      <c r="U322" s="13" t="e">
        <f>VLOOKUP(A322,'[1]210 RAU complete'!$A$1:$E$292,3,0)</f>
        <v>#N/A</v>
      </c>
      <c r="V322" s="16">
        <f t="shared" si="8"/>
        <v>33</v>
      </c>
      <c r="W322" s="15"/>
      <c r="X322" s="16"/>
    </row>
    <row r="323" spans="1:24" x14ac:dyDescent="0.25">
      <c r="A323" s="22" t="s">
        <v>56</v>
      </c>
      <c r="B323" s="22"/>
      <c r="C323" s="16">
        <v>116150</v>
      </c>
      <c r="D323" s="16">
        <v>1051</v>
      </c>
      <c r="E323" s="16">
        <v>151672</v>
      </c>
      <c r="F323" s="16">
        <v>617</v>
      </c>
      <c r="G323" s="16">
        <v>95</v>
      </c>
      <c r="H323" s="16">
        <v>544</v>
      </c>
      <c r="I323" s="16">
        <v>121</v>
      </c>
      <c r="J323" s="16">
        <v>121</v>
      </c>
      <c r="K323" s="16">
        <v>579</v>
      </c>
      <c r="L323" s="16">
        <v>273</v>
      </c>
      <c r="M323" s="16">
        <v>330</v>
      </c>
      <c r="N323" s="16">
        <v>271553</v>
      </c>
      <c r="O323" s="16">
        <v>368</v>
      </c>
      <c r="P323" s="16">
        <v>2104</v>
      </c>
      <c r="Q323" s="16">
        <v>274025</v>
      </c>
      <c r="R323" s="16">
        <v>0</v>
      </c>
      <c r="S323" s="16"/>
      <c r="T323" s="13" t="e">
        <f>VLOOKUP(A323,'[1]210 RAU complete'!$A$1:$E$292,2,0)</f>
        <v>#N/A</v>
      </c>
      <c r="U323" s="13" t="e">
        <f>VLOOKUP(A323,'[1]210 RAU complete'!$A$1:$E$292,3,0)</f>
        <v>#N/A</v>
      </c>
      <c r="V323" s="16">
        <f t="shared" si="8"/>
        <v>35522</v>
      </c>
      <c r="W323" s="15"/>
      <c r="X323" s="16"/>
    </row>
    <row r="330" spans="1:24" x14ac:dyDescent="0.25">
      <c r="S330" t="s">
        <v>43</v>
      </c>
    </row>
  </sheetData>
  <autoFilter ref="A1:X323" xr:uid="{00000000-0001-0000-0000-000000000000}"/>
  <mergeCells count="3">
    <mergeCell ref="A321:B321"/>
    <mergeCell ref="A322:B322"/>
    <mergeCell ref="A323:B323"/>
  </mergeCells>
  <conditionalFormatting sqref="C2:C320">
    <cfRule type="expression" dxfId="21" priority="9">
      <formula>C2&gt;E2</formula>
    </cfRule>
  </conditionalFormatting>
  <conditionalFormatting sqref="E2:E320">
    <cfRule type="expression" dxfId="20" priority="8">
      <formula>E2&gt;C2</formula>
    </cfRule>
  </conditionalFormatting>
  <conditionalFormatting sqref="V2:V320">
    <cfRule type="cellIs" dxfId="19" priority="6" operator="lessThan">
      <formula>190</formula>
    </cfRule>
    <cfRule type="cellIs" dxfId="18" priority="7" operator="greaterThan">
      <formula>370</formula>
    </cfRule>
  </conditionalFormatting>
  <conditionalFormatting sqref="W2:W293">
    <cfRule type="cellIs" dxfId="17" priority="4" operator="lessThan">
      <formula>60</formula>
    </cfRule>
  </conditionalFormatting>
  <conditionalFormatting sqref="W2:W320">
    <cfRule type="cellIs" dxfId="16" priority="1" operator="lessThan">
      <formula>60</formula>
    </cfRule>
    <cfRule type="cellIs" dxfId="15" priority="2" operator="lessThan">
      <formula>60</formula>
    </cfRule>
    <cfRule type="cellIs" dxfId="14" priority="3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3CBB-A35E-4746-9B43-6C2F5BFB7F7B}">
  <dimension ref="A1:AD107"/>
  <sheetViews>
    <sheetView topLeftCell="A82" workbookViewId="0">
      <selection activeCell="S1" sqref="S1"/>
    </sheetView>
  </sheetViews>
  <sheetFormatPr defaultRowHeight="15" x14ac:dyDescent="0.25"/>
  <cols>
    <col min="1" max="1" width="18" customWidth="1"/>
    <col min="2" max="2" width="11.5703125" customWidth="1"/>
  </cols>
  <sheetData>
    <row r="1" spans="1:30" s="8" customFormat="1" ht="90" x14ac:dyDescent="0.25">
      <c r="A1" s="5" t="s">
        <v>7</v>
      </c>
      <c r="B1" s="5" t="s">
        <v>46</v>
      </c>
      <c r="C1" s="5" t="s">
        <v>8</v>
      </c>
      <c r="D1" s="6" t="s">
        <v>47</v>
      </c>
      <c r="E1" s="5" t="s">
        <v>10</v>
      </c>
      <c r="F1" s="5" t="s">
        <v>21</v>
      </c>
      <c r="G1" s="5" t="s">
        <v>20</v>
      </c>
      <c r="H1" s="5" t="s">
        <v>19</v>
      </c>
      <c r="I1" s="5" t="s">
        <v>18</v>
      </c>
      <c r="J1" s="5" t="s">
        <v>9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7" t="s">
        <v>42</v>
      </c>
      <c r="S1" s="7" t="s">
        <v>44</v>
      </c>
      <c r="T1" s="7" t="s">
        <v>45</v>
      </c>
      <c r="U1" s="9" t="s">
        <v>50</v>
      </c>
      <c r="V1" s="9" t="s">
        <v>51</v>
      </c>
      <c r="AD1" s="8" t="s">
        <v>48</v>
      </c>
    </row>
    <row r="2" spans="1:30" x14ac:dyDescent="0.25">
      <c r="A2" s="1">
        <v>33</v>
      </c>
      <c r="B2" s="1">
        <v>179</v>
      </c>
      <c r="C2" s="1">
        <v>0</v>
      </c>
      <c r="D2" s="1">
        <v>590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2</v>
      </c>
      <c r="K2" s="1">
        <v>0</v>
      </c>
      <c r="L2" s="1">
        <v>0</v>
      </c>
      <c r="M2" s="1">
        <v>772</v>
      </c>
      <c r="N2" s="1">
        <v>0</v>
      </c>
      <c r="O2" s="1">
        <v>6</v>
      </c>
      <c r="P2" s="1">
        <v>778</v>
      </c>
      <c r="Q2" s="1">
        <v>0</v>
      </c>
      <c r="R2" s="1">
        <v>1464</v>
      </c>
      <c r="S2" s="1">
        <v>411</v>
      </c>
      <c r="T2" s="2">
        <v>53.142076502732237</v>
      </c>
      <c r="U2" t="e">
        <f t="shared" ref="U2:U33" si="0">IF(B2&gt;D2,S2,NA())</f>
        <v>#N/A</v>
      </c>
      <c r="V2">
        <f t="shared" ref="V2:V33" si="1">IF(D2&gt;B2,S2,NA())</f>
        <v>411</v>
      </c>
    </row>
    <row r="3" spans="1:30" x14ac:dyDescent="0.25">
      <c r="A3" s="1">
        <v>73</v>
      </c>
      <c r="B3" s="1">
        <v>123</v>
      </c>
      <c r="C3" s="1">
        <v>2</v>
      </c>
      <c r="D3" s="1">
        <v>558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5</v>
      </c>
      <c r="K3" s="1">
        <v>0</v>
      </c>
      <c r="L3" s="1">
        <v>1</v>
      </c>
      <c r="M3" s="1">
        <v>690</v>
      </c>
      <c r="N3" s="1">
        <v>0</v>
      </c>
      <c r="O3" s="1">
        <v>8</v>
      </c>
      <c r="P3" s="1">
        <v>698</v>
      </c>
      <c r="Q3" s="1">
        <v>0</v>
      </c>
      <c r="R3" s="1">
        <v>1397</v>
      </c>
      <c r="S3" s="1">
        <v>435</v>
      </c>
      <c r="T3" s="2">
        <v>49.964209019327129</v>
      </c>
      <c r="U3" t="e">
        <f t="shared" si="0"/>
        <v>#N/A</v>
      </c>
      <c r="V3">
        <f t="shared" si="1"/>
        <v>435</v>
      </c>
    </row>
    <row r="4" spans="1:30" x14ac:dyDescent="0.25">
      <c r="A4" s="3">
        <v>117</v>
      </c>
      <c r="B4" s="3">
        <v>551</v>
      </c>
      <c r="C4" s="3">
        <v>1</v>
      </c>
      <c r="D4" s="3">
        <v>38</v>
      </c>
      <c r="E4" s="3">
        <v>0</v>
      </c>
      <c r="F4" s="3">
        <v>1</v>
      </c>
      <c r="G4" s="3">
        <v>1</v>
      </c>
      <c r="H4" s="3">
        <v>2</v>
      </c>
      <c r="I4" s="3">
        <v>0</v>
      </c>
      <c r="J4" s="3">
        <v>0</v>
      </c>
      <c r="K4" s="3">
        <v>0</v>
      </c>
      <c r="L4" s="3">
        <v>1</v>
      </c>
      <c r="M4" s="3">
        <v>595</v>
      </c>
      <c r="N4" s="3">
        <v>0</v>
      </c>
      <c r="O4" s="3">
        <v>5</v>
      </c>
      <c r="P4" s="3">
        <v>600</v>
      </c>
      <c r="Q4" s="3">
        <v>0</v>
      </c>
      <c r="R4" s="3">
        <v>1198</v>
      </c>
      <c r="S4" s="3">
        <v>513</v>
      </c>
      <c r="T4" s="4">
        <v>50.083472454090149</v>
      </c>
      <c r="U4">
        <f t="shared" si="0"/>
        <v>513</v>
      </c>
      <c r="V4" t="e">
        <f t="shared" si="1"/>
        <v>#N/A</v>
      </c>
    </row>
    <row r="5" spans="1:30" x14ac:dyDescent="0.25">
      <c r="A5" s="3">
        <v>122</v>
      </c>
      <c r="B5" s="3">
        <v>656</v>
      </c>
      <c r="C5" s="3">
        <v>2</v>
      </c>
      <c r="D5" s="3">
        <v>192</v>
      </c>
      <c r="E5" s="3">
        <v>1</v>
      </c>
      <c r="F5" s="3">
        <v>0</v>
      </c>
      <c r="G5" s="3">
        <v>0</v>
      </c>
      <c r="H5" s="3">
        <v>1</v>
      </c>
      <c r="I5" s="3">
        <v>1</v>
      </c>
      <c r="J5" s="3">
        <v>3</v>
      </c>
      <c r="K5" s="3">
        <v>0</v>
      </c>
      <c r="L5" s="3">
        <v>0</v>
      </c>
      <c r="M5" s="3">
        <v>856</v>
      </c>
      <c r="N5" s="3">
        <v>0</v>
      </c>
      <c r="O5" s="3">
        <v>11</v>
      </c>
      <c r="P5" s="3">
        <v>867</v>
      </c>
      <c r="Q5" s="3">
        <v>0</v>
      </c>
      <c r="R5" s="3">
        <v>1455</v>
      </c>
      <c r="S5" s="3">
        <v>464</v>
      </c>
      <c r="T5" s="4">
        <v>59.587628865979383</v>
      </c>
      <c r="U5">
        <f t="shared" si="0"/>
        <v>464</v>
      </c>
      <c r="V5" t="e">
        <f t="shared" si="1"/>
        <v>#N/A</v>
      </c>
    </row>
    <row r="6" spans="1:30" x14ac:dyDescent="0.25">
      <c r="A6" s="3">
        <v>124</v>
      </c>
      <c r="B6" s="3">
        <v>791</v>
      </c>
      <c r="C6" s="3">
        <v>0</v>
      </c>
      <c r="D6" s="3">
        <v>13</v>
      </c>
      <c r="E6" s="3">
        <v>0</v>
      </c>
      <c r="F6" s="3">
        <v>0</v>
      </c>
      <c r="G6" s="3">
        <v>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806</v>
      </c>
      <c r="N6" s="3">
        <v>0</v>
      </c>
      <c r="O6" s="3">
        <v>3</v>
      </c>
      <c r="P6" s="3">
        <v>809</v>
      </c>
      <c r="Q6" s="3">
        <v>0</v>
      </c>
      <c r="R6" s="3">
        <v>1404</v>
      </c>
      <c r="S6" s="3">
        <v>778</v>
      </c>
      <c r="T6" s="4">
        <v>57.621082621082621</v>
      </c>
      <c r="U6">
        <f t="shared" si="0"/>
        <v>778</v>
      </c>
      <c r="V6" t="e">
        <f t="shared" si="1"/>
        <v>#N/A</v>
      </c>
    </row>
    <row r="7" spans="1:30" x14ac:dyDescent="0.25">
      <c r="A7" s="3">
        <v>128</v>
      </c>
      <c r="B7" s="3">
        <v>580</v>
      </c>
      <c r="C7" s="3">
        <v>0</v>
      </c>
      <c r="D7" s="3">
        <v>20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600</v>
      </c>
      <c r="N7" s="3">
        <v>0</v>
      </c>
      <c r="O7" s="3">
        <v>0</v>
      </c>
      <c r="P7" s="3">
        <v>600</v>
      </c>
      <c r="Q7" s="3">
        <v>0</v>
      </c>
      <c r="R7" s="3">
        <v>1465</v>
      </c>
      <c r="S7" s="3">
        <v>560</v>
      </c>
      <c r="T7" s="4">
        <v>40.955631399317404</v>
      </c>
      <c r="U7">
        <f t="shared" si="0"/>
        <v>560</v>
      </c>
      <c r="V7" t="e">
        <f t="shared" si="1"/>
        <v>#N/A</v>
      </c>
    </row>
    <row r="8" spans="1:30" x14ac:dyDescent="0.25">
      <c r="A8" s="3">
        <v>129</v>
      </c>
      <c r="B8" s="3">
        <v>631</v>
      </c>
      <c r="C8" s="3">
        <v>1</v>
      </c>
      <c r="D8" s="3">
        <v>139</v>
      </c>
      <c r="E8" s="3">
        <v>1</v>
      </c>
      <c r="F8" s="3">
        <v>0</v>
      </c>
      <c r="G8" s="3">
        <v>2</v>
      </c>
      <c r="H8" s="3">
        <v>0</v>
      </c>
      <c r="I8" s="3">
        <v>0</v>
      </c>
      <c r="J8" s="3">
        <v>3</v>
      </c>
      <c r="K8" s="3">
        <v>0</v>
      </c>
      <c r="L8" s="3">
        <v>1</v>
      </c>
      <c r="M8" s="3">
        <v>778</v>
      </c>
      <c r="N8" s="3">
        <v>0</v>
      </c>
      <c r="O8" s="3">
        <v>6</v>
      </c>
      <c r="P8" s="3">
        <v>784</v>
      </c>
      <c r="Q8" s="3">
        <v>0</v>
      </c>
      <c r="R8" s="3">
        <v>1429</v>
      </c>
      <c r="S8" s="3">
        <v>492</v>
      </c>
      <c r="T8" s="4">
        <v>54.863540937718682</v>
      </c>
      <c r="U8">
        <f t="shared" si="0"/>
        <v>492</v>
      </c>
      <c r="V8" t="e">
        <f t="shared" si="1"/>
        <v>#N/A</v>
      </c>
    </row>
    <row r="9" spans="1:30" x14ac:dyDescent="0.25">
      <c r="A9" s="3">
        <v>163</v>
      </c>
      <c r="B9" s="3">
        <v>506</v>
      </c>
      <c r="C9" s="3">
        <v>0</v>
      </c>
      <c r="D9" s="3">
        <v>32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538</v>
      </c>
      <c r="N9" s="3">
        <v>0</v>
      </c>
      <c r="O9" s="3">
        <v>0</v>
      </c>
      <c r="P9" s="3">
        <v>538</v>
      </c>
      <c r="Q9" s="3">
        <v>0</v>
      </c>
      <c r="R9" s="3">
        <v>1203</v>
      </c>
      <c r="S9" s="3">
        <v>474</v>
      </c>
      <c r="T9" s="4">
        <v>44.721529509559431</v>
      </c>
      <c r="U9">
        <f t="shared" si="0"/>
        <v>474</v>
      </c>
      <c r="V9" t="e">
        <f t="shared" si="1"/>
        <v>#N/A</v>
      </c>
    </row>
    <row r="10" spans="1:30" x14ac:dyDescent="0.25">
      <c r="A10" s="3">
        <v>188</v>
      </c>
      <c r="B10" s="3">
        <v>558</v>
      </c>
      <c r="C10" s="3">
        <v>5</v>
      </c>
      <c r="D10" s="3">
        <v>120</v>
      </c>
      <c r="E10" s="3">
        <v>2</v>
      </c>
      <c r="F10" s="3">
        <v>1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3</v>
      </c>
      <c r="M10" s="3">
        <v>690</v>
      </c>
      <c r="N10" s="3">
        <v>0</v>
      </c>
      <c r="O10" s="3">
        <v>6</v>
      </c>
      <c r="P10" s="3">
        <v>696</v>
      </c>
      <c r="Q10" s="3">
        <v>0</v>
      </c>
      <c r="R10" s="3">
        <v>1355</v>
      </c>
      <c r="S10" s="3">
        <v>438</v>
      </c>
      <c r="T10" s="4">
        <v>51.365313653136532</v>
      </c>
      <c r="U10">
        <f t="shared" si="0"/>
        <v>438</v>
      </c>
      <c r="V10" t="e">
        <f t="shared" si="1"/>
        <v>#N/A</v>
      </c>
    </row>
    <row r="11" spans="1:30" x14ac:dyDescent="0.25">
      <c r="A11" s="1">
        <v>38</v>
      </c>
      <c r="B11" s="1">
        <v>227</v>
      </c>
      <c r="C11" s="1">
        <v>1</v>
      </c>
      <c r="D11" s="1">
        <v>311</v>
      </c>
      <c r="E11" s="1">
        <v>2</v>
      </c>
      <c r="F11" s="1">
        <v>0</v>
      </c>
      <c r="G11" s="1">
        <v>1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543</v>
      </c>
      <c r="N11" s="1">
        <v>0</v>
      </c>
      <c r="O11" s="1">
        <v>7</v>
      </c>
      <c r="P11" s="1">
        <v>550</v>
      </c>
      <c r="Q11" s="1">
        <v>0</v>
      </c>
      <c r="R11" s="1">
        <v>987</v>
      </c>
      <c r="S11" s="1">
        <v>84</v>
      </c>
      <c r="T11" s="2">
        <v>55.724417426545081</v>
      </c>
      <c r="U11" t="e">
        <f t="shared" si="0"/>
        <v>#N/A</v>
      </c>
      <c r="V11">
        <f t="shared" si="1"/>
        <v>84</v>
      </c>
    </row>
    <row r="12" spans="1:30" x14ac:dyDescent="0.25">
      <c r="A12" s="1">
        <v>39</v>
      </c>
      <c r="B12" s="1">
        <v>175</v>
      </c>
      <c r="C12" s="1">
        <v>1</v>
      </c>
      <c r="D12" s="1">
        <v>211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387</v>
      </c>
      <c r="N12" s="1">
        <v>0</v>
      </c>
      <c r="O12" s="1">
        <v>1</v>
      </c>
      <c r="P12" s="1">
        <v>388</v>
      </c>
      <c r="Q12" s="1">
        <v>0</v>
      </c>
      <c r="R12" s="1">
        <v>1059</v>
      </c>
      <c r="S12" s="1">
        <v>36</v>
      </c>
      <c r="T12" s="2">
        <v>36.638338054768646</v>
      </c>
      <c r="U12" t="e">
        <f t="shared" si="0"/>
        <v>#N/A</v>
      </c>
      <c r="V12">
        <f t="shared" si="1"/>
        <v>36</v>
      </c>
    </row>
    <row r="13" spans="1:30" x14ac:dyDescent="0.25">
      <c r="A13" s="1">
        <v>45</v>
      </c>
      <c r="B13" s="1">
        <v>263</v>
      </c>
      <c r="C13" s="1">
        <v>3</v>
      </c>
      <c r="D13" s="1">
        <v>331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602</v>
      </c>
      <c r="N13" s="1">
        <v>0</v>
      </c>
      <c r="O13" s="1">
        <v>6</v>
      </c>
      <c r="P13" s="1">
        <v>608</v>
      </c>
      <c r="Q13" s="1">
        <v>0</v>
      </c>
      <c r="R13" s="1">
        <v>1174</v>
      </c>
      <c r="S13" s="1">
        <v>68</v>
      </c>
      <c r="T13" s="2">
        <v>51.788756388415671</v>
      </c>
      <c r="U13" t="e">
        <f t="shared" si="0"/>
        <v>#N/A</v>
      </c>
      <c r="V13">
        <f t="shared" si="1"/>
        <v>68</v>
      </c>
    </row>
    <row r="14" spans="1:30" x14ac:dyDescent="0.25">
      <c r="A14" s="3">
        <v>48</v>
      </c>
      <c r="B14" s="3">
        <v>286</v>
      </c>
      <c r="C14" s="3">
        <v>2</v>
      </c>
      <c r="D14" s="3">
        <v>236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2</v>
      </c>
      <c r="L14" s="3">
        <v>3</v>
      </c>
      <c r="M14" s="3">
        <v>530</v>
      </c>
      <c r="N14" s="3">
        <v>0</v>
      </c>
      <c r="O14" s="3">
        <v>6</v>
      </c>
      <c r="P14" s="3">
        <v>536</v>
      </c>
      <c r="Q14" s="3">
        <v>0</v>
      </c>
      <c r="R14" s="3">
        <v>1242</v>
      </c>
      <c r="S14" s="3">
        <v>50</v>
      </c>
      <c r="T14" s="4">
        <v>43.156199677938808</v>
      </c>
      <c r="U14">
        <f t="shared" si="0"/>
        <v>50</v>
      </c>
      <c r="V14" t="e">
        <f t="shared" si="1"/>
        <v>#N/A</v>
      </c>
    </row>
    <row r="15" spans="1:30" x14ac:dyDescent="0.25">
      <c r="A15" s="3">
        <v>59</v>
      </c>
      <c r="B15" s="3">
        <v>360</v>
      </c>
      <c r="C15" s="3">
        <v>11</v>
      </c>
      <c r="D15" s="3">
        <v>298</v>
      </c>
      <c r="E15" s="3">
        <v>3</v>
      </c>
      <c r="F15" s="3">
        <v>0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0</v>
      </c>
      <c r="M15" s="3">
        <v>677</v>
      </c>
      <c r="N15" s="3">
        <v>0</v>
      </c>
      <c r="O15" s="3">
        <v>5</v>
      </c>
      <c r="P15" s="3">
        <v>682</v>
      </c>
      <c r="Q15" s="3">
        <v>0</v>
      </c>
      <c r="R15" s="3">
        <v>1282</v>
      </c>
      <c r="S15" s="3">
        <v>62</v>
      </c>
      <c r="T15" s="4">
        <v>53.198127925116999</v>
      </c>
      <c r="U15">
        <f t="shared" si="0"/>
        <v>62</v>
      </c>
      <c r="V15" t="e">
        <f t="shared" si="1"/>
        <v>#N/A</v>
      </c>
    </row>
    <row r="16" spans="1:30" x14ac:dyDescent="0.25">
      <c r="A16" s="1">
        <v>61</v>
      </c>
      <c r="B16" s="1">
        <v>313</v>
      </c>
      <c r="C16" s="1">
        <v>3</v>
      </c>
      <c r="D16" s="1">
        <v>485</v>
      </c>
      <c r="E16" s="1">
        <v>2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806</v>
      </c>
      <c r="N16" s="1">
        <v>0</v>
      </c>
      <c r="O16" s="1">
        <v>10</v>
      </c>
      <c r="P16" s="1">
        <v>816</v>
      </c>
      <c r="Q16" s="1">
        <v>0</v>
      </c>
      <c r="R16" s="1">
        <v>1405</v>
      </c>
      <c r="S16" s="1">
        <v>172</v>
      </c>
      <c r="T16" s="2">
        <v>58.078291814946617</v>
      </c>
      <c r="U16" t="e">
        <f t="shared" si="0"/>
        <v>#N/A</v>
      </c>
      <c r="V16">
        <f t="shared" si="1"/>
        <v>172</v>
      </c>
    </row>
    <row r="17" spans="1:22" x14ac:dyDescent="0.25">
      <c r="A17" s="3">
        <v>64</v>
      </c>
      <c r="B17" s="3">
        <v>328</v>
      </c>
      <c r="C17" s="3">
        <v>4</v>
      </c>
      <c r="D17" s="3">
        <v>232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</v>
      </c>
      <c r="L17" s="3">
        <v>2</v>
      </c>
      <c r="M17" s="3">
        <v>570</v>
      </c>
      <c r="N17" s="3">
        <v>0</v>
      </c>
      <c r="O17" s="3">
        <v>5</v>
      </c>
      <c r="P17" s="3">
        <v>575</v>
      </c>
      <c r="Q17" s="3">
        <v>0</v>
      </c>
      <c r="R17" s="3">
        <v>1412</v>
      </c>
      <c r="S17" s="3">
        <v>96</v>
      </c>
      <c r="T17" s="4">
        <v>40.722379603399432</v>
      </c>
      <c r="U17">
        <f t="shared" si="0"/>
        <v>96</v>
      </c>
      <c r="V17" t="e">
        <f t="shared" si="1"/>
        <v>#N/A</v>
      </c>
    </row>
    <row r="18" spans="1:22" x14ac:dyDescent="0.25">
      <c r="A18" s="1">
        <v>70</v>
      </c>
      <c r="B18" s="1">
        <v>269</v>
      </c>
      <c r="C18" s="1">
        <v>4</v>
      </c>
      <c r="D18" s="1">
        <v>363</v>
      </c>
      <c r="E18" s="1">
        <v>2</v>
      </c>
      <c r="F18" s="1">
        <v>0</v>
      </c>
      <c r="G18" s="1">
        <v>0</v>
      </c>
      <c r="H18" s="1">
        <v>0</v>
      </c>
      <c r="I18" s="1">
        <v>0</v>
      </c>
      <c r="J18" s="1">
        <v>5</v>
      </c>
      <c r="K18" s="1">
        <v>0</v>
      </c>
      <c r="L18" s="1">
        <v>0</v>
      </c>
      <c r="M18" s="1">
        <v>643</v>
      </c>
      <c r="N18" s="1">
        <v>0</v>
      </c>
      <c r="O18" s="1">
        <v>9</v>
      </c>
      <c r="P18" s="1">
        <v>652</v>
      </c>
      <c r="Q18" s="1">
        <v>0</v>
      </c>
      <c r="R18" s="1">
        <v>1275</v>
      </c>
      <c r="S18" s="1">
        <v>94</v>
      </c>
      <c r="T18" s="2">
        <v>51.13725490196078</v>
      </c>
      <c r="U18" t="e">
        <f t="shared" si="0"/>
        <v>#N/A</v>
      </c>
      <c r="V18">
        <f t="shared" si="1"/>
        <v>94</v>
      </c>
    </row>
    <row r="19" spans="1:22" x14ac:dyDescent="0.25">
      <c r="A19" s="3">
        <v>98</v>
      </c>
      <c r="B19" s="3">
        <v>410</v>
      </c>
      <c r="C19" s="3">
        <v>2</v>
      </c>
      <c r="D19" s="3">
        <v>324</v>
      </c>
      <c r="E19" s="3">
        <v>2</v>
      </c>
      <c r="F19" s="3">
        <v>0</v>
      </c>
      <c r="G19" s="3">
        <v>2</v>
      </c>
      <c r="H19" s="3">
        <v>0</v>
      </c>
      <c r="I19" s="3">
        <v>0</v>
      </c>
      <c r="J19" s="3">
        <v>1</v>
      </c>
      <c r="K19" s="3">
        <v>0</v>
      </c>
      <c r="L19" s="3">
        <v>2</v>
      </c>
      <c r="M19" s="3">
        <v>743</v>
      </c>
      <c r="N19" s="3">
        <v>0</v>
      </c>
      <c r="O19" s="3">
        <v>2</v>
      </c>
      <c r="P19" s="3">
        <v>745</v>
      </c>
      <c r="Q19" s="3">
        <v>0</v>
      </c>
      <c r="R19" s="3">
        <v>1452</v>
      </c>
      <c r="S19" s="3">
        <v>86</v>
      </c>
      <c r="T19" s="4">
        <v>51.308539944903586</v>
      </c>
      <c r="U19">
        <f t="shared" si="0"/>
        <v>86</v>
      </c>
      <c r="V19" t="e">
        <f t="shared" si="1"/>
        <v>#N/A</v>
      </c>
    </row>
    <row r="20" spans="1:22" x14ac:dyDescent="0.25">
      <c r="A20" s="3">
        <v>100</v>
      </c>
      <c r="B20" s="3">
        <v>394</v>
      </c>
      <c r="C20" s="3">
        <v>0</v>
      </c>
      <c r="D20" s="3">
        <v>220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  <c r="J20" s="3">
        <v>2</v>
      </c>
      <c r="K20" s="3">
        <v>0</v>
      </c>
      <c r="L20" s="3">
        <v>0</v>
      </c>
      <c r="M20" s="3">
        <v>617</v>
      </c>
      <c r="N20" s="3">
        <v>0</v>
      </c>
      <c r="O20" s="3">
        <v>2</v>
      </c>
      <c r="P20" s="3">
        <v>619</v>
      </c>
      <c r="Q20" s="3">
        <v>0</v>
      </c>
      <c r="R20" s="3">
        <v>1443</v>
      </c>
      <c r="S20" s="3">
        <v>174</v>
      </c>
      <c r="T20" s="4">
        <v>42.896742896742893</v>
      </c>
      <c r="U20">
        <f t="shared" si="0"/>
        <v>174</v>
      </c>
      <c r="V20" t="e">
        <f t="shared" si="1"/>
        <v>#N/A</v>
      </c>
    </row>
    <row r="21" spans="1:22" x14ac:dyDescent="0.25">
      <c r="A21" s="1">
        <v>103</v>
      </c>
      <c r="B21" s="1">
        <v>253</v>
      </c>
      <c r="C21" s="1">
        <v>3</v>
      </c>
      <c r="D21" s="1">
        <v>395</v>
      </c>
      <c r="E21" s="1">
        <v>1</v>
      </c>
      <c r="F21" s="1">
        <v>0</v>
      </c>
      <c r="G21" s="1">
        <v>33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686</v>
      </c>
      <c r="N21" s="1">
        <v>0</v>
      </c>
      <c r="O21" s="1">
        <v>7</v>
      </c>
      <c r="P21" s="1">
        <v>693</v>
      </c>
      <c r="Q21" s="1">
        <v>0</v>
      </c>
      <c r="R21" s="1">
        <v>1388</v>
      </c>
      <c r="S21" s="1">
        <v>142</v>
      </c>
      <c r="T21" s="2">
        <v>49.92795389048991</v>
      </c>
      <c r="U21" t="e">
        <f t="shared" si="0"/>
        <v>#N/A</v>
      </c>
      <c r="V21">
        <f t="shared" si="1"/>
        <v>142</v>
      </c>
    </row>
    <row r="22" spans="1:22" x14ac:dyDescent="0.25">
      <c r="A22" s="3">
        <v>144</v>
      </c>
      <c r="B22" s="3">
        <v>277</v>
      </c>
      <c r="C22" s="3">
        <v>6</v>
      </c>
      <c r="D22" s="3">
        <v>171</v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1</v>
      </c>
      <c r="M22" s="3">
        <v>458</v>
      </c>
      <c r="N22" s="3">
        <v>0</v>
      </c>
      <c r="O22" s="3">
        <v>9</v>
      </c>
      <c r="P22" s="3">
        <v>467</v>
      </c>
      <c r="Q22" s="3">
        <v>0</v>
      </c>
      <c r="R22" s="3">
        <v>1219</v>
      </c>
      <c r="S22" s="3">
        <v>106</v>
      </c>
      <c r="T22" s="4">
        <v>38.310090237899921</v>
      </c>
      <c r="U22">
        <f t="shared" si="0"/>
        <v>106</v>
      </c>
      <c r="V22" t="e">
        <f t="shared" si="1"/>
        <v>#N/A</v>
      </c>
    </row>
    <row r="23" spans="1:22" x14ac:dyDescent="0.25">
      <c r="A23" s="1">
        <v>145</v>
      </c>
      <c r="B23" s="1">
        <v>211</v>
      </c>
      <c r="C23" s="1">
        <v>4</v>
      </c>
      <c r="D23" s="1">
        <v>327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</v>
      </c>
      <c r="K23" s="1">
        <v>0</v>
      </c>
      <c r="L23" s="1">
        <v>0</v>
      </c>
      <c r="M23" s="1">
        <v>545</v>
      </c>
      <c r="N23" s="1">
        <v>0</v>
      </c>
      <c r="O23" s="1">
        <v>15</v>
      </c>
      <c r="P23" s="1">
        <v>560</v>
      </c>
      <c r="Q23" s="1">
        <v>0</v>
      </c>
      <c r="R23" s="1">
        <v>1134</v>
      </c>
      <c r="S23" s="1">
        <v>116</v>
      </c>
      <c r="T23" s="2">
        <v>49.382716049382715</v>
      </c>
      <c r="U23" t="e">
        <f t="shared" si="0"/>
        <v>#N/A</v>
      </c>
      <c r="V23">
        <f t="shared" si="1"/>
        <v>116</v>
      </c>
    </row>
    <row r="24" spans="1:22" x14ac:dyDescent="0.25">
      <c r="A24" s="3">
        <v>162</v>
      </c>
      <c r="B24" s="3">
        <v>215</v>
      </c>
      <c r="C24" s="3">
        <v>2</v>
      </c>
      <c r="D24" s="3">
        <v>210</v>
      </c>
      <c r="E24" s="3">
        <v>1</v>
      </c>
      <c r="F24" s="3">
        <v>0</v>
      </c>
      <c r="G24" s="3">
        <v>2</v>
      </c>
      <c r="H24" s="3">
        <v>0</v>
      </c>
      <c r="I24" s="3">
        <v>0</v>
      </c>
      <c r="J24" s="3">
        <v>0</v>
      </c>
      <c r="K24" s="3">
        <v>1</v>
      </c>
      <c r="L24" s="3">
        <v>1</v>
      </c>
      <c r="M24" s="3">
        <v>432</v>
      </c>
      <c r="N24" s="3">
        <v>0</v>
      </c>
      <c r="O24" s="3">
        <v>5</v>
      </c>
      <c r="P24" s="3">
        <v>437</v>
      </c>
      <c r="Q24" s="3">
        <v>0</v>
      </c>
      <c r="R24" s="3">
        <v>1208</v>
      </c>
      <c r="S24" s="3">
        <v>5</v>
      </c>
      <c r="T24" s="4">
        <v>36.175496688741724</v>
      </c>
      <c r="U24">
        <f t="shared" si="0"/>
        <v>5</v>
      </c>
      <c r="V24" t="e">
        <f t="shared" si="1"/>
        <v>#N/A</v>
      </c>
    </row>
    <row r="25" spans="1:22" x14ac:dyDescent="0.25">
      <c r="A25" s="1">
        <v>166</v>
      </c>
      <c r="B25" s="1">
        <v>310</v>
      </c>
      <c r="C25" s="1">
        <v>1</v>
      </c>
      <c r="D25" s="1">
        <v>397</v>
      </c>
      <c r="E25" s="1">
        <v>2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  <c r="K25" s="1">
        <v>2</v>
      </c>
      <c r="L25" s="1">
        <v>0</v>
      </c>
      <c r="M25" s="1">
        <v>714</v>
      </c>
      <c r="N25" s="1">
        <v>0</v>
      </c>
      <c r="O25" s="1">
        <v>1</v>
      </c>
      <c r="P25" s="1">
        <v>715</v>
      </c>
      <c r="Q25" s="1">
        <v>0</v>
      </c>
      <c r="R25" s="1">
        <v>1367</v>
      </c>
      <c r="S25" s="1">
        <v>87</v>
      </c>
      <c r="T25" s="2">
        <v>52.304316020482808</v>
      </c>
      <c r="U25" t="e">
        <f t="shared" si="0"/>
        <v>#N/A</v>
      </c>
      <c r="V25">
        <f t="shared" si="1"/>
        <v>87</v>
      </c>
    </row>
    <row r="26" spans="1:22" x14ac:dyDescent="0.25">
      <c r="A26" s="1">
        <v>169</v>
      </c>
      <c r="B26" s="1">
        <v>328</v>
      </c>
      <c r="C26" s="1">
        <v>2</v>
      </c>
      <c r="D26" s="1">
        <v>511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3</v>
      </c>
      <c r="K26" s="1">
        <v>1</v>
      </c>
      <c r="L26" s="1">
        <v>0</v>
      </c>
      <c r="M26" s="1">
        <v>846</v>
      </c>
      <c r="N26" s="1">
        <v>0</v>
      </c>
      <c r="O26" s="1">
        <v>8</v>
      </c>
      <c r="P26" s="1">
        <v>854</v>
      </c>
      <c r="Q26" s="1">
        <v>0</v>
      </c>
      <c r="R26" s="1">
        <v>1519</v>
      </c>
      <c r="S26" s="1">
        <v>183</v>
      </c>
      <c r="T26" s="2">
        <v>56.221198156682028</v>
      </c>
      <c r="U26" t="e">
        <f t="shared" si="0"/>
        <v>#N/A</v>
      </c>
      <c r="V26">
        <f t="shared" si="1"/>
        <v>183</v>
      </c>
    </row>
    <row r="27" spans="1:22" x14ac:dyDescent="0.25">
      <c r="A27" s="1">
        <v>193</v>
      </c>
      <c r="B27" s="1">
        <v>273</v>
      </c>
      <c r="C27" s="1">
        <v>3</v>
      </c>
      <c r="D27" s="1">
        <v>313</v>
      </c>
      <c r="E27" s="1">
        <v>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591</v>
      </c>
      <c r="N27" s="1">
        <v>0</v>
      </c>
      <c r="O27" s="1">
        <v>7</v>
      </c>
      <c r="P27" s="1">
        <v>598</v>
      </c>
      <c r="Q27" s="1">
        <v>0</v>
      </c>
      <c r="R27" s="1">
        <v>1524</v>
      </c>
      <c r="S27" s="1">
        <v>40</v>
      </c>
      <c r="T27" s="2">
        <v>39.238845144356951</v>
      </c>
      <c r="U27" t="e">
        <f t="shared" si="0"/>
        <v>#N/A</v>
      </c>
      <c r="V27">
        <f t="shared" si="1"/>
        <v>40</v>
      </c>
    </row>
    <row r="28" spans="1:22" x14ac:dyDescent="0.25">
      <c r="A28" s="1">
        <v>199</v>
      </c>
      <c r="B28" s="1">
        <v>225</v>
      </c>
      <c r="C28" s="1">
        <v>0</v>
      </c>
      <c r="D28" s="1">
        <v>382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</v>
      </c>
      <c r="K28" s="1">
        <v>0</v>
      </c>
      <c r="L28" s="1">
        <v>0</v>
      </c>
      <c r="M28" s="1">
        <v>610</v>
      </c>
      <c r="N28" s="1">
        <v>0</v>
      </c>
      <c r="O28" s="1">
        <v>4</v>
      </c>
      <c r="P28" s="1">
        <v>614</v>
      </c>
      <c r="Q28" s="1">
        <v>0</v>
      </c>
      <c r="R28" s="1">
        <v>1444</v>
      </c>
      <c r="S28" s="1">
        <v>157</v>
      </c>
      <c r="T28" s="2">
        <v>42.520775623268698</v>
      </c>
      <c r="U28" t="e">
        <f t="shared" si="0"/>
        <v>#N/A</v>
      </c>
      <c r="V28">
        <f t="shared" si="1"/>
        <v>157</v>
      </c>
    </row>
    <row r="29" spans="1:22" x14ac:dyDescent="0.25">
      <c r="A29" s="1">
        <v>217</v>
      </c>
      <c r="B29" s="1">
        <v>207</v>
      </c>
      <c r="C29" s="1">
        <v>0</v>
      </c>
      <c r="D29" s="1">
        <v>345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</v>
      </c>
      <c r="M29" s="1">
        <v>554</v>
      </c>
      <c r="N29" s="1">
        <v>0</v>
      </c>
      <c r="O29" s="1">
        <v>4</v>
      </c>
      <c r="P29" s="1">
        <v>558</v>
      </c>
      <c r="Q29" s="1">
        <v>0</v>
      </c>
      <c r="R29" s="1">
        <v>1338</v>
      </c>
      <c r="S29" s="1">
        <v>138</v>
      </c>
      <c r="T29" s="2">
        <v>41.704035874439462</v>
      </c>
      <c r="U29" t="e">
        <f t="shared" si="0"/>
        <v>#N/A</v>
      </c>
      <c r="V29">
        <f t="shared" si="1"/>
        <v>138</v>
      </c>
    </row>
    <row r="30" spans="1:22" x14ac:dyDescent="0.25">
      <c r="A30" s="1">
        <v>227</v>
      </c>
      <c r="B30" s="1">
        <v>178</v>
      </c>
      <c r="C30" s="1">
        <v>3</v>
      </c>
      <c r="D30" s="1">
        <v>320</v>
      </c>
      <c r="E30" s="1">
        <v>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1</v>
      </c>
      <c r="M30" s="1">
        <v>505</v>
      </c>
      <c r="N30" s="1">
        <v>0</v>
      </c>
      <c r="O30" s="1">
        <v>2</v>
      </c>
      <c r="P30" s="1">
        <v>507</v>
      </c>
      <c r="Q30" s="1">
        <v>0</v>
      </c>
      <c r="R30" s="1">
        <v>1235</v>
      </c>
      <c r="S30" s="1">
        <v>142</v>
      </c>
      <c r="T30" s="2">
        <v>41.05263157894737</v>
      </c>
      <c r="U30" t="e">
        <f t="shared" si="0"/>
        <v>#N/A</v>
      </c>
      <c r="V30">
        <f t="shared" si="1"/>
        <v>142</v>
      </c>
    </row>
    <row r="31" spans="1:22" x14ac:dyDescent="0.25">
      <c r="A31" s="1">
        <v>228</v>
      </c>
      <c r="B31" s="1">
        <v>264</v>
      </c>
      <c r="C31" s="1">
        <v>7</v>
      </c>
      <c r="D31" s="1">
        <v>364</v>
      </c>
      <c r="E31" s="1">
        <v>3</v>
      </c>
      <c r="F31" s="1">
        <v>0</v>
      </c>
      <c r="G31" s="1">
        <v>1</v>
      </c>
      <c r="H31" s="1">
        <v>0</v>
      </c>
      <c r="I31" s="1">
        <v>1</v>
      </c>
      <c r="J31" s="1">
        <v>1</v>
      </c>
      <c r="K31" s="1">
        <v>2</v>
      </c>
      <c r="L31" s="1">
        <v>1</v>
      </c>
      <c r="M31" s="1">
        <v>644</v>
      </c>
      <c r="N31" s="1">
        <v>0</v>
      </c>
      <c r="O31" s="1">
        <v>3</v>
      </c>
      <c r="P31" s="1">
        <v>647</v>
      </c>
      <c r="Q31" s="1">
        <v>0</v>
      </c>
      <c r="R31" s="1">
        <v>1309</v>
      </c>
      <c r="S31" s="1">
        <v>100</v>
      </c>
      <c r="T31" s="2">
        <v>49.427043544690605</v>
      </c>
      <c r="U31" t="e">
        <f t="shared" si="0"/>
        <v>#N/A</v>
      </c>
      <c r="V31">
        <f t="shared" si="1"/>
        <v>100</v>
      </c>
    </row>
    <row r="32" spans="1:22" x14ac:dyDescent="0.25">
      <c r="A32" s="1">
        <v>231</v>
      </c>
      <c r="B32" s="1">
        <v>225</v>
      </c>
      <c r="C32" s="1">
        <v>5</v>
      </c>
      <c r="D32" s="1">
        <v>377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2</v>
      </c>
      <c r="K32" s="1">
        <v>0</v>
      </c>
      <c r="L32" s="1">
        <v>0</v>
      </c>
      <c r="M32" s="1">
        <v>609</v>
      </c>
      <c r="N32" s="1">
        <v>0</v>
      </c>
      <c r="O32" s="1">
        <v>0</v>
      </c>
      <c r="P32" s="1">
        <v>609</v>
      </c>
      <c r="Q32" s="1">
        <v>0</v>
      </c>
      <c r="R32" s="1">
        <v>1207</v>
      </c>
      <c r="S32" s="1">
        <v>152</v>
      </c>
      <c r="T32" s="2">
        <v>50.455675227837617</v>
      </c>
      <c r="U32" t="e">
        <f t="shared" si="0"/>
        <v>#N/A</v>
      </c>
      <c r="V32">
        <f t="shared" si="1"/>
        <v>152</v>
      </c>
    </row>
    <row r="33" spans="1:22" x14ac:dyDescent="0.25">
      <c r="A33" s="3">
        <v>247</v>
      </c>
      <c r="B33" s="3">
        <v>346</v>
      </c>
      <c r="C33" s="3">
        <v>3</v>
      </c>
      <c r="D33" s="3">
        <v>324</v>
      </c>
      <c r="E33" s="3">
        <v>2</v>
      </c>
      <c r="F33" s="3">
        <v>0</v>
      </c>
      <c r="G33" s="3">
        <v>1</v>
      </c>
      <c r="H33" s="3">
        <v>0</v>
      </c>
      <c r="I33" s="3">
        <v>0</v>
      </c>
      <c r="J33" s="3">
        <v>2</v>
      </c>
      <c r="K33" s="3">
        <v>1</v>
      </c>
      <c r="L33" s="3">
        <v>1</v>
      </c>
      <c r="M33" s="3">
        <v>680</v>
      </c>
      <c r="N33" s="3">
        <v>0</v>
      </c>
      <c r="O33" s="3">
        <v>5</v>
      </c>
      <c r="P33" s="3">
        <v>685</v>
      </c>
      <c r="Q33" s="3">
        <v>0</v>
      </c>
      <c r="R33" s="3">
        <v>1315</v>
      </c>
      <c r="S33" s="3">
        <v>22</v>
      </c>
      <c r="T33" s="4">
        <v>52.091254752851711</v>
      </c>
      <c r="U33">
        <f t="shared" si="0"/>
        <v>22</v>
      </c>
      <c r="V33" t="e">
        <f t="shared" si="1"/>
        <v>#N/A</v>
      </c>
    </row>
    <row r="34" spans="1:22" x14ac:dyDescent="0.25">
      <c r="A34" s="1">
        <v>261</v>
      </c>
      <c r="B34" s="1">
        <v>188</v>
      </c>
      <c r="C34" s="1">
        <v>4</v>
      </c>
      <c r="D34" s="1">
        <v>197</v>
      </c>
      <c r="E34" s="1">
        <v>0</v>
      </c>
      <c r="F34" s="1">
        <v>1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395</v>
      </c>
      <c r="N34" s="1">
        <v>0</v>
      </c>
      <c r="O34" s="1">
        <v>2</v>
      </c>
      <c r="P34" s="1">
        <v>397</v>
      </c>
      <c r="Q34" s="1">
        <v>0</v>
      </c>
      <c r="R34" s="1">
        <v>1046</v>
      </c>
      <c r="S34" s="1">
        <v>9</v>
      </c>
      <c r="T34" s="2">
        <v>37.954110898661568</v>
      </c>
      <c r="U34" t="e">
        <f t="shared" ref="U34:U65" si="2">IF(B34&gt;D34,S34,NA())</f>
        <v>#N/A</v>
      </c>
      <c r="V34">
        <f t="shared" ref="V34:V65" si="3">IF(D34&gt;B34,S34,NA())</f>
        <v>9</v>
      </c>
    </row>
    <row r="35" spans="1:22" x14ac:dyDescent="0.25">
      <c r="A35" s="1">
        <v>264</v>
      </c>
      <c r="B35" s="1">
        <v>342</v>
      </c>
      <c r="C35" s="1">
        <v>3</v>
      </c>
      <c r="D35" s="1">
        <v>442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4</v>
      </c>
      <c r="K35" s="1">
        <v>0</v>
      </c>
      <c r="L35" s="1">
        <v>0</v>
      </c>
      <c r="M35" s="1">
        <v>792</v>
      </c>
      <c r="N35" s="1">
        <v>0</v>
      </c>
      <c r="O35" s="1">
        <v>8</v>
      </c>
      <c r="P35" s="1">
        <v>800</v>
      </c>
      <c r="Q35" s="1">
        <v>0</v>
      </c>
      <c r="R35" s="1">
        <v>1391</v>
      </c>
      <c r="S35" s="1">
        <v>100</v>
      </c>
      <c r="T35" s="2">
        <v>57.512580877066853</v>
      </c>
      <c r="U35" t="e">
        <f t="shared" si="2"/>
        <v>#N/A</v>
      </c>
      <c r="V35">
        <f t="shared" si="3"/>
        <v>100</v>
      </c>
    </row>
    <row r="36" spans="1:22" x14ac:dyDescent="0.25">
      <c r="A36" s="1">
        <v>266</v>
      </c>
      <c r="B36" s="1">
        <v>318</v>
      </c>
      <c r="C36" s="1">
        <v>3</v>
      </c>
      <c r="D36" s="1">
        <v>380</v>
      </c>
      <c r="E36" s="1">
        <v>2</v>
      </c>
      <c r="F36" s="1">
        <v>1</v>
      </c>
      <c r="G36" s="1">
        <v>1</v>
      </c>
      <c r="H36" s="1">
        <v>1</v>
      </c>
      <c r="I36" s="1">
        <v>0</v>
      </c>
      <c r="J36" s="1">
        <v>1</v>
      </c>
      <c r="K36" s="1">
        <v>4</v>
      </c>
      <c r="L36" s="1">
        <v>2</v>
      </c>
      <c r="M36" s="1">
        <v>713</v>
      </c>
      <c r="N36" s="1">
        <v>0</v>
      </c>
      <c r="O36" s="1">
        <v>3</v>
      </c>
      <c r="P36" s="1">
        <v>716</v>
      </c>
      <c r="Q36" s="1">
        <v>0</v>
      </c>
      <c r="R36" s="1">
        <v>1436</v>
      </c>
      <c r="S36" s="1">
        <v>62</v>
      </c>
      <c r="T36" s="2">
        <v>49.860724233983291</v>
      </c>
      <c r="U36" t="e">
        <f t="shared" si="2"/>
        <v>#N/A</v>
      </c>
      <c r="V36">
        <f t="shared" si="3"/>
        <v>62</v>
      </c>
    </row>
    <row r="37" spans="1:22" x14ac:dyDescent="0.25">
      <c r="A37" s="3">
        <v>269</v>
      </c>
      <c r="B37" s="3">
        <v>422</v>
      </c>
      <c r="C37" s="3">
        <v>3</v>
      </c>
      <c r="D37" s="3">
        <v>347</v>
      </c>
      <c r="E37" s="3">
        <v>6</v>
      </c>
      <c r="F37" s="3">
        <v>0</v>
      </c>
      <c r="G37" s="3">
        <v>2</v>
      </c>
      <c r="H37" s="3">
        <v>0</v>
      </c>
      <c r="I37" s="3">
        <v>2</v>
      </c>
      <c r="J37" s="3">
        <v>1</v>
      </c>
      <c r="K37" s="3">
        <v>4</v>
      </c>
      <c r="L37" s="3">
        <v>0</v>
      </c>
      <c r="M37" s="3">
        <v>787</v>
      </c>
      <c r="N37" s="3">
        <v>0</v>
      </c>
      <c r="O37" s="3">
        <v>7</v>
      </c>
      <c r="P37" s="3">
        <v>794</v>
      </c>
      <c r="Q37" s="3">
        <v>0</v>
      </c>
      <c r="R37" s="3">
        <v>1460</v>
      </c>
      <c r="S37" s="3">
        <v>75</v>
      </c>
      <c r="T37" s="4">
        <v>54.38356164383562</v>
      </c>
      <c r="U37">
        <f t="shared" si="2"/>
        <v>75</v>
      </c>
      <c r="V37" t="e">
        <f t="shared" si="3"/>
        <v>#N/A</v>
      </c>
    </row>
    <row r="38" spans="1:22" x14ac:dyDescent="0.25">
      <c r="A38" s="1">
        <v>271</v>
      </c>
      <c r="B38" s="1">
        <v>322</v>
      </c>
      <c r="C38" s="1">
        <v>2</v>
      </c>
      <c r="D38" s="1">
        <v>350</v>
      </c>
      <c r="E38" s="1">
        <v>4</v>
      </c>
      <c r="F38" s="1">
        <v>0</v>
      </c>
      <c r="G38" s="1">
        <v>12</v>
      </c>
      <c r="H38" s="1">
        <v>0</v>
      </c>
      <c r="I38" s="1">
        <v>1</v>
      </c>
      <c r="J38" s="1">
        <v>0</v>
      </c>
      <c r="K38" s="1">
        <v>1</v>
      </c>
      <c r="L38" s="1">
        <v>1</v>
      </c>
      <c r="M38" s="1">
        <v>693</v>
      </c>
      <c r="N38" s="1">
        <v>0</v>
      </c>
      <c r="O38" s="1">
        <v>4</v>
      </c>
      <c r="P38" s="1">
        <v>697</v>
      </c>
      <c r="Q38" s="1">
        <v>0</v>
      </c>
      <c r="R38" s="1">
        <v>1317</v>
      </c>
      <c r="S38" s="1">
        <v>28</v>
      </c>
      <c r="T38" s="2">
        <v>52.923310554290047</v>
      </c>
      <c r="U38" t="e">
        <f t="shared" si="2"/>
        <v>#N/A</v>
      </c>
      <c r="V38">
        <f t="shared" si="3"/>
        <v>28</v>
      </c>
    </row>
    <row r="39" spans="1:22" x14ac:dyDescent="0.25">
      <c r="A39" s="1">
        <v>274</v>
      </c>
      <c r="B39" s="1">
        <v>259</v>
      </c>
      <c r="C39" s="1">
        <v>3</v>
      </c>
      <c r="D39" s="1">
        <v>380</v>
      </c>
      <c r="E39" s="1">
        <v>2</v>
      </c>
      <c r="F39" s="1">
        <v>0</v>
      </c>
      <c r="G39" s="1">
        <v>1</v>
      </c>
      <c r="H39" s="1">
        <v>0</v>
      </c>
      <c r="I39" s="1">
        <v>0</v>
      </c>
      <c r="J39" s="1">
        <v>1</v>
      </c>
      <c r="K39" s="1">
        <v>0</v>
      </c>
      <c r="L39" s="1">
        <v>1</v>
      </c>
      <c r="M39" s="1">
        <v>647</v>
      </c>
      <c r="N39" s="1">
        <v>0</v>
      </c>
      <c r="O39" s="1">
        <v>6</v>
      </c>
      <c r="P39" s="1">
        <v>653</v>
      </c>
      <c r="Q39" s="1">
        <v>0</v>
      </c>
      <c r="R39" s="1">
        <v>1148</v>
      </c>
      <c r="S39" s="1">
        <v>121</v>
      </c>
      <c r="T39" s="2">
        <v>56.881533101045299</v>
      </c>
      <c r="U39" t="e">
        <f t="shared" si="2"/>
        <v>#N/A</v>
      </c>
      <c r="V39">
        <f t="shared" si="3"/>
        <v>121</v>
      </c>
    </row>
    <row r="40" spans="1:22" x14ac:dyDescent="0.25">
      <c r="A40" s="1">
        <v>277</v>
      </c>
      <c r="B40" s="1">
        <v>198</v>
      </c>
      <c r="C40" s="1">
        <v>1</v>
      </c>
      <c r="D40" s="1">
        <v>368</v>
      </c>
      <c r="E40" s="1">
        <v>5</v>
      </c>
      <c r="F40" s="1">
        <v>3</v>
      </c>
      <c r="G40" s="1">
        <v>2</v>
      </c>
      <c r="H40" s="1">
        <v>1</v>
      </c>
      <c r="I40" s="1">
        <v>1</v>
      </c>
      <c r="J40" s="1">
        <v>0</v>
      </c>
      <c r="K40" s="1">
        <v>0</v>
      </c>
      <c r="L40" s="1">
        <v>1</v>
      </c>
      <c r="M40" s="1">
        <v>580</v>
      </c>
      <c r="N40" s="1">
        <v>0</v>
      </c>
      <c r="O40" s="1">
        <v>4</v>
      </c>
      <c r="P40" s="1">
        <v>584</v>
      </c>
      <c r="Q40" s="1">
        <v>0</v>
      </c>
      <c r="R40" s="1">
        <v>1143</v>
      </c>
      <c r="S40" s="1">
        <v>170</v>
      </c>
      <c r="T40" s="2">
        <v>51.093613298337701</v>
      </c>
      <c r="U40" t="e">
        <f t="shared" si="2"/>
        <v>#N/A</v>
      </c>
      <c r="V40">
        <f t="shared" si="3"/>
        <v>170</v>
      </c>
    </row>
    <row r="41" spans="1:22" x14ac:dyDescent="0.25">
      <c r="A41" s="1">
        <v>280</v>
      </c>
      <c r="B41" s="1">
        <v>278</v>
      </c>
      <c r="C41" s="1">
        <v>2</v>
      </c>
      <c r="D41" s="1">
        <v>420</v>
      </c>
      <c r="E41" s="1">
        <v>1</v>
      </c>
      <c r="F41" s="1">
        <v>0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2</v>
      </c>
      <c r="M41" s="1">
        <v>705</v>
      </c>
      <c r="N41" s="1">
        <v>0</v>
      </c>
      <c r="O41" s="1">
        <v>5</v>
      </c>
      <c r="P41" s="1">
        <v>710</v>
      </c>
      <c r="Q41" s="1">
        <v>0</v>
      </c>
      <c r="R41" s="1">
        <v>1325</v>
      </c>
      <c r="S41" s="1">
        <v>142</v>
      </c>
      <c r="T41" s="2">
        <v>53.584905660377359</v>
      </c>
      <c r="U41" t="e">
        <f t="shared" si="2"/>
        <v>#N/A</v>
      </c>
      <c r="V41">
        <f t="shared" si="3"/>
        <v>142</v>
      </c>
    </row>
    <row r="42" spans="1:22" x14ac:dyDescent="0.25">
      <c r="A42" s="1">
        <v>285</v>
      </c>
      <c r="B42" s="1">
        <v>211</v>
      </c>
      <c r="C42" s="1">
        <v>3</v>
      </c>
      <c r="D42" s="1">
        <v>304</v>
      </c>
      <c r="E42" s="1">
        <v>1</v>
      </c>
      <c r="F42" s="1">
        <v>0</v>
      </c>
      <c r="G42" s="1">
        <v>2</v>
      </c>
      <c r="H42" s="1">
        <v>0</v>
      </c>
      <c r="I42" s="1">
        <v>0</v>
      </c>
      <c r="J42" s="1">
        <v>2</v>
      </c>
      <c r="K42" s="1">
        <v>2</v>
      </c>
      <c r="L42" s="1">
        <v>2</v>
      </c>
      <c r="M42" s="1">
        <v>527</v>
      </c>
      <c r="N42" s="1">
        <v>0</v>
      </c>
      <c r="O42" s="1">
        <v>11</v>
      </c>
      <c r="P42" s="1">
        <v>538</v>
      </c>
      <c r="Q42" s="1">
        <v>0</v>
      </c>
      <c r="R42" s="1">
        <v>1529</v>
      </c>
      <c r="S42" s="1">
        <v>93</v>
      </c>
      <c r="T42" s="2">
        <v>35.186396337475472</v>
      </c>
      <c r="U42" t="e">
        <f t="shared" si="2"/>
        <v>#N/A</v>
      </c>
      <c r="V42">
        <f t="shared" si="3"/>
        <v>93</v>
      </c>
    </row>
    <row r="43" spans="1:22" x14ac:dyDescent="0.25">
      <c r="A43" s="1">
        <v>288</v>
      </c>
      <c r="B43" s="1">
        <v>263</v>
      </c>
      <c r="C43" s="1">
        <v>8</v>
      </c>
      <c r="D43" s="1">
        <v>386</v>
      </c>
      <c r="E43" s="1">
        <v>1</v>
      </c>
      <c r="F43" s="1">
        <v>0</v>
      </c>
      <c r="G43" s="1">
        <v>3</v>
      </c>
      <c r="H43" s="1">
        <v>0</v>
      </c>
      <c r="I43" s="1">
        <v>0</v>
      </c>
      <c r="J43" s="1">
        <v>0</v>
      </c>
      <c r="K43" s="1">
        <v>1</v>
      </c>
      <c r="L43" s="1">
        <v>1</v>
      </c>
      <c r="M43" s="1">
        <v>663</v>
      </c>
      <c r="N43" s="1">
        <v>0</v>
      </c>
      <c r="O43" s="1">
        <v>3</v>
      </c>
      <c r="P43" s="1">
        <v>666</v>
      </c>
      <c r="Q43" s="1">
        <v>0</v>
      </c>
      <c r="R43" s="1">
        <v>1307</v>
      </c>
      <c r="S43" s="1">
        <v>123</v>
      </c>
      <c r="T43" s="2">
        <v>50.956388676358067</v>
      </c>
      <c r="U43" t="e">
        <f t="shared" si="2"/>
        <v>#N/A</v>
      </c>
      <c r="V43">
        <f t="shared" si="3"/>
        <v>123</v>
      </c>
    </row>
    <row r="44" spans="1:22" x14ac:dyDescent="0.25">
      <c r="A44" s="1">
        <v>35</v>
      </c>
      <c r="B44" s="1">
        <v>261</v>
      </c>
      <c r="C44" s="1">
        <v>3</v>
      </c>
      <c r="D44" s="1">
        <v>795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9</v>
      </c>
      <c r="K44" s="1">
        <v>0</v>
      </c>
      <c r="L44" s="1">
        <v>0</v>
      </c>
      <c r="M44" s="1">
        <v>1068</v>
      </c>
      <c r="N44" s="1">
        <v>0</v>
      </c>
      <c r="O44" s="1">
        <v>11</v>
      </c>
      <c r="P44" s="1">
        <v>1079</v>
      </c>
      <c r="Q44" s="1">
        <v>0</v>
      </c>
      <c r="R44" s="1">
        <v>1268</v>
      </c>
      <c r="S44" s="1">
        <v>534</v>
      </c>
      <c r="T44" s="2">
        <v>85.094637223974772</v>
      </c>
      <c r="U44" t="e">
        <f t="shared" si="2"/>
        <v>#N/A</v>
      </c>
      <c r="V44">
        <f t="shared" si="3"/>
        <v>534</v>
      </c>
    </row>
    <row r="45" spans="1:22" x14ac:dyDescent="0.25">
      <c r="A45" s="3">
        <v>42</v>
      </c>
      <c r="B45" s="3">
        <v>547</v>
      </c>
      <c r="C45" s="3">
        <v>0</v>
      </c>
      <c r="D45" s="3">
        <v>105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</v>
      </c>
      <c r="K45" s="3">
        <v>0</v>
      </c>
      <c r="L45" s="3">
        <v>0</v>
      </c>
      <c r="M45" s="3">
        <v>653</v>
      </c>
      <c r="N45" s="3">
        <v>0</v>
      </c>
      <c r="O45" s="3">
        <v>8</v>
      </c>
      <c r="P45" s="3">
        <v>661</v>
      </c>
      <c r="Q45" s="3">
        <v>0</v>
      </c>
      <c r="R45" s="3">
        <v>820</v>
      </c>
      <c r="S45" s="3">
        <v>442</v>
      </c>
      <c r="T45" s="4">
        <v>80.609756097560975</v>
      </c>
      <c r="U45">
        <f t="shared" si="2"/>
        <v>442</v>
      </c>
      <c r="V45" t="e">
        <f t="shared" si="3"/>
        <v>#N/A</v>
      </c>
    </row>
    <row r="46" spans="1:22" x14ac:dyDescent="0.25">
      <c r="A46" s="3">
        <v>85</v>
      </c>
      <c r="B46" s="3">
        <v>821</v>
      </c>
      <c r="C46" s="3">
        <v>3</v>
      </c>
      <c r="D46" s="3">
        <v>216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2</v>
      </c>
      <c r="L46" s="3">
        <v>0</v>
      </c>
      <c r="M46" s="3">
        <v>1045</v>
      </c>
      <c r="N46" s="3">
        <v>0</v>
      </c>
      <c r="O46" s="3">
        <v>6</v>
      </c>
      <c r="P46" s="3">
        <v>1051</v>
      </c>
      <c r="Q46" s="3">
        <v>0</v>
      </c>
      <c r="R46" s="3">
        <v>1201</v>
      </c>
      <c r="S46" s="3">
        <v>605</v>
      </c>
      <c r="T46" s="4">
        <v>87.510407993338873</v>
      </c>
      <c r="U46">
        <f t="shared" si="2"/>
        <v>605</v>
      </c>
      <c r="V46" t="e">
        <f t="shared" si="3"/>
        <v>#N/A</v>
      </c>
    </row>
    <row r="47" spans="1:22" x14ac:dyDescent="0.25">
      <c r="A47" s="3">
        <v>88</v>
      </c>
      <c r="B47" s="3">
        <v>851</v>
      </c>
      <c r="C47" s="3">
        <v>1</v>
      </c>
      <c r="D47" s="3">
        <v>337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1</v>
      </c>
      <c r="K47" s="3">
        <v>1</v>
      </c>
      <c r="L47" s="3">
        <v>1</v>
      </c>
      <c r="M47" s="3">
        <v>1193</v>
      </c>
      <c r="N47" s="3">
        <v>0</v>
      </c>
      <c r="O47" s="3">
        <v>4</v>
      </c>
      <c r="P47" s="3">
        <v>1197</v>
      </c>
      <c r="Q47" s="3">
        <v>0</v>
      </c>
      <c r="R47" s="3">
        <v>1466</v>
      </c>
      <c r="S47" s="3">
        <v>514</v>
      </c>
      <c r="T47" s="4">
        <v>81.650750341064111</v>
      </c>
      <c r="U47">
        <f t="shared" si="2"/>
        <v>514</v>
      </c>
      <c r="V47" t="e">
        <f t="shared" si="3"/>
        <v>#N/A</v>
      </c>
    </row>
    <row r="48" spans="1:22" x14ac:dyDescent="0.25">
      <c r="A48" s="3">
        <v>115</v>
      </c>
      <c r="B48" s="3">
        <v>928</v>
      </c>
      <c r="C48" s="3">
        <v>2</v>
      </c>
      <c r="D48" s="3">
        <v>145</v>
      </c>
      <c r="E48" s="3">
        <v>2</v>
      </c>
      <c r="F48" s="3">
        <v>0</v>
      </c>
      <c r="G48" s="3">
        <v>2</v>
      </c>
      <c r="H48" s="3">
        <v>19</v>
      </c>
      <c r="I48" s="3">
        <v>1</v>
      </c>
      <c r="J48" s="3">
        <v>0</v>
      </c>
      <c r="K48" s="3">
        <v>0</v>
      </c>
      <c r="L48" s="3">
        <v>2</v>
      </c>
      <c r="M48" s="3">
        <v>1101</v>
      </c>
      <c r="N48" s="3">
        <v>0</v>
      </c>
      <c r="O48" s="3">
        <v>6</v>
      </c>
      <c r="P48" s="3">
        <v>1107</v>
      </c>
      <c r="Q48" s="3">
        <v>0</v>
      </c>
      <c r="R48" s="3">
        <v>1289</v>
      </c>
      <c r="S48" s="3">
        <v>783</v>
      </c>
      <c r="T48" s="4">
        <v>85.880527540729247</v>
      </c>
      <c r="U48">
        <f t="shared" si="2"/>
        <v>783</v>
      </c>
      <c r="V48" t="e">
        <f t="shared" si="3"/>
        <v>#N/A</v>
      </c>
    </row>
    <row r="49" spans="1:22" x14ac:dyDescent="0.25">
      <c r="A49" s="3">
        <v>118</v>
      </c>
      <c r="B49" s="3">
        <v>857</v>
      </c>
      <c r="C49" s="3">
        <v>2</v>
      </c>
      <c r="D49" s="3">
        <v>80</v>
      </c>
      <c r="E49" s="3">
        <v>0</v>
      </c>
      <c r="F49" s="3">
        <v>0</v>
      </c>
      <c r="G49" s="3">
        <v>6</v>
      </c>
      <c r="H49" s="3">
        <v>8</v>
      </c>
      <c r="I49" s="3">
        <v>0</v>
      </c>
      <c r="J49" s="3">
        <v>1</v>
      </c>
      <c r="K49" s="3">
        <v>0</v>
      </c>
      <c r="L49" s="3">
        <v>2</v>
      </c>
      <c r="M49" s="3">
        <v>956</v>
      </c>
      <c r="N49" s="3">
        <v>0</v>
      </c>
      <c r="O49" s="3">
        <v>7</v>
      </c>
      <c r="P49" s="3">
        <v>963</v>
      </c>
      <c r="Q49" s="3">
        <v>0</v>
      </c>
      <c r="R49" s="3">
        <v>1001</v>
      </c>
      <c r="S49" s="3">
        <v>777</v>
      </c>
      <c r="T49" s="4">
        <v>96.203796203796202</v>
      </c>
      <c r="U49">
        <f t="shared" si="2"/>
        <v>777</v>
      </c>
      <c r="V49" t="e">
        <f t="shared" si="3"/>
        <v>#N/A</v>
      </c>
    </row>
    <row r="50" spans="1:22" x14ac:dyDescent="0.25">
      <c r="A50" s="3">
        <v>119</v>
      </c>
      <c r="B50" s="3">
        <v>867</v>
      </c>
      <c r="C50" s="3">
        <v>0</v>
      </c>
      <c r="D50" s="3">
        <v>179</v>
      </c>
      <c r="E50" s="3">
        <v>0</v>
      </c>
      <c r="F50" s="3">
        <v>0</v>
      </c>
      <c r="G50" s="3">
        <v>2</v>
      </c>
      <c r="H50" s="3">
        <v>1</v>
      </c>
      <c r="I50" s="3">
        <v>1</v>
      </c>
      <c r="J50" s="3">
        <v>0</v>
      </c>
      <c r="K50" s="3">
        <v>0</v>
      </c>
      <c r="L50" s="3">
        <v>2</v>
      </c>
      <c r="M50" s="3">
        <v>1052</v>
      </c>
      <c r="N50" s="3">
        <v>0</v>
      </c>
      <c r="O50" s="3">
        <v>3</v>
      </c>
      <c r="P50" s="3">
        <v>1055</v>
      </c>
      <c r="Q50" s="3">
        <v>0</v>
      </c>
      <c r="R50" s="3">
        <v>1222</v>
      </c>
      <c r="S50" s="3">
        <v>688</v>
      </c>
      <c r="T50" s="4">
        <v>86.333878887070384</v>
      </c>
      <c r="U50">
        <f t="shared" si="2"/>
        <v>688</v>
      </c>
      <c r="V50" t="e">
        <f t="shared" si="3"/>
        <v>#N/A</v>
      </c>
    </row>
    <row r="51" spans="1:22" x14ac:dyDescent="0.25">
      <c r="A51" s="3">
        <v>126</v>
      </c>
      <c r="B51" s="3">
        <v>746</v>
      </c>
      <c r="C51" s="3">
        <v>1</v>
      </c>
      <c r="D51" s="3">
        <v>12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759</v>
      </c>
      <c r="N51" s="3">
        <v>0</v>
      </c>
      <c r="O51" s="3">
        <v>5</v>
      </c>
      <c r="P51" s="3">
        <v>764</v>
      </c>
      <c r="Q51" s="3">
        <v>0</v>
      </c>
      <c r="R51" s="3">
        <v>877</v>
      </c>
      <c r="S51" s="3">
        <v>734</v>
      </c>
      <c r="T51" s="4">
        <v>87.115165336374005</v>
      </c>
      <c r="U51">
        <f t="shared" si="2"/>
        <v>734</v>
      </c>
      <c r="V51" t="e">
        <f t="shared" si="3"/>
        <v>#N/A</v>
      </c>
    </row>
    <row r="52" spans="1:22" x14ac:dyDescent="0.25">
      <c r="A52" s="1">
        <v>157</v>
      </c>
      <c r="B52" s="1">
        <v>317</v>
      </c>
      <c r="C52" s="1">
        <v>5</v>
      </c>
      <c r="D52" s="1">
        <v>770</v>
      </c>
      <c r="E52" s="1">
        <v>2</v>
      </c>
      <c r="F52" s="1">
        <v>0</v>
      </c>
      <c r="G52" s="1">
        <v>2</v>
      </c>
      <c r="H52" s="1">
        <v>1</v>
      </c>
      <c r="I52" s="1">
        <v>1</v>
      </c>
      <c r="J52" s="1">
        <v>1</v>
      </c>
      <c r="K52" s="1">
        <v>0</v>
      </c>
      <c r="L52" s="1">
        <v>0</v>
      </c>
      <c r="M52" s="1">
        <v>1099</v>
      </c>
      <c r="N52" s="1">
        <v>0</v>
      </c>
      <c r="O52" s="1">
        <v>1</v>
      </c>
      <c r="P52" s="1">
        <v>1100</v>
      </c>
      <c r="Q52" s="1">
        <v>0</v>
      </c>
      <c r="R52" s="1">
        <v>1275</v>
      </c>
      <c r="S52" s="1">
        <v>453</v>
      </c>
      <c r="T52" s="2">
        <v>86.274509803921575</v>
      </c>
      <c r="U52" t="e">
        <f t="shared" si="2"/>
        <v>#N/A</v>
      </c>
      <c r="V52">
        <f t="shared" si="3"/>
        <v>453</v>
      </c>
    </row>
    <row r="53" spans="1:22" x14ac:dyDescent="0.25">
      <c r="A53" s="1">
        <v>175</v>
      </c>
      <c r="B53" s="1">
        <v>349</v>
      </c>
      <c r="C53" s="1">
        <v>3</v>
      </c>
      <c r="D53" s="1">
        <v>765</v>
      </c>
      <c r="E53" s="1">
        <v>1</v>
      </c>
      <c r="F53" s="1">
        <v>1</v>
      </c>
      <c r="G53" s="1">
        <v>1</v>
      </c>
      <c r="H53" s="1">
        <v>0</v>
      </c>
      <c r="I53" s="1">
        <v>1</v>
      </c>
      <c r="J53" s="1">
        <v>2</v>
      </c>
      <c r="K53" s="1">
        <v>1</v>
      </c>
      <c r="L53" s="1">
        <v>0</v>
      </c>
      <c r="M53" s="1">
        <v>1124</v>
      </c>
      <c r="N53" s="1">
        <v>0</v>
      </c>
      <c r="O53" s="1">
        <v>5</v>
      </c>
      <c r="P53" s="1">
        <v>1129</v>
      </c>
      <c r="Q53" s="1">
        <v>0</v>
      </c>
      <c r="R53" s="1">
        <v>1344</v>
      </c>
      <c r="S53" s="1">
        <v>416</v>
      </c>
      <c r="T53" s="2">
        <v>84.00297619047619</v>
      </c>
      <c r="U53" t="e">
        <f t="shared" si="2"/>
        <v>#N/A</v>
      </c>
      <c r="V53">
        <f t="shared" si="3"/>
        <v>416</v>
      </c>
    </row>
    <row r="54" spans="1:22" x14ac:dyDescent="0.25">
      <c r="A54" s="1">
        <v>178</v>
      </c>
      <c r="B54" s="1">
        <v>328</v>
      </c>
      <c r="C54" s="1">
        <v>7</v>
      </c>
      <c r="D54" s="1">
        <v>766</v>
      </c>
      <c r="E54" s="1">
        <v>3</v>
      </c>
      <c r="F54" s="1">
        <v>0</v>
      </c>
      <c r="G54" s="1">
        <v>1</v>
      </c>
      <c r="H54" s="1">
        <v>0</v>
      </c>
      <c r="I54" s="1">
        <v>0</v>
      </c>
      <c r="J54" s="1">
        <v>2</v>
      </c>
      <c r="K54" s="1">
        <v>0</v>
      </c>
      <c r="L54" s="1">
        <v>0</v>
      </c>
      <c r="M54" s="1">
        <v>1107</v>
      </c>
      <c r="N54" s="1">
        <v>0</v>
      </c>
      <c r="O54" s="1">
        <v>3</v>
      </c>
      <c r="P54" s="1">
        <v>1110</v>
      </c>
      <c r="Q54" s="1">
        <v>0</v>
      </c>
      <c r="R54" s="1">
        <v>1192</v>
      </c>
      <c r="S54" s="1">
        <v>438</v>
      </c>
      <c r="T54" s="2">
        <v>93.12080536912751</v>
      </c>
      <c r="U54" t="e">
        <f t="shared" si="2"/>
        <v>#N/A</v>
      </c>
      <c r="V54">
        <f t="shared" si="3"/>
        <v>438</v>
      </c>
    </row>
    <row r="55" spans="1:22" x14ac:dyDescent="0.25">
      <c r="A55" s="1">
        <v>187</v>
      </c>
      <c r="B55" s="1">
        <v>325</v>
      </c>
      <c r="C55" s="1">
        <v>2</v>
      </c>
      <c r="D55" s="1">
        <v>746</v>
      </c>
      <c r="E55" s="1">
        <v>0</v>
      </c>
      <c r="F55" s="1">
        <v>0</v>
      </c>
      <c r="G55" s="1">
        <v>3</v>
      </c>
      <c r="H55" s="1">
        <v>0</v>
      </c>
      <c r="I55" s="1">
        <v>0</v>
      </c>
      <c r="J55" s="1">
        <v>5</v>
      </c>
      <c r="K55" s="1">
        <v>0</v>
      </c>
      <c r="L55" s="1">
        <v>0</v>
      </c>
      <c r="M55" s="1">
        <v>1081</v>
      </c>
      <c r="N55" s="1">
        <v>0</v>
      </c>
      <c r="O55" s="1">
        <v>7</v>
      </c>
      <c r="P55" s="1">
        <v>1088</v>
      </c>
      <c r="Q55" s="1">
        <v>0</v>
      </c>
      <c r="R55" s="1">
        <v>1165</v>
      </c>
      <c r="S55" s="1">
        <v>421</v>
      </c>
      <c r="T55" s="2">
        <v>93.39055793991416</v>
      </c>
      <c r="U55" t="e">
        <f t="shared" si="2"/>
        <v>#N/A</v>
      </c>
      <c r="V55">
        <f t="shared" si="3"/>
        <v>421</v>
      </c>
    </row>
    <row r="56" spans="1:22" x14ac:dyDescent="0.25">
      <c r="A56" s="1">
        <v>218</v>
      </c>
      <c r="B56" s="1">
        <v>371</v>
      </c>
      <c r="C56" s="1">
        <v>0</v>
      </c>
      <c r="D56" s="1">
        <v>763</v>
      </c>
      <c r="E56" s="1">
        <v>2</v>
      </c>
      <c r="F56" s="1">
        <v>0</v>
      </c>
      <c r="G56" s="1">
        <v>0</v>
      </c>
      <c r="H56" s="1">
        <v>0</v>
      </c>
      <c r="I56" s="1">
        <v>0</v>
      </c>
      <c r="J56" s="1">
        <v>4</v>
      </c>
      <c r="K56" s="1">
        <v>0</v>
      </c>
      <c r="L56" s="1">
        <v>0</v>
      </c>
      <c r="M56" s="1">
        <v>1140</v>
      </c>
      <c r="N56" s="1">
        <v>0</v>
      </c>
      <c r="O56" s="1">
        <v>4</v>
      </c>
      <c r="P56" s="1">
        <v>1144</v>
      </c>
      <c r="Q56" s="1">
        <v>0</v>
      </c>
      <c r="R56" s="1">
        <v>1381</v>
      </c>
      <c r="S56" s="1">
        <v>392</v>
      </c>
      <c r="T56" s="2">
        <v>82.838522809558285</v>
      </c>
      <c r="U56" t="e">
        <f t="shared" si="2"/>
        <v>#N/A</v>
      </c>
      <c r="V56">
        <f t="shared" si="3"/>
        <v>392</v>
      </c>
    </row>
    <row r="57" spans="1:22" x14ac:dyDescent="0.25">
      <c r="A57" s="3">
        <v>221</v>
      </c>
      <c r="B57" s="3">
        <v>740</v>
      </c>
      <c r="C57" s="3">
        <v>2</v>
      </c>
      <c r="D57" s="3">
        <v>220</v>
      </c>
      <c r="E57" s="3">
        <v>0</v>
      </c>
      <c r="F57" s="3">
        <v>0</v>
      </c>
      <c r="G57" s="3">
        <v>2</v>
      </c>
      <c r="H57" s="3">
        <v>2</v>
      </c>
      <c r="I57" s="3">
        <v>0</v>
      </c>
      <c r="J57" s="3">
        <v>0</v>
      </c>
      <c r="K57" s="3">
        <v>1</v>
      </c>
      <c r="L57" s="3">
        <v>0</v>
      </c>
      <c r="M57" s="3">
        <v>967</v>
      </c>
      <c r="N57" s="3">
        <v>0</v>
      </c>
      <c r="O57" s="3">
        <v>7</v>
      </c>
      <c r="P57" s="3">
        <v>974</v>
      </c>
      <c r="Q57" s="3">
        <v>0</v>
      </c>
      <c r="R57" s="3">
        <v>1183</v>
      </c>
      <c r="S57" s="3">
        <v>520</v>
      </c>
      <c r="T57" s="4">
        <v>82.333051563820788</v>
      </c>
      <c r="U57">
        <f t="shared" si="2"/>
        <v>520</v>
      </c>
      <c r="V57" t="e">
        <f t="shared" si="3"/>
        <v>#N/A</v>
      </c>
    </row>
    <row r="58" spans="1:22" x14ac:dyDescent="0.25">
      <c r="A58" s="1">
        <v>230</v>
      </c>
      <c r="B58" s="1">
        <v>245</v>
      </c>
      <c r="C58" s="1">
        <v>3</v>
      </c>
      <c r="D58" s="1">
        <v>755</v>
      </c>
      <c r="E58" s="1">
        <v>7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3</v>
      </c>
      <c r="L58" s="1">
        <v>2</v>
      </c>
      <c r="M58" s="1">
        <v>1017</v>
      </c>
      <c r="N58" s="1">
        <v>0</v>
      </c>
      <c r="O58" s="1">
        <v>7</v>
      </c>
      <c r="P58" s="1">
        <v>1024</v>
      </c>
      <c r="Q58" s="1">
        <v>0</v>
      </c>
      <c r="R58" s="1">
        <v>1217</v>
      </c>
      <c r="S58" s="1">
        <v>510</v>
      </c>
      <c r="T58" s="2">
        <v>84.141331142152836</v>
      </c>
      <c r="U58" t="e">
        <f t="shared" si="2"/>
        <v>#N/A</v>
      </c>
      <c r="V58">
        <f t="shared" si="3"/>
        <v>510</v>
      </c>
    </row>
    <row r="59" spans="1:22" x14ac:dyDescent="0.25">
      <c r="A59" s="1">
        <v>249</v>
      </c>
      <c r="B59" s="1">
        <v>262</v>
      </c>
      <c r="C59" s="1">
        <v>5</v>
      </c>
      <c r="D59" s="1">
        <v>830</v>
      </c>
      <c r="E59" s="1">
        <v>2</v>
      </c>
      <c r="F59" s="1">
        <v>1</v>
      </c>
      <c r="G59" s="1">
        <v>0</v>
      </c>
      <c r="H59" s="1">
        <v>0</v>
      </c>
      <c r="I59" s="1">
        <v>0</v>
      </c>
      <c r="J59" s="1">
        <v>7</v>
      </c>
      <c r="K59" s="1">
        <v>1</v>
      </c>
      <c r="L59" s="1">
        <v>0</v>
      </c>
      <c r="M59" s="1">
        <v>1108</v>
      </c>
      <c r="N59" s="1">
        <v>0</v>
      </c>
      <c r="O59" s="1">
        <v>6</v>
      </c>
      <c r="P59" s="1">
        <v>1114</v>
      </c>
      <c r="Q59" s="1">
        <v>0</v>
      </c>
      <c r="R59" s="1">
        <v>1347</v>
      </c>
      <c r="S59" s="1">
        <v>568</v>
      </c>
      <c r="T59" s="2">
        <v>82.702301410541949</v>
      </c>
      <c r="U59" t="e">
        <f t="shared" si="2"/>
        <v>#N/A</v>
      </c>
      <c r="V59">
        <f t="shared" si="3"/>
        <v>568</v>
      </c>
    </row>
    <row r="60" spans="1:22" x14ac:dyDescent="0.25">
      <c r="A60" s="1">
        <v>251</v>
      </c>
      <c r="B60" s="1">
        <v>293</v>
      </c>
      <c r="C60" s="1">
        <v>1</v>
      </c>
      <c r="D60" s="1">
        <v>821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9</v>
      </c>
      <c r="K60" s="1">
        <v>0</v>
      </c>
      <c r="L60" s="1">
        <v>0</v>
      </c>
      <c r="M60" s="1">
        <v>1124</v>
      </c>
      <c r="N60" s="1">
        <v>0</v>
      </c>
      <c r="O60" s="1">
        <v>4</v>
      </c>
      <c r="P60" s="1">
        <v>1128</v>
      </c>
      <c r="Q60" s="1">
        <v>0</v>
      </c>
      <c r="R60" s="1">
        <v>1407</v>
      </c>
      <c r="S60" s="1">
        <v>528</v>
      </c>
      <c r="T60" s="2">
        <v>80.170575692963752</v>
      </c>
      <c r="U60" t="e">
        <f t="shared" si="2"/>
        <v>#N/A</v>
      </c>
      <c r="V60">
        <f t="shared" si="3"/>
        <v>528</v>
      </c>
    </row>
    <row r="61" spans="1:22" x14ac:dyDescent="0.25">
      <c r="A61" s="1">
        <v>257</v>
      </c>
      <c r="B61" s="1">
        <v>284</v>
      </c>
      <c r="C61" s="1">
        <v>2</v>
      </c>
      <c r="D61" s="1">
        <v>694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7</v>
      </c>
      <c r="K61" s="1">
        <v>0</v>
      </c>
      <c r="L61" s="1">
        <v>1</v>
      </c>
      <c r="M61" s="1">
        <v>989</v>
      </c>
      <c r="N61" s="1">
        <v>0</v>
      </c>
      <c r="O61" s="1">
        <v>14</v>
      </c>
      <c r="P61" s="1">
        <v>1003</v>
      </c>
      <c r="Q61" s="1">
        <v>0</v>
      </c>
      <c r="R61" s="1">
        <v>1205</v>
      </c>
      <c r="S61" s="1">
        <v>410</v>
      </c>
      <c r="T61" s="2">
        <v>83.236514522821579</v>
      </c>
      <c r="U61" t="e">
        <f t="shared" si="2"/>
        <v>#N/A</v>
      </c>
      <c r="V61">
        <f t="shared" si="3"/>
        <v>410</v>
      </c>
    </row>
    <row r="62" spans="1:22" x14ac:dyDescent="0.25">
      <c r="A62" s="1">
        <v>258</v>
      </c>
      <c r="B62" s="1">
        <v>291</v>
      </c>
      <c r="C62" s="1">
        <v>1</v>
      </c>
      <c r="D62" s="1">
        <v>771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6</v>
      </c>
      <c r="K62" s="1">
        <v>0</v>
      </c>
      <c r="L62" s="1">
        <v>1</v>
      </c>
      <c r="M62" s="1">
        <v>1071</v>
      </c>
      <c r="N62" s="1">
        <v>0</v>
      </c>
      <c r="O62" s="1">
        <v>10</v>
      </c>
      <c r="P62" s="1">
        <v>1081</v>
      </c>
      <c r="Q62" s="1">
        <v>0</v>
      </c>
      <c r="R62" s="1">
        <v>1220</v>
      </c>
      <c r="S62" s="1">
        <v>480</v>
      </c>
      <c r="T62" s="2">
        <v>88.606557377049171</v>
      </c>
      <c r="U62" t="e">
        <f t="shared" si="2"/>
        <v>#N/A</v>
      </c>
      <c r="V62">
        <f t="shared" si="3"/>
        <v>480</v>
      </c>
    </row>
    <row r="63" spans="1:22" x14ac:dyDescent="0.25">
      <c r="A63" s="1">
        <v>283</v>
      </c>
      <c r="B63" s="1">
        <v>275</v>
      </c>
      <c r="C63" s="1">
        <v>3</v>
      </c>
      <c r="D63" s="1">
        <v>962</v>
      </c>
      <c r="E63" s="1">
        <v>2</v>
      </c>
      <c r="F63" s="1">
        <v>0</v>
      </c>
      <c r="G63" s="1">
        <v>1</v>
      </c>
      <c r="H63" s="1">
        <v>0</v>
      </c>
      <c r="I63" s="1">
        <v>0</v>
      </c>
      <c r="J63" s="1">
        <v>2</v>
      </c>
      <c r="K63" s="1">
        <v>3</v>
      </c>
      <c r="L63" s="1">
        <v>3</v>
      </c>
      <c r="M63" s="1">
        <v>1251</v>
      </c>
      <c r="N63" s="1">
        <v>0</v>
      </c>
      <c r="O63" s="1">
        <v>4</v>
      </c>
      <c r="P63" s="1">
        <v>1255</v>
      </c>
      <c r="Q63" s="1">
        <v>0</v>
      </c>
      <c r="R63" s="1">
        <v>1349</v>
      </c>
      <c r="S63" s="1">
        <v>687</v>
      </c>
      <c r="T63" s="2">
        <v>93.031875463306164</v>
      </c>
      <c r="U63" t="e">
        <f t="shared" si="2"/>
        <v>#N/A</v>
      </c>
      <c r="V63">
        <f t="shared" si="3"/>
        <v>687</v>
      </c>
    </row>
    <row r="64" spans="1:22" x14ac:dyDescent="0.25">
      <c r="A64" s="3" t="s">
        <v>22</v>
      </c>
      <c r="B64" s="3">
        <v>634</v>
      </c>
      <c r="C64" s="3">
        <v>1</v>
      </c>
      <c r="D64" s="3">
        <v>7</v>
      </c>
      <c r="E64" s="3">
        <v>0</v>
      </c>
      <c r="F64" s="3">
        <v>0</v>
      </c>
      <c r="G64" s="3">
        <v>1</v>
      </c>
      <c r="H64" s="3">
        <v>5</v>
      </c>
      <c r="I64" s="3">
        <v>0</v>
      </c>
      <c r="J64" s="3">
        <v>0</v>
      </c>
      <c r="K64" s="3">
        <v>0</v>
      </c>
      <c r="L64" s="3">
        <v>0</v>
      </c>
      <c r="M64" s="3">
        <v>648</v>
      </c>
      <c r="N64" s="3">
        <v>0</v>
      </c>
      <c r="O64" s="3">
        <v>3</v>
      </c>
      <c r="P64" s="3">
        <v>651</v>
      </c>
      <c r="Q64" s="3">
        <v>0</v>
      </c>
      <c r="R64" s="3">
        <v>756</v>
      </c>
      <c r="S64" s="3">
        <v>627</v>
      </c>
      <c r="T64" s="2">
        <v>86.111111111111114</v>
      </c>
      <c r="U64">
        <f t="shared" si="2"/>
        <v>627</v>
      </c>
      <c r="V64" t="e">
        <f t="shared" si="3"/>
        <v>#N/A</v>
      </c>
    </row>
    <row r="65" spans="1:22" x14ac:dyDescent="0.25">
      <c r="A65" s="1" t="s">
        <v>24</v>
      </c>
      <c r="B65" s="1">
        <v>125</v>
      </c>
      <c r="C65" s="1">
        <v>0</v>
      </c>
      <c r="D65" s="1">
        <v>521</v>
      </c>
      <c r="E65" s="1">
        <v>1</v>
      </c>
      <c r="F65" s="1">
        <v>0</v>
      </c>
      <c r="G65" s="1">
        <v>0</v>
      </c>
      <c r="H65" s="1">
        <v>1</v>
      </c>
      <c r="I65" s="1">
        <v>1</v>
      </c>
      <c r="J65" s="1">
        <v>6</v>
      </c>
      <c r="K65" s="1">
        <v>0</v>
      </c>
      <c r="L65" s="1">
        <v>0</v>
      </c>
      <c r="M65" s="1">
        <v>655</v>
      </c>
      <c r="N65" s="1">
        <v>0</v>
      </c>
      <c r="O65" s="1">
        <v>2</v>
      </c>
      <c r="P65" s="1">
        <v>657</v>
      </c>
      <c r="Q65" s="1">
        <v>0</v>
      </c>
      <c r="R65" s="1">
        <v>753</v>
      </c>
      <c r="S65" s="1">
        <v>396</v>
      </c>
      <c r="T65" s="2">
        <v>87.250996015936252</v>
      </c>
      <c r="U65" t="e">
        <f t="shared" si="2"/>
        <v>#N/A</v>
      </c>
      <c r="V65">
        <f t="shared" si="3"/>
        <v>396</v>
      </c>
    </row>
    <row r="66" spans="1:22" x14ac:dyDescent="0.25">
      <c r="A66" s="1" t="s">
        <v>35</v>
      </c>
      <c r="B66" s="1">
        <v>152</v>
      </c>
      <c r="C66" s="1">
        <v>0</v>
      </c>
      <c r="D66" s="1">
        <v>537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4</v>
      </c>
      <c r="K66" s="1">
        <v>1</v>
      </c>
      <c r="L66" s="1">
        <v>0</v>
      </c>
      <c r="M66" s="1">
        <v>696</v>
      </c>
      <c r="N66" s="1">
        <v>0</v>
      </c>
      <c r="O66" s="1">
        <v>1</v>
      </c>
      <c r="P66" s="1">
        <v>697</v>
      </c>
      <c r="Q66" s="1">
        <v>0</v>
      </c>
      <c r="R66" s="1">
        <v>832</v>
      </c>
      <c r="S66" s="1">
        <v>385</v>
      </c>
      <c r="T66" s="2">
        <v>83.774038461538453</v>
      </c>
      <c r="U66" t="e">
        <f t="shared" ref="U66:U97" si="4">IF(B66&gt;D66,S66,NA())</f>
        <v>#N/A</v>
      </c>
      <c r="V66">
        <f t="shared" ref="V66:V97" si="5">IF(D66&gt;B66,S66,NA())</f>
        <v>385</v>
      </c>
    </row>
    <row r="67" spans="1:22" x14ac:dyDescent="0.25">
      <c r="A67" s="3">
        <v>41</v>
      </c>
      <c r="B67" s="3">
        <v>507</v>
      </c>
      <c r="C67" s="3">
        <v>10</v>
      </c>
      <c r="D67" s="3">
        <v>338</v>
      </c>
      <c r="E67" s="3">
        <v>1</v>
      </c>
      <c r="F67" s="3">
        <v>1</v>
      </c>
      <c r="G67" s="3">
        <v>1</v>
      </c>
      <c r="H67" s="3">
        <v>0</v>
      </c>
      <c r="I67" s="3">
        <v>1</v>
      </c>
      <c r="J67" s="3">
        <v>1</v>
      </c>
      <c r="K67" s="3">
        <v>1</v>
      </c>
      <c r="L67" s="3">
        <v>1</v>
      </c>
      <c r="M67" s="3">
        <v>862</v>
      </c>
      <c r="N67" s="3">
        <v>0</v>
      </c>
      <c r="O67" s="3">
        <v>6</v>
      </c>
      <c r="P67" s="3">
        <v>868</v>
      </c>
      <c r="Q67" s="3">
        <v>0</v>
      </c>
      <c r="R67" s="3">
        <v>1055</v>
      </c>
      <c r="S67" s="3">
        <v>169</v>
      </c>
      <c r="T67" s="4">
        <v>82.274881516587669</v>
      </c>
      <c r="U67">
        <f t="shared" si="4"/>
        <v>169</v>
      </c>
      <c r="V67" t="e">
        <f t="shared" si="5"/>
        <v>#N/A</v>
      </c>
    </row>
    <row r="68" spans="1:22" x14ac:dyDescent="0.25">
      <c r="A68" s="1">
        <v>50</v>
      </c>
      <c r="B68" s="1">
        <v>400</v>
      </c>
      <c r="C68" s="1">
        <v>8</v>
      </c>
      <c r="D68" s="1">
        <v>565</v>
      </c>
      <c r="E68" s="1">
        <v>3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">
        <v>2</v>
      </c>
      <c r="M68" s="1">
        <v>979</v>
      </c>
      <c r="N68" s="1">
        <v>0</v>
      </c>
      <c r="O68" s="1">
        <v>7</v>
      </c>
      <c r="P68" s="1">
        <v>986</v>
      </c>
      <c r="Q68" s="1">
        <v>0</v>
      </c>
      <c r="R68" s="1">
        <v>1130</v>
      </c>
      <c r="S68" s="1">
        <v>165</v>
      </c>
      <c r="T68" s="2">
        <v>87.256637168141594</v>
      </c>
      <c r="U68" t="e">
        <f t="shared" si="4"/>
        <v>#N/A</v>
      </c>
      <c r="V68">
        <f t="shared" si="5"/>
        <v>165</v>
      </c>
    </row>
    <row r="69" spans="1:22" x14ac:dyDescent="0.25">
      <c r="A69" s="1">
        <v>51</v>
      </c>
      <c r="B69" s="1">
        <v>388</v>
      </c>
      <c r="C69" s="1">
        <v>1</v>
      </c>
      <c r="D69" s="1">
        <v>393</v>
      </c>
      <c r="E69" s="1">
        <v>1</v>
      </c>
      <c r="F69" s="1">
        <v>0</v>
      </c>
      <c r="G69" s="1">
        <v>2</v>
      </c>
      <c r="H69" s="1">
        <v>0</v>
      </c>
      <c r="I69" s="1">
        <v>0</v>
      </c>
      <c r="J69" s="1">
        <v>2</v>
      </c>
      <c r="K69" s="1">
        <v>0</v>
      </c>
      <c r="L69" s="1">
        <v>1</v>
      </c>
      <c r="M69" s="1">
        <v>788</v>
      </c>
      <c r="N69" s="1">
        <v>0</v>
      </c>
      <c r="O69" s="1">
        <v>4</v>
      </c>
      <c r="P69" s="1">
        <v>792</v>
      </c>
      <c r="Q69" s="1">
        <v>0</v>
      </c>
      <c r="R69" s="1">
        <v>950</v>
      </c>
      <c r="S69" s="1">
        <v>5</v>
      </c>
      <c r="T69" s="2">
        <v>83.368421052631575</v>
      </c>
      <c r="U69" t="e">
        <f t="shared" si="4"/>
        <v>#N/A</v>
      </c>
      <c r="V69">
        <f t="shared" si="5"/>
        <v>5</v>
      </c>
    </row>
    <row r="70" spans="1:22" x14ac:dyDescent="0.25">
      <c r="A70" s="3">
        <v>63</v>
      </c>
      <c r="B70" s="3">
        <v>387</v>
      </c>
      <c r="C70" s="3">
        <v>3</v>
      </c>
      <c r="D70" s="3">
        <v>355</v>
      </c>
      <c r="E70" s="3">
        <v>0</v>
      </c>
      <c r="F70" s="3">
        <v>1</v>
      </c>
      <c r="G70" s="3">
        <v>1</v>
      </c>
      <c r="H70" s="3">
        <v>0</v>
      </c>
      <c r="I70" s="3">
        <v>3</v>
      </c>
      <c r="J70" s="3">
        <v>0</v>
      </c>
      <c r="K70" s="3">
        <v>0</v>
      </c>
      <c r="L70" s="3">
        <v>2</v>
      </c>
      <c r="M70" s="3">
        <v>752</v>
      </c>
      <c r="N70" s="3">
        <v>0</v>
      </c>
      <c r="O70" s="3">
        <v>8</v>
      </c>
      <c r="P70" s="3">
        <v>760</v>
      </c>
      <c r="Q70" s="3">
        <v>0</v>
      </c>
      <c r="R70" s="3">
        <v>844</v>
      </c>
      <c r="S70" s="3">
        <v>32</v>
      </c>
      <c r="T70" s="4">
        <v>90.047393364928908</v>
      </c>
      <c r="U70">
        <f t="shared" si="4"/>
        <v>32</v>
      </c>
      <c r="V70" t="e">
        <f t="shared" si="5"/>
        <v>#N/A</v>
      </c>
    </row>
    <row r="71" spans="1:22" x14ac:dyDescent="0.25">
      <c r="A71" s="1">
        <v>66</v>
      </c>
      <c r="B71" s="1">
        <v>368</v>
      </c>
      <c r="C71" s="1">
        <v>1</v>
      </c>
      <c r="D71" s="1">
        <v>551</v>
      </c>
      <c r="E71" s="1">
        <v>1</v>
      </c>
      <c r="F71" s="1">
        <v>0</v>
      </c>
      <c r="G71" s="1">
        <v>1</v>
      </c>
      <c r="H71" s="1">
        <v>0</v>
      </c>
      <c r="I71" s="1">
        <v>0</v>
      </c>
      <c r="J71" s="1">
        <v>1</v>
      </c>
      <c r="K71" s="1">
        <v>0</v>
      </c>
      <c r="L71" s="1">
        <v>0</v>
      </c>
      <c r="M71" s="1">
        <v>923</v>
      </c>
      <c r="N71" s="1">
        <v>0</v>
      </c>
      <c r="O71" s="1">
        <v>7</v>
      </c>
      <c r="P71" s="1">
        <v>930</v>
      </c>
      <c r="Q71" s="1">
        <v>0</v>
      </c>
      <c r="R71" s="1">
        <v>996</v>
      </c>
      <c r="S71" s="1">
        <v>183</v>
      </c>
      <c r="T71" s="2">
        <v>93.373493975903614</v>
      </c>
      <c r="U71" t="e">
        <f t="shared" si="4"/>
        <v>#N/A</v>
      </c>
      <c r="V71">
        <f t="shared" si="5"/>
        <v>183</v>
      </c>
    </row>
    <row r="72" spans="1:22" x14ac:dyDescent="0.25">
      <c r="A72" s="3">
        <v>82</v>
      </c>
      <c r="B72" s="3">
        <v>469</v>
      </c>
      <c r="C72" s="3">
        <v>16</v>
      </c>
      <c r="D72" s="3">
        <v>427</v>
      </c>
      <c r="E72" s="3">
        <v>0</v>
      </c>
      <c r="F72" s="3">
        <v>2</v>
      </c>
      <c r="G72" s="3">
        <v>0</v>
      </c>
      <c r="H72" s="3">
        <v>0</v>
      </c>
      <c r="I72" s="3">
        <v>0</v>
      </c>
      <c r="J72" s="3">
        <v>2</v>
      </c>
      <c r="K72" s="3">
        <v>1</v>
      </c>
      <c r="L72" s="3">
        <v>4</v>
      </c>
      <c r="M72" s="3">
        <v>921</v>
      </c>
      <c r="N72" s="3">
        <v>0</v>
      </c>
      <c r="O72" s="3">
        <v>13</v>
      </c>
      <c r="P72" s="3">
        <v>934</v>
      </c>
      <c r="Q72" s="3">
        <v>0</v>
      </c>
      <c r="R72" s="3">
        <v>1102</v>
      </c>
      <c r="S72" s="3">
        <v>42</v>
      </c>
      <c r="T72" s="4">
        <v>84.754990925589837</v>
      </c>
      <c r="U72">
        <f t="shared" si="4"/>
        <v>42</v>
      </c>
      <c r="V72" t="e">
        <f t="shared" si="5"/>
        <v>#N/A</v>
      </c>
    </row>
    <row r="73" spans="1:22" x14ac:dyDescent="0.25">
      <c r="A73" s="3">
        <v>84</v>
      </c>
      <c r="B73" s="3">
        <v>609</v>
      </c>
      <c r="C73" s="3">
        <v>3</v>
      </c>
      <c r="D73" s="3">
        <v>422</v>
      </c>
      <c r="E73" s="3">
        <v>5</v>
      </c>
      <c r="F73" s="3">
        <v>0</v>
      </c>
      <c r="G73" s="3">
        <v>3</v>
      </c>
      <c r="H73" s="3">
        <v>0</v>
      </c>
      <c r="I73" s="3">
        <v>1</v>
      </c>
      <c r="J73" s="3">
        <v>0</v>
      </c>
      <c r="K73" s="3">
        <v>1</v>
      </c>
      <c r="L73" s="3">
        <v>0</v>
      </c>
      <c r="M73" s="3">
        <v>1044</v>
      </c>
      <c r="N73" s="3">
        <v>0</v>
      </c>
      <c r="O73" s="3">
        <v>2</v>
      </c>
      <c r="P73" s="3">
        <v>1046</v>
      </c>
      <c r="Q73" s="3">
        <v>0</v>
      </c>
      <c r="R73" s="3">
        <v>1203</v>
      </c>
      <c r="S73" s="3">
        <v>187</v>
      </c>
      <c r="T73" s="4">
        <v>86.949293433083952</v>
      </c>
      <c r="U73">
        <f t="shared" si="4"/>
        <v>187</v>
      </c>
      <c r="V73" t="e">
        <f t="shared" si="5"/>
        <v>#N/A</v>
      </c>
    </row>
    <row r="74" spans="1:22" x14ac:dyDescent="0.25">
      <c r="A74" s="1">
        <v>90</v>
      </c>
      <c r="B74" s="1">
        <v>449</v>
      </c>
      <c r="C74" s="1">
        <v>3</v>
      </c>
      <c r="D74" s="1">
        <v>521</v>
      </c>
      <c r="E74" s="1">
        <v>3</v>
      </c>
      <c r="F74" s="1">
        <v>0</v>
      </c>
      <c r="G74" s="1">
        <v>0</v>
      </c>
      <c r="H74" s="1">
        <v>0</v>
      </c>
      <c r="I74" s="1">
        <v>1</v>
      </c>
      <c r="J74" s="1">
        <v>1</v>
      </c>
      <c r="K74" s="1">
        <v>1</v>
      </c>
      <c r="L74" s="1">
        <v>2</v>
      </c>
      <c r="M74" s="1">
        <v>981</v>
      </c>
      <c r="N74" s="1">
        <v>0</v>
      </c>
      <c r="O74" s="1">
        <v>6</v>
      </c>
      <c r="P74" s="1">
        <v>987</v>
      </c>
      <c r="Q74" s="1">
        <v>0</v>
      </c>
      <c r="R74" s="1">
        <v>1193</v>
      </c>
      <c r="S74" s="1">
        <v>72</v>
      </c>
      <c r="T74" s="2">
        <v>82.732606873428324</v>
      </c>
      <c r="U74" t="e">
        <f t="shared" si="4"/>
        <v>#N/A</v>
      </c>
      <c r="V74">
        <f t="shared" si="5"/>
        <v>72</v>
      </c>
    </row>
    <row r="75" spans="1:22" x14ac:dyDescent="0.25">
      <c r="A75" s="1">
        <v>99</v>
      </c>
      <c r="B75" s="1">
        <v>489</v>
      </c>
      <c r="C75" s="1">
        <v>7</v>
      </c>
      <c r="D75" s="1">
        <v>673</v>
      </c>
      <c r="E75" s="1">
        <v>7</v>
      </c>
      <c r="F75" s="1">
        <v>0</v>
      </c>
      <c r="G75" s="1">
        <v>3</v>
      </c>
      <c r="H75" s="1">
        <v>1</v>
      </c>
      <c r="I75" s="1">
        <v>0</v>
      </c>
      <c r="J75" s="1">
        <v>3</v>
      </c>
      <c r="K75" s="1">
        <v>0</v>
      </c>
      <c r="L75" s="1">
        <v>2</v>
      </c>
      <c r="M75" s="1">
        <v>1185</v>
      </c>
      <c r="N75" s="1">
        <v>0</v>
      </c>
      <c r="O75" s="1">
        <v>6</v>
      </c>
      <c r="P75" s="1">
        <v>1191</v>
      </c>
      <c r="Q75" s="1">
        <v>0</v>
      </c>
      <c r="R75" s="1">
        <v>1344</v>
      </c>
      <c r="S75" s="1">
        <v>184</v>
      </c>
      <c r="T75" s="2">
        <v>88.616071428571431</v>
      </c>
      <c r="U75" t="e">
        <f t="shared" si="4"/>
        <v>#N/A</v>
      </c>
      <c r="V75">
        <f t="shared" si="5"/>
        <v>184</v>
      </c>
    </row>
    <row r="76" spans="1:22" x14ac:dyDescent="0.25">
      <c r="A76" s="1">
        <v>113</v>
      </c>
      <c r="B76" s="1">
        <v>366</v>
      </c>
      <c r="C76" s="1">
        <v>8</v>
      </c>
      <c r="D76" s="1">
        <v>492</v>
      </c>
      <c r="E76" s="1">
        <v>4</v>
      </c>
      <c r="F76" s="1">
        <v>0</v>
      </c>
      <c r="G76" s="1">
        <v>2</v>
      </c>
      <c r="H76" s="1">
        <v>1</v>
      </c>
      <c r="I76" s="1">
        <v>1</v>
      </c>
      <c r="J76" s="1">
        <v>1</v>
      </c>
      <c r="K76" s="1">
        <v>3</v>
      </c>
      <c r="L76" s="1">
        <v>1</v>
      </c>
      <c r="M76" s="1">
        <v>879</v>
      </c>
      <c r="N76" s="1">
        <v>0</v>
      </c>
      <c r="O76" s="1">
        <v>9</v>
      </c>
      <c r="P76" s="1">
        <v>888</v>
      </c>
      <c r="Q76" s="1">
        <v>0</v>
      </c>
      <c r="R76" s="1">
        <v>1105</v>
      </c>
      <c r="S76" s="1">
        <v>126</v>
      </c>
      <c r="T76" s="2">
        <v>80.361990950226243</v>
      </c>
      <c r="U76" t="e">
        <f t="shared" si="4"/>
        <v>#N/A</v>
      </c>
      <c r="V76">
        <f t="shared" si="5"/>
        <v>126</v>
      </c>
    </row>
    <row r="77" spans="1:22" x14ac:dyDescent="0.25">
      <c r="A77" s="1">
        <v>114</v>
      </c>
      <c r="B77" s="1">
        <v>453</v>
      </c>
      <c r="C77" s="1">
        <v>7</v>
      </c>
      <c r="D77" s="1">
        <v>549</v>
      </c>
      <c r="E77" s="1">
        <v>2</v>
      </c>
      <c r="F77" s="1">
        <v>0</v>
      </c>
      <c r="G77" s="1">
        <v>0</v>
      </c>
      <c r="H77" s="1">
        <v>0</v>
      </c>
      <c r="I77" s="1">
        <v>0</v>
      </c>
      <c r="J77" s="1">
        <v>2</v>
      </c>
      <c r="K77" s="1">
        <v>2</v>
      </c>
      <c r="L77" s="1">
        <v>0</v>
      </c>
      <c r="M77" s="1">
        <v>1015</v>
      </c>
      <c r="N77" s="1">
        <v>0</v>
      </c>
      <c r="O77" s="1">
        <v>9</v>
      </c>
      <c r="P77" s="1">
        <v>1024</v>
      </c>
      <c r="Q77" s="1">
        <v>0</v>
      </c>
      <c r="R77" s="1">
        <v>1255</v>
      </c>
      <c r="S77" s="1">
        <v>96</v>
      </c>
      <c r="T77" s="2">
        <v>81.593625498007967</v>
      </c>
      <c r="U77" t="e">
        <f t="shared" si="4"/>
        <v>#N/A</v>
      </c>
      <c r="V77">
        <f t="shared" si="5"/>
        <v>96</v>
      </c>
    </row>
    <row r="78" spans="1:22" x14ac:dyDescent="0.25">
      <c r="A78" s="1">
        <v>143</v>
      </c>
      <c r="B78" s="1">
        <v>552</v>
      </c>
      <c r="C78" s="1">
        <v>4</v>
      </c>
      <c r="D78" s="1">
        <v>636</v>
      </c>
      <c r="E78" s="1">
        <v>3</v>
      </c>
      <c r="F78" s="1">
        <v>0</v>
      </c>
      <c r="G78" s="1">
        <v>3</v>
      </c>
      <c r="H78" s="1">
        <v>0</v>
      </c>
      <c r="I78" s="1">
        <v>0</v>
      </c>
      <c r="J78" s="1">
        <v>3</v>
      </c>
      <c r="K78" s="1">
        <v>4</v>
      </c>
      <c r="L78" s="1">
        <v>1</v>
      </c>
      <c r="M78" s="1">
        <v>1206</v>
      </c>
      <c r="N78" s="1">
        <v>0</v>
      </c>
      <c r="O78" s="1">
        <v>12</v>
      </c>
      <c r="P78" s="1">
        <v>1218</v>
      </c>
      <c r="Q78" s="1">
        <v>0</v>
      </c>
      <c r="R78" s="1">
        <v>1415</v>
      </c>
      <c r="S78" s="1">
        <v>84</v>
      </c>
      <c r="T78" s="2">
        <v>86.077738515901061</v>
      </c>
      <c r="U78" t="e">
        <f t="shared" si="4"/>
        <v>#N/A</v>
      </c>
      <c r="V78">
        <f t="shared" si="5"/>
        <v>84</v>
      </c>
    </row>
    <row r="79" spans="1:22" x14ac:dyDescent="0.25">
      <c r="A79" s="1">
        <v>146</v>
      </c>
      <c r="B79" s="1">
        <v>518</v>
      </c>
      <c r="C79" s="1">
        <v>6</v>
      </c>
      <c r="D79" s="1">
        <v>611</v>
      </c>
      <c r="E79" s="1">
        <v>3</v>
      </c>
      <c r="F79" s="1">
        <v>0</v>
      </c>
      <c r="G79" s="1">
        <v>2</v>
      </c>
      <c r="H79" s="1">
        <v>0</v>
      </c>
      <c r="I79" s="1">
        <v>0</v>
      </c>
      <c r="J79" s="1">
        <v>3</v>
      </c>
      <c r="K79" s="1">
        <v>0</v>
      </c>
      <c r="L79" s="1">
        <v>1</v>
      </c>
      <c r="M79" s="1">
        <v>1144</v>
      </c>
      <c r="N79" s="1">
        <v>0</v>
      </c>
      <c r="O79" s="1">
        <v>9</v>
      </c>
      <c r="P79" s="1">
        <v>1153</v>
      </c>
      <c r="Q79" s="1">
        <v>0</v>
      </c>
      <c r="R79" s="1">
        <v>1387</v>
      </c>
      <c r="S79" s="1">
        <v>93</v>
      </c>
      <c r="T79" s="2">
        <v>83.129055515501079</v>
      </c>
      <c r="U79" t="e">
        <f t="shared" si="4"/>
        <v>#N/A</v>
      </c>
      <c r="V79">
        <f t="shared" si="5"/>
        <v>93</v>
      </c>
    </row>
    <row r="80" spans="1:22" x14ac:dyDescent="0.25">
      <c r="A80" s="3">
        <v>147</v>
      </c>
      <c r="B80" s="3">
        <v>488</v>
      </c>
      <c r="C80" s="3">
        <v>5</v>
      </c>
      <c r="D80" s="3">
        <v>430</v>
      </c>
      <c r="E80" s="3">
        <v>2</v>
      </c>
      <c r="F80" s="3">
        <v>1</v>
      </c>
      <c r="G80" s="3">
        <v>4</v>
      </c>
      <c r="H80" s="3">
        <v>2</v>
      </c>
      <c r="I80" s="3">
        <v>2</v>
      </c>
      <c r="J80" s="3">
        <v>2</v>
      </c>
      <c r="K80" s="3">
        <v>2</v>
      </c>
      <c r="L80" s="3">
        <v>3</v>
      </c>
      <c r="M80" s="3">
        <v>941</v>
      </c>
      <c r="N80" s="3">
        <v>0</v>
      </c>
      <c r="O80" s="3">
        <v>18</v>
      </c>
      <c r="P80" s="3">
        <v>959</v>
      </c>
      <c r="Q80" s="3">
        <v>0</v>
      </c>
      <c r="R80" s="3">
        <v>1102</v>
      </c>
      <c r="S80" s="3">
        <v>58</v>
      </c>
      <c r="T80" s="4">
        <v>87.023593466424686</v>
      </c>
      <c r="U80">
        <f t="shared" si="4"/>
        <v>58</v>
      </c>
      <c r="V80" t="e">
        <f t="shared" si="5"/>
        <v>#N/A</v>
      </c>
    </row>
    <row r="81" spans="1:22" x14ac:dyDescent="0.25">
      <c r="A81" s="1">
        <v>148</v>
      </c>
      <c r="B81" s="1">
        <v>463</v>
      </c>
      <c r="C81" s="1">
        <v>0</v>
      </c>
      <c r="D81" s="1">
        <v>651</v>
      </c>
      <c r="E81" s="1">
        <v>5</v>
      </c>
      <c r="F81" s="1">
        <v>1</v>
      </c>
      <c r="G81" s="1">
        <v>1</v>
      </c>
      <c r="H81" s="1">
        <v>0</v>
      </c>
      <c r="I81" s="1">
        <v>1</v>
      </c>
      <c r="J81" s="1">
        <v>5</v>
      </c>
      <c r="K81" s="1">
        <v>0</v>
      </c>
      <c r="L81" s="1">
        <v>1</v>
      </c>
      <c r="M81" s="1">
        <v>1128</v>
      </c>
      <c r="N81" s="1">
        <v>0</v>
      </c>
      <c r="O81" s="1">
        <v>6</v>
      </c>
      <c r="P81" s="1">
        <v>1134</v>
      </c>
      <c r="Q81" s="1">
        <v>0</v>
      </c>
      <c r="R81" s="1">
        <v>1299</v>
      </c>
      <c r="S81" s="1">
        <v>188</v>
      </c>
      <c r="T81" s="2">
        <v>87.297921478060047</v>
      </c>
      <c r="U81" t="e">
        <f t="shared" si="4"/>
        <v>#N/A</v>
      </c>
      <c r="V81">
        <f t="shared" si="5"/>
        <v>188</v>
      </c>
    </row>
    <row r="82" spans="1:22" x14ac:dyDescent="0.25">
      <c r="A82" s="1">
        <v>151</v>
      </c>
      <c r="B82" s="1">
        <v>556</v>
      </c>
      <c r="C82" s="1">
        <v>2</v>
      </c>
      <c r="D82" s="1">
        <v>624</v>
      </c>
      <c r="E82" s="1">
        <v>3</v>
      </c>
      <c r="F82" s="1">
        <v>0</v>
      </c>
      <c r="G82" s="1">
        <v>44</v>
      </c>
      <c r="H82" s="1">
        <v>1</v>
      </c>
      <c r="I82" s="1">
        <v>1</v>
      </c>
      <c r="J82" s="1">
        <v>2</v>
      </c>
      <c r="K82" s="1">
        <v>1</v>
      </c>
      <c r="L82" s="1">
        <v>2</v>
      </c>
      <c r="M82" s="1">
        <v>1236</v>
      </c>
      <c r="N82" s="1">
        <v>0</v>
      </c>
      <c r="O82" s="1">
        <v>8</v>
      </c>
      <c r="P82" s="1">
        <v>1244</v>
      </c>
      <c r="Q82" s="1">
        <v>0</v>
      </c>
      <c r="R82" s="1">
        <v>1333</v>
      </c>
      <c r="S82" s="1">
        <v>68</v>
      </c>
      <c r="T82" s="2">
        <v>93.32333083270818</v>
      </c>
      <c r="U82" t="e">
        <f t="shared" si="4"/>
        <v>#N/A</v>
      </c>
      <c r="V82">
        <f t="shared" si="5"/>
        <v>68</v>
      </c>
    </row>
    <row r="83" spans="1:22" x14ac:dyDescent="0.25">
      <c r="A83" s="1">
        <v>154</v>
      </c>
      <c r="B83" s="1">
        <v>458</v>
      </c>
      <c r="C83" s="1">
        <v>5</v>
      </c>
      <c r="D83" s="1">
        <v>480</v>
      </c>
      <c r="E83" s="1">
        <v>10</v>
      </c>
      <c r="F83" s="1">
        <v>0</v>
      </c>
      <c r="G83" s="1">
        <v>2</v>
      </c>
      <c r="H83" s="1">
        <v>0</v>
      </c>
      <c r="I83" s="1">
        <v>2</v>
      </c>
      <c r="J83" s="1">
        <v>0</v>
      </c>
      <c r="K83" s="1">
        <v>2</v>
      </c>
      <c r="L83" s="1">
        <v>4</v>
      </c>
      <c r="M83" s="1">
        <v>963</v>
      </c>
      <c r="N83" s="1">
        <v>0</v>
      </c>
      <c r="O83" s="1">
        <v>10</v>
      </c>
      <c r="P83" s="1">
        <v>973</v>
      </c>
      <c r="Q83" s="1">
        <v>0</v>
      </c>
      <c r="R83" s="1">
        <v>1188</v>
      </c>
      <c r="S83" s="1">
        <v>22</v>
      </c>
      <c r="T83" s="2">
        <v>81.9023569023569</v>
      </c>
      <c r="U83" t="e">
        <f t="shared" si="4"/>
        <v>#N/A</v>
      </c>
      <c r="V83">
        <f t="shared" si="5"/>
        <v>22</v>
      </c>
    </row>
    <row r="84" spans="1:22" x14ac:dyDescent="0.25">
      <c r="A84" s="3">
        <v>155</v>
      </c>
      <c r="B84" s="3">
        <v>601</v>
      </c>
      <c r="C84" s="3">
        <v>4</v>
      </c>
      <c r="D84" s="3">
        <v>515</v>
      </c>
      <c r="E84" s="3">
        <v>2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1</v>
      </c>
      <c r="M84" s="3">
        <v>1124</v>
      </c>
      <c r="N84" s="3">
        <v>0</v>
      </c>
      <c r="O84" s="3">
        <v>4</v>
      </c>
      <c r="P84" s="3">
        <v>1128</v>
      </c>
      <c r="Q84" s="3">
        <v>0</v>
      </c>
      <c r="R84" s="3">
        <v>1199</v>
      </c>
      <c r="S84" s="3">
        <v>86</v>
      </c>
      <c r="T84" s="4">
        <v>94.07839866555463</v>
      </c>
      <c r="U84">
        <f t="shared" si="4"/>
        <v>86</v>
      </c>
      <c r="V84" t="e">
        <f t="shared" si="5"/>
        <v>#N/A</v>
      </c>
    </row>
    <row r="85" spans="1:22" x14ac:dyDescent="0.25">
      <c r="A85" s="1">
        <v>161</v>
      </c>
      <c r="B85" s="1">
        <v>427</v>
      </c>
      <c r="C85" s="1">
        <v>12</v>
      </c>
      <c r="D85" s="1">
        <v>544</v>
      </c>
      <c r="E85" s="1">
        <v>1</v>
      </c>
      <c r="F85" s="1">
        <v>0</v>
      </c>
      <c r="G85" s="1">
        <v>6</v>
      </c>
      <c r="H85" s="1">
        <v>1</v>
      </c>
      <c r="I85" s="1">
        <v>2</v>
      </c>
      <c r="J85" s="1">
        <v>3</v>
      </c>
      <c r="K85" s="1">
        <v>3</v>
      </c>
      <c r="L85" s="1">
        <v>3</v>
      </c>
      <c r="M85" s="1">
        <v>1002</v>
      </c>
      <c r="N85" s="1">
        <v>0</v>
      </c>
      <c r="O85" s="1">
        <v>6</v>
      </c>
      <c r="P85" s="1">
        <v>1008</v>
      </c>
      <c r="Q85" s="1">
        <v>0</v>
      </c>
      <c r="R85" s="1">
        <v>1195</v>
      </c>
      <c r="S85" s="1">
        <v>117</v>
      </c>
      <c r="T85" s="2">
        <v>84.35146443514644</v>
      </c>
      <c r="U85" t="e">
        <f t="shared" si="4"/>
        <v>#N/A</v>
      </c>
      <c r="V85">
        <f t="shared" si="5"/>
        <v>117</v>
      </c>
    </row>
    <row r="86" spans="1:22" x14ac:dyDescent="0.25">
      <c r="A86" s="1">
        <v>165</v>
      </c>
      <c r="B86" s="1">
        <v>593</v>
      </c>
      <c r="C86" s="1">
        <v>7</v>
      </c>
      <c r="D86" s="1">
        <v>634</v>
      </c>
      <c r="E86" s="1">
        <v>1</v>
      </c>
      <c r="F86" s="1">
        <v>0</v>
      </c>
      <c r="G86" s="1">
        <v>3</v>
      </c>
      <c r="H86" s="1">
        <v>0</v>
      </c>
      <c r="I86" s="1">
        <v>0</v>
      </c>
      <c r="J86" s="1">
        <v>1</v>
      </c>
      <c r="K86" s="1">
        <v>1</v>
      </c>
      <c r="L86" s="1">
        <v>1</v>
      </c>
      <c r="M86" s="1">
        <v>1241</v>
      </c>
      <c r="N86" s="1">
        <v>0</v>
      </c>
      <c r="O86" s="1">
        <v>11</v>
      </c>
      <c r="P86" s="1">
        <v>1252</v>
      </c>
      <c r="Q86" s="1">
        <v>0</v>
      </c>
      <c r="R86" s="1">
        <v>1507</v>
      </c>
      <c r="S86" s="1">
        <v>41</v>
      </c>
      <c r="T86" s="2">
        <v>83.078964830789644</v>
      </c>
      <c r="U86" t="e">
        <f t="shared" si="4"/>
        <v>#N/A</v>
      </c>
      <c r="V86">
        <f t="shared" si="5"/>
        <v>41</v>
      </c>
    </row>
    <row r="87" spans="1:22" x14ac:dyDescent="0.25">
      <c r="A87" s="1">
        <v>191</v>
      </c>
      <c r="B87" s="1">
        <v>431</v>
      </c>
      <c r="C87" s="1">
        <v>4</v>
      </c>
      <c r="D87" s="1">
        <v>481</v>
      </c>
      <c r="E87" s="1">
        <v>0</v>
      </c>
      <c r="F87" s="1">
        <v>0</v>
      </c>
      <c r="G87" s="1">
        <v>0</v>
      </c>
      <c r="H87" s="1">
        <v>1</v>
      </c>
      <c r="I87" s="1">
        <v>0</v>
      </c>
      <c r="J87" s="1">
        <v>1</v>
      </c>
      <c r="K87" s="1">
        <v>2</v>
      </c>
      <c r="L87" s="1">
        <v>2</v>
      </c>
      <c r="M87" s="1">
        <v>922</v>
      </c>
      <c r="N87" s="1">
        <v>0</v>
      </c>
      <c r="O87" s="1">
        <v>3</v>
      </c>
      <c r="P87" s="1">
        <v>925</v>
      </c>
      <c r="Q87" s="1">
        <v>0</v>
      </c>
      <c r="R87" s="1">
        <v>1001</v>
      </c>
      <c r="S87" s="1">
        <v>50</v>
      </c>
      <c r="T87" s="2">
        <v>92.407592407592404</v>
      </c>
      <c r="U87" t="e">
        <f t="shared" si="4"/>
        <v>#N/A</v>
      </c>
      <c r="V87">
        <f t="shared" si="5"/>
        <v>50</v>
      </c>
    </row>
    <row r="88" spans="1:22" x14ac:dyDescent="0.25">
      <c r="A88" s="1">
        <v>210</v>
      </c>
      <c r="B88" s="1">
        <v>410</v>
      </c>
      <c r="C88" s="1">
        <v>1</v>
      </c>
      <c r="D88" s="1">
        <v>581</v>
      </c>
      <c r="E88" s="1">
        <v>4</v>
      </c>
      <c r="F88" s="1">
        <v>0</v>
      </c>
      <c r="G88" s="1">
        <v>1</v>
      </c>
      <c r="H88" s="1">
        <v>0</v>
      </c>
      <c r="I88" s="1">
        <v>0</v>
      </c>
      <c r="J88" s="1">
        <v>1</v>
      </c>
      <c r="K88" s="1">
        <v>0</v>
      </c>
      <c r="L88" s="1">
        <v>1</v>
      </c>
      <c r="M88" s="1">
        <v>999</v>
      </c>
      <c r="N88" s="1">
        <v>0</v>
      </c>
      <c r="O88" s="1">
        <v>3</v>
      </c>
      <c r="P88" s="1">
        <v>1002</v>
      </c>
      <c r="Q88" s="1">
        <v>0</v>
      </c>
      <c r="R88" s="1">
        <v>1150</v>
      </c>
      <c r="S88" s="1">
        <v>171</v>
      </c>
      <c r="T88" s="2">
        <v>87.130434782608702</v>
      </c>
      <c r="U88" t="e">
        <f t="shared" si="4"/>
        <v>#N/A</v>
      </c>
      <c r="V88">
        <f t="shared" si="5"/>
        <v>171</v>
      </c>
    </row>
    <row r="89" spans="1:22" x14ac:dyDescent="0.25">
      <c r="A89" s="1">
        <v>219</v>
      </c>
      <c r="B89" s="1">
        <v>525</v>
      </c>
      <c r="C89" s="1">
        <v>9</v>
      </c>
      <c r="D89" s="1">
        <v>666</v>
      </c>
      <c r="E89" s="1">
        <v>3</v>
      </c>
      <c r="F89" s="1">
        <v>1</v>
      </c>
      <c r="G89" s="1">
        <v>1</v>
      </c>
      <c r="H89" s="1">
        <v>1</v>
      </c>
      <c r="I89" s="1">
        <v>0</v>
      </c>
      <c r="J89" s="1">
        <v>1</v>
      </c>
      <c r="K89" s="1">
        <v>1</v>
      </c>
      <c r="L89" s="1">
        <v>2</v>
      </c>
      <c r="M89" s="1">
        <v>1210</v>
      </c>
      <c r="N89" s="1">
        <v>0</v>
      </c>
      <c r="O89" s="1">
        <v>16</v>
      </c>
      <c r="P89" s="1">
        <v>1226</v>
      </c>
      <c r="Q89" s="1">
        <v>0</v>
      </c>
      <c r="R89" s="1">
        <v>1335</v>
      </c>
      <c r="S89" s="1">
        <v>141</v>
      </c>
      <c r="T89" s="2">
        <v>91.835205992509358</v>
      </c>
      <c r="U89" t="e">
        <f t="shared" si="4"/>
        <v>#N/A</v>
      </c>
      <c r="V89">
        <f t="shared" si="5"/>
        <v>141</v>
      </c>
    </row>
    <row r="90" spans="1:22" x14ac:dyDescent="0.25">
      <c r="A90" s="1">
        <v>239</v>
      </c>
      <c r="B90" s="1">
        <v>450</v>
      </c>
      <c r="C90" s="1">
        <v>5</v>
      </c>
      <c r="D90" s="1">
        <v>602</v>
      </c>
      <c r="E90" s="1">
        <v>3</v>
      </c>
      <c r="F90" s="1">
        <v>3</v>
      </c>
      <c r="G90" s="1">
        <v>2</v>
      </c>
      <c r="H90" s="1">
        <v>0</v>
      </c>
      <c r="I90" s="1">
        <v>2</v>
      </c>
      <c r="J90" s="1">
        <v>1</v>
      </c>
      <c r="K90" s="1">
        <v>3</v>
      </c>
      <c r="L90" s="1">
        <v>1</v>
      </c>
      <c r="M90" s="1">
        <v>1072</v>
      </c>
      <c r="N90" s="1">
        <v>0</v>
      </c>
      <c r="O90" s="1">
        <v>11</v>
      </c>
      <c r="P90" s="1">
        <v>1083</v>
      </c>
      <c r="Q90" s="1">
        <v>0</v>
      </c>
      <c r="R90" s="1">
        <v>1205</v>
      </c>
      <c r="S90" s="1">
        <v>152</v>
      </c>
      <c r="T90" s="2">
        <v>89.875518672199178</v>
      </c>
      <c r="U90" t="e">
        <f t="shared" si="4"/>
        <v>#N/A</v>
      </c>
      <c r="V90">
        <f t="shared" si="5"/>
        <v>152</v>
      </c>
    </row>
    <row r="91" spans="1:22" x14ac:dyDescent="0.25">
      <c r="A91" s="1">
        <v>243</v>
      </c>
      <c r="B91" s="1">
        <v>493</v>
      </c>
      <c r="C91" s="1">
        <v>6</v>
      </c>
      <c r="D91" s="1">
        <v>588</v>
      </c>
      <c r="E91" s="1">
        <v>2</v>
      </c>
      <c r="F91" s="1">
        <v>1</v>
      </c>
      <c r="G91" s="1">
        <v>3</v>
      </c>
      <c r="H91" s="1">
        <v>0</v>
      </c>
      <c r="I91" s="1">
        <v>1</v>
      </c>
      <c r="J91" s="1">
        <v>0</v>
      </c>
      <c r="K91" s="1">
        <v>0</v>
      </c>
      <c r="L91" s="1">
        <v>4</v>
      </c>
      <c r="M91" s="1">
        <v>1098</v>
      </c>
      <c r="N91" s="1">
        <v>0</v>
      </c>
      <c r="O91" s="1">
        <v>3</v>
      </c>
      <c r="P91" s="1">
        <v>1101</v>
      </c>
      <c r="Q91" s="1">
        <v>0</v>
      </c>
      <c r="R91" s="1">
        <v>1206</v>
      </c>
      <c r="S91" s="1">
        <v>95</v>
      </c>
      <c r="T91" s="2">
        <v>91.293532338308452</v>
      </c>
      <c r="U91" t="e">
        <f t="shared" si="4"/>
        <v>#N/A</v>
      </c>
      <c r="V91">
        <f t="shared" si="5"/>
        <v>95</v>
      </c>
    </row>
    <row r="92" spans="1:22" x14ac:dyDescent="0.25">
      <c r="A92" s="1">
        <v>253</v>
      </c>
      <c r="B92" s="1">
        <v>400</v>
      </c>
      <c r="C92" s="1">
        <v>3</v>
      </c>
      <c r="D92" s="1">
        <v>453</v>
      </c>
      <c r="E92" s="1">
        <v>4</v>
      </c>
      <c r="F92" s="1">
        <v>2</v>
      </c>
      <c r="G92" s="1">
        <v>3</v>
      </c>
      <c r="H92" s="1">
        <v>0</v>
      </c>
      <c r="I92" s="1">
        <v>2</v>
      </c>
      <c r="J92" s="1">
        <v>1</v>
      </c>
      <c r="K92" s="1">
        <v>0</v>
      </c>
      <c r="L92" s="1">
        <v>1</v>
      </c>
      <c r="M92" s="1">
        <v>869</v>
      </c>
      <c r="N92" s="1">
        <v>0</v>
      </c>
      <c r="O92" s="1">
        <v>5</v>
      </c>
      <c r="P92" s="1">
        <v>874</v>
      </c>
      <c r="Q92" s="1">
        <v>0</v>
      </c>
      <c r="R92" s="1">
        <v>985</v>
      </c>
      <c r="S92" s="1">
        <v>53</v>
      </c>
      <c r="T92" s="2">
        <v>88.73096446700508</v>
      </c>
      <c r="U92" t="e">
        <f t="shared" si="4"/>
        <v>#N/A</v>
      </c>
      <c r="V92">
        <f t="shared" si="5"/>
        <v>53</v>
      </c>
    </row>
    <row r="93" spans="1:22" x14ac:dyDescent="0.25">
      <c r="A93" s="1">
        <v>254</v>
      </c>
      <c r="B93" s="1">
        <v>404</v>
      </c>
      <c r="C93" s="1">
        <v>0</v>
      </c>
      <c r="D93" s="1">
        <v>521</v>
      </c>
      <c r="E93" s="1">
        <v>1</v>
      </c>
      <c r="F93" s="1">
        <v>1</v>
      </c>
      <c r="G93" s="1">
        <v>6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934</v>
      </c>
      <c r="N93" s="1">
        <v>0</v>
      </c>
      <c r="O93" s="1">
        <v>9</v>
      </c>
      <c r="P93" s="1">
        <v>943</v>
      </c>
      <c r="Q93" s="1">
        <v>0</v>
      </c>
      <c r="R93" s="1">
        <v>1100</v>
      </c>
      <c r="S93" s="1">
        <v>117</v>
      </c>
      <c r="T93" s="2">
        <v>85.727272727272734</v>
      </c>
      <c r="U93" t="e">
        <f t="shared" si="4"/>
        <v>#N/A</v>
      </c>
      <c r="V93">
        <f t="shared" si="5"/>
        <v>117</v>
      </c>
    </row>
    <row r="94" spans="1:22" x14ac:dyDescent="0.25">
      <c r="A94" s="1">
        <v>263</v>
      </c>
      <c r="B94" s="1">
        <v>370</v>
      </c>
      <c r="C94" s="1">
        <v>9</v>
      </c>
      <c r="D94" s="1">
        <v>559</v>
      </c>
      <c r="E94" s="1">
        <v>2</v>
      </c>
      <c r="F94" s="1">
        <v>1</v>
      </c>
      <c r="G94" s="1">
        <v>13</v>
      </c>
      <c r="H94" s="1">
        <v>1</v>
      </c>
      <c r="I94" s="1">
        <v>2</v>
      </c>
      <c r="J94" s="1">
        <v>2</v>
      </c>
      <c r="K94" s="1">
        <v>2</v>
      </c>
      <c r="L94" s="1">
        <v>3</v>
      </c>
      <c r="M94" s="1">
        <v>964</v>
      </c>
      <c r="N94" s="1">
        <v>0</v>
      </c>
      <c r="O94" s="1">
        <v>9</v>
      </c>
      <c r="P94" s="1">
        <v>973</v>
      </c>
      <c r="Q94" s="1">
        <v>0</v>
      </c>
      <c r="R94" s="1">
        <v>1103</v>
      </c>
      <c r="S94" s="1">
        <v>189</v>
      </c>
      <c r="T94" s="2">
        <v>88.213961922030819</v>
      </c>
      <c r="U94" t="e">
        <f t="shared" si="4"/>
        <v>#N/A</v>
      </c>
      <c r="V94">
        <f t="shared" si="5"/>
        <v>189</v>
      </c>
    </row>
    <row r="95" spans="1:22" x14ac:dyDescent="0.25">
      <c r="A95" s="1">
        <v>265</v>
      </c>
      <c r="B95" s="1">
        <v>417</v>
      </c>
      <c r="C95" s="1">
        <v>1</v>
      </c>
      <c r="D95" s="1">
        <v>532</v>
      </c>
      <c r="E95" s="1">
        <v>1</v>
      </c>
      <c r="F95" s="1">
        <v>0</v>
      </c>
      <c r="G95" s="1">
        <v>1</v>
      </c>
      <c r="H95" s="1">
        <v>0</v>
      </c>
      <c r="I95" s="1">
        <v>0</v>
      </c>
      <c r="J95" s="1">
        <v>1</v>
      </c>
      <c r="K95" s="1">
        <v>2</v>
      </c>
      <c r="L95" s="1">
        <v>0</v>
      </c>
      <c r="M95" s="1">
        <v>955</v>
      </c>
      <c r="N95" s="1">
        <v>0</v>
      </c>
      <c r="O95" s="1">
        <v>4</v>
      </c>
      <c r="P95" s="1">
        <v>959</v>
      </c>
      <c r="Q95" s="1">
        <v>0</v>
      </c>
      <c r="R95" s="1">
        <v>1152</v>
      </c>
      <c r="S95" s="1">
        <v>115</v>
      </c>
      <c r="T95" s="2">
        <v>83.246527777777786</v>
      </c>
      <c r="U95" t="e">
        <f t="shared" si="4"/>
        <v>#N/A</v>
      </c>
      <c r="V95">
        <f t="shared" si="5"/>
        <v>115</v>
      </c>
    </row>
    <row r="96" spans="1:22" x14ac:dyDescent="0.25">
      <c r="A96" s="1">
        <v>268</v>
      </c>
      <c r="B96" s="1">
        <v>243</v>
      </c>
      <c r="C96" s="1">
        <v>3</v>
      </c>
      <c r="D96" s="1">
        <v>403</v>
      </c>
      <c r="E96" s="1">
        <v>3</v>
      </c>
      <c r="F96" s="1">
        <v>0</v>
      </c>
      <c r="G96" s="1">
        <v>13</v>
      </c>
      <c r="H96" s="1">
        <v>0</v>
      </c>
      <c r="I96" s="1">
        <v>0</v>
      </c>
      <c r="J96" s="1">
        <v>0</v>
      </c>
      <c r="K96" s="1">
        <v>2</v>
      </c>
      <c r="L96" s="1">
        <v>2</v>
      </c>
      <c r="M96" s="1">
        <v>669</v>
      </c>
      <c r="N96" s="1">
        <v>0</v>
      </c>
      <c r="O96" s="1">
        <v>3</v>
      </c>
      <c r="P96" s="1">
        <v>672</v>
      </c>
      <c r="Q96" s="1">
        <v>0</v>
      </c>
      <c r="R96" s="1">
        <v>795</v>
      </c>
      <c r="S96" s="1">
        <v>160</v>
      </c>
      <c r="T96" s="2">
        <v>84.528301886792462</v>
      </c>
      <c r="U96" t="e">
        <f t="shared" si="4"/>
        <v>#N/A</v>
      </c>
      <c r="V96">
        <f t="shared" si="5"/>
        <v>160</v>
      </c>
    </row>
    <row r="97" spans="1:22" x14ac:dyDescent="0.25">
      <c r="A97" s="3">
        <v>276</v>
      </c>
      <c r="B97" s="3">
        <v>414</v>
      </c>
      <c r="C97" s="3">
        <v>3</v>
      </c>
      <c r="D97" s="3">
        <v>373</v>
      </c>
      <c r="E97" s="3">
        <v>3</v>
      </c>
      <c r="F97" s="3">
        <v>0</v>
      </c>
      <c r="G97" s="3">
        <v>0</v>
      </c>
      <c r="H97" s="3">
        <v>0</v>
      </c>
      <c r="I97" s="3">
        <v>1</v>
      </c>
      <c r="J97" s="3">
        <v>2</v>
      </c>
      <c r="K97" s="3">
        <v>1</v>
      </c>
      <c r="L97" s="3">
        <v>0</v>
      </c>
      <c r="M97" s="3">
        <v>797</v>
      </c>
      <c r="N97" s="3">
        <v>0</v>
      </c>
      <c r="O97" s="3">
        <v>3</v>
      </c>
      <c r="P97" s="3">
        <v>800</v>
      </c>
      <c r="Q97" s="3">
        <v>0</v>
      </c>
      <c r="R97" s="3">
        <v>863</v>
      </c>
      <c r="S97" s="3">
        <v>41</v>
      </c>
      <c r="T97" s="4">
        <v>92.699884125144848</v>
      </c>
      <c r="U97">
        <f t="shared" si="4"/>
        <v>41</v>
      </c>
      <c r="V97" t="e">
        <f t="shared" si="5"/>
        <v>#N/A</v>
      </c>
    </row>
    <row r="98" spans="1:22" x14ac:dyDescent="0.25">
      <c r="A98" s="1">
        <v>278</v>
      </c>
      <c r="B98" s="1">
        <v>277</v>
      </c>
      <c r="C98" s="1">
        <v>3</v>
      </c>
      <c r="D98" s="1">
        <v>448</v>
      </c>
      <c r="E98" s="1">
        <v>6</v>
      </c>
      <c r="F98" s="1">
        <v>1</v>
      </c>
      <c r="G98" s="1">
        <v>1</v>
      </c>
      <c r="H98" s="1">
        <v>0</v>
      </c>
      <c r="I98" s="1">
        <v>0</v>
      </c>
      <c r="J98" s="1">
        <v>2</v>
      </c>
      <c r="K98" s="1">
        <v>2</v>
      </c>
      <c r="L98" s="1">
        <v>2</v>
      </c>
      <c r="M98" s="1">
        <v>742</v>
      </c>
      <c r="N98" s="1">
        <v>0</v>
      </c>
      <c r="O98" s="1">
        <v>8</v>
      </c>
      <c r="P98" s="1">
        <v>750</v>
      </c>
      <c r="Q98" s="1">
        <v>0</v>
      </c>
      <c r="R98" s="1">
        <v>925</v>
      </c>
      <c r="S98" s="1">
        <v>171</v>
      </c>
      <c r="T98" s="2">
        <v>81.081081081081081</v>
      </c>
      <c r="U98" t="e">
        <f t="shared" ref="U98:U107" si="6">IF(B98&gt;D98,S98,NA())</f>
        <v>#N/A</v>
      </c>
      <c r="V98">
        <f t="shared" ref="V98:V107" si="7">IF(D98&gt;B98,S98,NA())</f>
        <v>171</v>
      </c>
    </row>
    <row r="99" spans="1:22" x14ac:dyDescent="0.25">
      <c r="A99" s="3">
        <v>281</v>
      </c>
      <c r="B99" s="3">
        <v>424</v>
      </c>
      <c r="C99" s="3">
        <v>4</v>
      </c>
      <c r="D99" s="3">
        <v>410</v>
      </c>
      <c r="E99" s="3">
        <v>4</v>
      </c>
      <c r="F99" s="3">
        <v>2</v>
      </c>
      <c r="G99" s="3">
        <v>16</v>
      </c>
      <c r="H99" s="3">
        <v>1</v>
      </c>
      <c r="I99" s="3">
        <v>0</v>
      </c>
      <c r="J99" s="3">
        <v>1</v>
      </c>
      <c r="K99" s="3">
        <v>3</v>
      </c>
      <c r="L99" s="3">
        <v>4</v>
      </c>
      <c r="M99" s="3">
        <v>869</v>
      </c>
      <c r="N99" s="3">
        <v>0</v>
      </c>
      <c r="O99" s="3">
        <v>1</v>
      </c>
      <c r="P99" s="3">
        <v>870</v>
      </c>
      <c r="Q99" s="3">
        <v>0</v>
      </c>
      <c r="R99" s="3">
        <v>947</v>
      </c>
      <c r="S99" s="3">
        <v>14</v>
      </c>
      <c r="T99" s="4">
        <v>91.86906019007391</v>
      </c>
      <c r="U99">
        <f t="shared" si="6"/>
        <v>14</v>
      </c>
      <c r="V99" t="e">
        <f t="shared" si="7"/>
        <v>#N/A</v>
      </c>
    </row>
    <row r="100" spans="1:22" x14ac:dyDescent="0.25">
      <c r="A100" s="3">
        <v>284</v>
      </c>
      <c r="B100" s="3">
        <v>654</v>
      </c>
      <c r="C100" s="3">
        <v>5</v>
      </c>
      <c r="D100" s="3">
        <v>587</v>
      </c>
      <c r="E100" s="3">
        <v>5</v>
      </c>
      <c r="F100" s="3">
        <v>0</v>
      </c>
      <c r="G100" s="3">
        <v>5</v>
      </c>
      <c r="H100" s="3">
        <v>0</v>
      </c>
      <c r="I100" s="3">
        <v>0</v>
      </c>
      <c r="J100" s="3">
        <v>1</v>
      </c>
      <c r="K100" s="3">
        <v>1</v>
      </c>
      <c r="L100" s="3">
        <v>5</v>
      </c>
      <c r="M100" s="3">
        <v>1263</v>
      </c>
      <c r="N100" s="3">
        <v>0</v>
      </c>
      <c r="O100" s="3">
        <v>20</v>
      </c>
      <c r="P100" s="3">
        <v>1283</v>
      </c>
      <c r="Q100" s="3">
        <v>0</v>
      </c>
      <c r="R100" s="3">
        <v>1405</v>
      </c>
      <c r="S100" s="3">
        <v>67</v>
      </c>
      <c r="T100" s="4">
        <v>91.316725978647682</v>
      </c>
      <c r="U100">
        <f t="shared" si="6"/>
        <v>67</v>
      </c>
      <c r="V100" t="e">
        <f t="shared" si="7"/>
        <v>#N/A</v>
      </c>
    </row>
    <row r="101" spans="1:22" x14ac:dyDescent="0.25">
      <c r="A101" s="1">
        <v>287</v>
      </c>
      <c r="B101" s="1">
        <v>376</v>
      </c>
      <c r="C101" s="1">
        <v>5</v>
      </c>
      <c r="D101" s="1">
        <v>423</v>
      </c>
      <c r="E101" s="1">
        <v>2</v>
      </c>
      <c r="F101" s="1">
        <v>0</v>
      </c>
      <c r="G101" s="1">
        <v>5</v>
      </c>
      <c r="H101" s="1">
        <v>0</v>
      </c>
      <c r="I101" s="1">
        <v>0</v>
      </c>
      <c r="J101" s="1">
        <v>2</v>
      </c>
      <c r="K101" s="1">
        <v>4</v>
      </c>
      <c r="L101" s="1">
        <v>1</v>
      </c>
      <c r="M101" s="1">
        <v>818</v>
      </c>
      <c r="N101" s="1">
        <v>0</v>
      </c>
      <c r="O101" s="1">
        <v>10</v>
      </c>
      <c r="P101" s="1">
        <v>828</v>
      </c>
      <c r="Q101" s="1">
        <v>0</v>
      </c>
      <c r="R101" s="1">
        <v>880</v>
      </c>
      <c r="S101" s="1">
        <v>47</v>
      </c>
      <c r="T101" s="2">
        <v>94.090909090909093</v>
      </c>
      <c r="U101" t="e">
        <f t="shared" si="6"/>
        <v>#N/A</v>
      </c>
      <c r="V101">
        <f t="shared" si="7"/>
        <v>47</v>
      </c>
    </row>
    <row r="102" spans="1:22" x14ac:dyDescent="0.25">
      <c r="A102" s="1" t="s">
        <v>6</v>
      </c>
      <c r="B102" s="1">
        <v>325</v>
      </c>
      <c r="C102" s="1">
        <v>2</v>
      </c>
      <c r="D102" s="1">
        <v>373</v>
      </c>
      <c r="E102" s="1">
        <v>1</v>
      </c>
      <c r="F102" s="1">
        <v>0</v>
      </c>
      <c r="G102" s="1">
        <v>14</v>
      </c>
      <c r="H102" s="1">
        <v>0</v>
      </c>
      <c r="I102" s="1">
        <v>0</v>
      </c>
      <c r="J102" s="1">
        <v>1</v>
      </c>
      <c r="K102" s="1">
        <v>0</v>
      </c>
      <c r="L102" s="1">
        <v>0</v>
      </c>
      <c r="M102" s="1">
        <v>716</v>
      </c>
      <c r="N102" s="1">
        <v>0</v>
      </c>
      <c r="O102" s="1">
        <v>0</v>
      </c>
      <c r="P102" s="1">
        <v>716</v>
      </c>
      <c r="Q102" s="1">
        <v>0</v>
      </c>
      <c r="R102" s="1">
        <v>824</v>
      </c>
      <c r="S102" s="1">
        <v>48</v>
      </c>
      <c r="T102" s="2">
        <v>86.893203883495147</v>
      </c>
      <c r="U102" t="e">
        <f t="shared" si="6"/>
        <v>#N/A</v>
      </c>
      <c r="V102">
        <f t="shared" si="7"/>
        <v>48</v>
      </c>
    </row>
    <row r="103" spans="1:22" x14ac:dyDescent="0.25">
      <c r="A103" s="3" t="s">
        <v>27</v>
      </c>
      <c r="B103" s="3">
        <v>344</v>
      </c>
      <c r="C103" s="3">
        <v>3</v>
      </c>
      <c r="D103" s="3">
        <v>285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1</v>
      </c>
      <c r="K103" s="3">
        <v>1</v>
      </c>
      <c r="L103" s="3">
        <v>1</v>
      </c>
      <c r="M103" s="3">
        <v>635</v>
      </c>
      <c r="N103" s="3">
        <v>0</v>
      </c>
      <c r="O103" s="3">
        <v>3</v>
      </c>
      <c r="P103" s="3">
        <v>638</v>
      </c>
      <c r="Q103" s="3">
        <v>0</v>
      </c>
      <c r="R103" s="3">
        <v>725</v>
      </c>
      <c r="S103" s="3">
        <v>59</v>
      </c>
      <c r="T103" s="2">
        <v>88</v>
      </c>
      <c r="U103">
        <f t="shared" si="6"/>
        <v>59</v>
      </c>
      <c r="V103" t="e">
        <f t="shared" si="7"/>
        <v>#N/A</v>
      </c>
    </row>
    <row r="104" spans="1:22" x14ac:dyDescent="0.25">
      <c r="A104" s="3" t="s">
        <v>29</v>
      </c>
      <c r="B104" s="3">
        <v>411</v>
      </c>
      <c r="C104" s="3">
        <v>1</v>
      </c>
      <c r="D104" s="3">
        <v>226</v>
      </c>
      <c r="E104" s="3">
        <v>2</v>
      </c>
      <c r="F104" s="3">
        <v>0</v>
      </c>
      <c r="G104" s="3">
        <v>0</v>
      </c>
      <c r="H104" s="3">
        <v>0</v>
      </c>
      <c r="I104" s="3">
        <v>1</v>
      </c>
      <c r="J104" s="3">
        <v>0</v>
      </c>
      <c r="K104" s="3">
        <v>1</v>
      </c>
      <c r="L104" s="3">
        <v>0</v>
      </c>
      <c r="M104" s="3">
        <v>642</v>
      </c>
      <c r="N104" s="3">
        <v>0</v>
      </c>
      <c r="O104" s="3">
        <v>4</v>
      </c>
      <c r="P104" s="3">
        <v>646</v>
      </c>
      <c r="Q104" s="3">
        <v>0</v>
      </c>
      <c r="R104" s="3">
        <v>732</v>
      </c>
      <c r="S104" s="3">
        <v>185</v>
      </c>
      <c r="T104" s="2">
        <v>88.251366120218577</v>
      </c>
      <c r="U104">
        <f t="shared" si="6"/>
        <v>185</v>
      </c>
      <c r="V104" t="e">
        <f t="shared" si="7"/>
        <v>#N/A</v>
      </c>
    </row>
    <row r="105" spans="1:22" x14ac:dyDescent="0.25">
      <c r="A105" s="1" t="s">
        <v>31</v>
      </c>
      <c r="B105" s="1">
        <v>237</v>
      </c>
      <c r="C105" s="1">
        <v>1</v>
      </c>
      <c r="D105" s="1">
        <v>336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576</v>
      </c>
      <c r="N105" s="1">
        <v>0</v>
      </c>
      <c r="O105" s="1">
        <v>1</v>
      </c>
      <c r="P105" s="1">
        <v>577</v>
      </c>
      <c r="Q105" s="1">
        <v>0</v>
      </c>
      <c r="R105" s="1">
        <v>704</v>
      </c>
      <c r="S105" s="1">
        <v>99</v>
      </c>
      <c r="T105" s="2">
        <v>81.960227272727266</v>
      </c>
      <c r="U105" t="e">
        <f t="shared" si="6"/>
        <v>#N/A</v>
      </c>
      <c r="V105">
        <f t="shared" si="7"/>
        <v>99</v>
      </c>
    </row>
    <row r="106" spans="1:22" x14ac:dyDescent="0.25">
      <c r="A106" s="3" t="s">
        <v>38</v>
      </c>
      <c r="B106" s="3">
        <v>395</v>
      </c>
      <c r="C106" s="3">
        <v>5</v>
      </c>
      <c r="D106" s="3">
        <v>366</v>
      </c>
      <c r="E106" s="3">
        <v>1</v>
      </c>
      <c r="F106" s="3">
        <v>1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1</v>
      </c>
      <c r="M106" s="3">
        <v>769</v>
      </c>
      <c r="N106" s="3">
        <v>0</v>
      </c>
      <c r="O106" s="3">
        <v>3</v>
      </c>
      <c r="P106" s="3">
        <v>772</v>
      </c>
      <c r="Q106" s="3">
        <v>0</v>
      </c>
      <c r="R106" s="3">
        <v>952</v>
      </c>
      <c r="S106" s="3">
        <v>29</v>
      </c>
      <c r="T106" s="2">
        <v>81.092436974789919</v>
      </c>
      <c r="U106">
        <f t="shared" si="6"/>
        <v>29</v>
      </c>
      <c r="V106" t="e">
        <f t="shared" si="7"/>
        <v>#N/A</v>
      </c>
    </row>
    <row r="107" spans="1:22" x14ac:dyDescent="0.25">
      <c r="A107" s="1" t="s">
        <v>39</v>
      </c>
      <c r="B107" s="1">
        <v>253</v>
      </c>
      <c r="C107" s="1">
        <v>3</v>
      </c>
      <c r="D107" s="1">
        <v>428</v>
      </c>
      <c r="E107" s="1">
        <v>4</v>
      </c>
      <c r="F107" s="1">
        <v>0</v>
      </c>
      <c r="G107" s="1">
        <v>0</v>
      </c>
      <c r="H107" s="1">
        <v>0</v>
      </c>
      <c r="I107" s="1">
        <v>1</v>
      </c>
      <c r="J107" s="1">
        <v>4</v>
      </c>
      <c r="K107" s="1">
        <v>2</v>
      </c>
      <c r="L107" s="1">
        <v>0</v>
      </c>
      <c r="M107" s="1">
        <v>695</v>
      </c>
      <c r="N107" s="1">
        <v>0</v>
      </c>
      <c r="O107" s="1">
        <v>1</v>
      </c>
      <c r="P107" s="1">
        <v>696</v>
      </c>
      <c r="Q107" s="1">
        <v>0</v>
      </c>
      <c r="R107" s="1">
        <v>804</v>
      </c>
      <c r="S107" s="1">
        <v>175</v>
      </c>
      <c r="T107" s="2">
        <v>86.567164179104466</v>
      </c>
      <c r="U107" t="e">
        <f t="shared" si="6"/>
        <v>#N/A</v>
      </c>
      <c r="V107">
        <f t="shared" si="7"/>
        <v>175</v>
      </c>
    </row>
  </sheetData>
  <conditionalFormatting sqref="B2:B107">
    <cfRule type="expression" dxfId="13" priority="9">
      <formula>B2&gt;D2</formula>
    </cfRule>
  </conditionalFormatting>
  <conditionalFormatting sqref="D2:D107">
    <cfRule type="expression" dxfId="12" priority="8">
      <formula>D2&gt;B2</formula>
    </cfRule>
  </conditionalFormatting>
  <conditionalFormatting sqref="S2:S107">
    <cfRule type="cellIs" dxfId="11" priority="6" operator="lessThan">
      <formula>190</formula>
    </cfRule>
    <cfRule type="cellIs" dxfId="10" priority="7" operator="greaterThan">
      <formula>370</formula>
    </cfRule>
  </conditionalFormatting>
  <conditionalFormatting sqref="T2:T10">
    <cfRule type="cellIs" dxfId="9" priority="29" operator="lessThan">
      <formula>60</formula>
    </cfRule>
    <cfRule type="cellIs" dxfId="8" priority="31" operator="lessThan">
      <formula>60</formula>
    </cfRule>
  </conditionalFormatting>
  <conditionalFormatting sqref="T2:T43">
    <cfRule type="cellIs" dxfId="7" priority="22" operator="lessThan">
      <formula>60</formula>
    </cfRule>
  </conditionalFormatting>
  <conditionalFormatting sqref="T2:T107">
    <cfRule type="cellIs" dxfId="6" priority="3" operator="greaterThan">
      <formula>80</formula>
    </cfRule>
  </conditionalFormatting>
  <conditionalFormatting sqref="T11:T43">
    <cfRule type="cellIs" dxfId="5" priority="20" operator="lessThan">
      <formula>60</formula>
    </cfRule>
  </conditionalFormatting>
  <conditionalFormatting sqref="T11:T63">
    <cfRule type="cellIs" dxfId="4" priority="13" operator="lessThan">
      <formula>60</formula>
    </cfRule>
  </conditionalFormatting>
  <conditionalFormatting sqref="T44:T66">
    <cfRule type="cellIs" dxfId="3" priority="11" operator="lessThan">
      <formula>60</formula>
    </cfRule>
  </conditionalFormatting>
  <conditionalFormatting sqref="T44:T101">
    <cfRule type="cellIs" dxfId="2" priority="4" operator="lessThan">
      <formula>60</formula>
    </cfRule>
  </conditionalFormatting>
  <conditionalFormatting sqref="T67:T107">
    <cfRule type="cellIs" dxfId="1" priority="1" operator="lessThan">
      <formula>60</formula>
    </cfRule>
    <cfRule type="cellIs" dxfId="0" priority="2" operator="lessThan">
      <formula>60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(210 RAU)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2025-03-21T09:44:29Z</dcterms:created>
  <dcterms:modified xsi:type="dcterms:W3CDTF">2026-01-09T11:08:05Z</dcterms:modified>
</cp:coreProperties>
</file>