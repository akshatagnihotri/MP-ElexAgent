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963E8328-79B9-4AAA-98AC-05FFD98B98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s_Table1" sheetId="2" r:id="rId1"/>
  </sheets>
  <definedNames>
    <definedName name="_xlnm._FilterDatabase" localSheetId="0" hidden="1">Tables_Table1!$A$1:$AB$267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2" l="1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3" i="2"/>
  <c r="R18" i="2"/>
  <c r="R23" i="2"/>
  <c r="R46" i="2"/>
  <c r="R113" i="2"/>
  <c r="R124" i="2"/>
  <c r="R137" i="2"/>
  <c r="R148" i="2"/>
  <c r="R149" i="2"/>
  <c r="R150" i="2"/>
  <c r="R171" i="2"/>
  <c r="R176" i="2"/>
  <c r="R182" i="2"/>
  <c r="R209" i="2"/>
  <c r="R215" i="2"/>
  <c r="R229" i="2"/>
  <c r="R263" i="2"/>
</calcChain>
</file>

<file path=xl/sharedStrings.xml><?xml version="1.0" encoding="utf-8"?>
<sst xmlns="http://schemas.openxmlformats.org/spreadsheetml/2006/main" count="572" uniqueCount="410">
  <si>
    <t xml:space="preserve"> बलवीर सिंह डण्डौतिया</t>
  </si>
  <si>
    <t xml:space="preserve"> रविन्द्र सिंह तोमर भिडौसा</t>
  </si>
  <si>
    <t xml:space="preserve"> सुरेन्द्र सिंह तोमर</t>
  </si>
  <si>
    <t xml:space="preserve"> दीपक कुशवाह</t>
  </si>
  <si>
    <t xml:space="preserve"> महेश अग्रवाल मामा</t>
  </si>
  <si>
    <t xml:space="preserve"> राजवीर सिहं</t>
  </si>
  <si>
    <t xml:space="preserve"> रामकुमार 'दद़दा'</t>
  </si>
  <si>
    <t xml:space="preserve"> शकील मोहम्मद</t>
  </si>
  <si>
    <t xml:space="preserve"> सौरभ शर्मा</t>
  </si>
  <si>
    <t xml:space="preserve"> विधिमान्य मतों का योग</t>
  </si>
  <si>
    <t xml:space="preserve"> इनमें से कोई नहीं (NOTA)</t>
  </si>
  <si>
    <t xml:space="preserve"> निविदत्त मतों की संख्या</t>
  </si>
  <si>
    <t xml:space="preserve">मतदान केंद्र कुल </t>
  </si>
  <si>
    <t xml:space="preserve">डाक मतपत्रों कुल </t>
  </si>
  <si>
    <t xml:space="preserve">दिये गयें मत कुल  </t>
  </si>
  <si>
    <t xml:space="preserve"> नरेन्द्र सिंह तोमर </t>
  </si>
  <si>
    <t xml:space="preserve"> मतदान केन्द्र का नाम</t>
  </si>
  <si>
    <t xml:space="preserve"> रवींद्र सिंह कुशवाह</t>
  </si>
  <si>
    <t xml:space="preserve"> राजेश कुशवाह | (गौतम) घुरघान</t>
  </si>
  <si>
    <t xml:space="preserve"> धीरेन्द्र शर्मा</t>
  </si>
  <si>
    <t xml:space="preserve"> बृजेन्द्र सिहं</t>
  </si>
  <si>
    <t xml:space="preserve"> प्रतिक्षेपित मतों की संख्या</t>
  </si>
  <si>
    <t xml:space="preserve"> योग (15+16+1 7)</t>
  </si>
  <si>
    <t>क्रम संख्या</t>
  </si>
  <si>
    <t>मतदान केन्द्र का परिक्षेत्र</t>
  </si>
  <si>
    <t>भवन, जिसमें यह स्थित होगा</t>
  </si>
  <si>
    <t>आरोली</t>
  </si>
  <si>
    <t>शा.प्रा. शाला बीच का पुरा आरोली</t>
  </si>
  <si>
    <t>गौसब सई</t>
  </si>
  <si>
    <t>प्रा. शाला भवन दलजीत का पुरा</t>
  </si>
  <si>
    <t>मलब सई</t>
  </si>
  <si>
    <t>मा. शाला मलब सई</t>
  </si>
  <si>
    <t>गूज</t>
  </si>
  <si>
    <t>प्रा. शाला भवन बंधा</t>
  </si>
  <si>
    <t>गूंज</t>
  </si>
  <si>
    <t>प्रा. शाला भवन सब सुख का पुरा</t>
  </si>
  <si>
    <t>वीलपुर</t>
  </si>
  <si>
    <t>प्रा०शा०भवन वीलपुर</t>
  </si>
  <si>
    <t>प्रा०शा०भवन प० भाग वीलपुर</t>
  </si>
  <si>
    <t>मल्हन का पुरा</t>
  </si>
  <si>
    <t>प्राथमिक शाला भवन मल्हन का पुरा</t>
  </si>
  <si>
    <t>कुथियाना</t>
  </si>
  <si>
    <t>प्रा. शाला कुथियाना</t>
  </si>
  <si>
    <t>पंचायत भवन कुथियाना</t>
  </si>
  <si>
    <t>प्रा०शाला भवन प.भाग कुथियाना</t>
  </si>
  <si>
    <t>ऐशाह</t>
  </si>
  <si>
    <t>प्रा० शाला ऐसाह</t>
  </si>
  <si>
    <t>मा०वि० ऐसाह</t>
  </si>
  <si>
    <t>प्रा०शा०भवन शिकारीपुरा</t>
  </si>
  <si>
    <t>प्रा०शा० भवन शिकारीपुरा प०भा०</t>
  </si>
  <si>
    <t>मा०वि० शिकारीपुरा</t>
  </si>
  <si>
    <t>जाँहा</t>
  </si>
  <si>
    <t>ग्राम स्वराज भवन पीपरी पुरा</t>
  </si>
  <si>
    <t>ग्राम स्वराज भवन रहुआ पुरा</t>
  </si>
  <si>
    <t>जौहा</t>
  </si>
  <si>
    <t>शा. मा.वि. जौहा</t>
  </si>
  <si>
    <t>प्रा. शाला भवन काशीपुर</t>
  </si>
  <si>
    <t>ग्राम स्वराज भवन बड़ा पुरा</t>
  </si>
  <si>
    <t>शा.प्रा.वि. जौहा की हवेली</t>
  </si>
  <si>
    <t>डण्डोली</t>
  </si>
  <si>
    <t>प्रा. शाला डण्डोली</t>
  </si>
  <si>
    <t>शा.प्रा.वि. कॉश का पुरा</t>
  </si>
  <si>
    <t>खिरेटा</t>
  </si>
  <si>
    <t>प्रा. शाला भवन नयापुरा पुराना</t>
  </si>
  <si>
    <t>खिरेंटा</t>
  </si>
  <si>
    <t>मा०शा०भवन नयापुरा नवीन भवन</t>
  </si>
  <si>
    <t>मा०शा०भवन नयापुरा नवीन भवन प०भाग</t>
  </si>
  <si>
    <t>प्रा. शाला भवन पाराशर की गढी</t>
  </si>
  <si>
    <t>प्रा०शा० भवन चतुर सिंह की 1 गढी</t>
  </si>
  <si>
    <t>प्रा. शाला भवन कछपुरा</t>
  </si>
  <si>
    <t>शा०प्रा०वि० आदे का पुरा</t>
  </si>
  <si>
    <t>बरेह</t>
  </si>
  <si>
    <t>सचिवालय भवन बरेह</t>
  </si>
  <si>
    <t>मा. शाला भवन बरेह</t>
  </si>
  <si>
    <t>प्रा. शाला भवन मेहराकी</t>
  </si>
  <si>
    <t>प्रा.शा.भवन बारे का पुरा</t>
  </si>
  <si>
    <t>मा०वि० बरेह</t>
  </si>
  <si>
    <t>प्रा. शा. भवन ग्यासी पुरा अतिरिक्त कक्ष</t>
  </si>
  <si>
    <t>गोठ</t>
  </si>
  <si>
    <t>प्रा. शाला भवन गोठ</t>
  </si>
  <si>
    <t>मा. शाला भवन गोठ</t>
  </si>
  <si>
    <t>प्रा. शाला भवन रथोल का पुरा</t>
  </si>
  <si>
    <t>श्यामपुर खुर्द</t>
  </si>
  <si>
    <t>प्रा. शाला भवन श्यामपुर खुर्द</t>
  </si>
  <si>
    <t>कचनौधा</t>
  </si>
  <si>
    <t>प्रा. शाला भवन कचनौधा</t>
  </si>
  <si>
    <t>कचनोधा</t>
  </si>
  <si>
    <t>मा०वि० कचनोधा</t>
  </si>
  <si>
    <t>रानपुर</t>
  </si>
  <si>
    <t>प्रा. शाला भवन रानपुर</t>
  </si>
  <si>
    <t>रानपुर पाय का पुरा</t>
  </si>
  <si>
    <t>प्रा०शा० भवन रानपुर अतिरिक्त कक्ष</t>
  </si>
  <si>
    <t>प्रा. शाला भवन पाय का पुरा</t>
  </si>
  <si>
    <t>चााँदपुर</t>
  </si>
  <si>
    <t>मा. शाला भवन चाँद पुर</t>
  </si>
  <si>
    <t>चाॉदपुर</t>
  </si>
  <si>
    <t>प्रा. शाला भवन उमरिया का पुरा</t>
  </si>
  <si>
    <t>दिमनी</t>
  </si>
  <si>
    <t>मा. शाला भवन दिमनी</t>
  </si>
  <si>
    <t>प्रा०शा०भ० दिमनी</t>
  </si>
  <si>
    <t>सामुदायिक भवन रतीराम पुरा</t>
  </si>
  <si>
    <t>लहर</t>
  </si>
  <si>
    <t>प्रा०शा०भवन लहर मजरा अंगद सिंह का पुरा</t>
  </si>
  <si>
    <t>प्रा०शाला भवन अंगद सिंह का पुरा लहर</t>
  </si>
  <si>
    <t>प्रा. शाला भवन लहर</t>
  </si>
  <si>
    <t>वरेथा</t>
  </si>
  <si>
    <t>प्रा. शाला बरेथा</t>
  </si>
  <si>
    <t>प्रा. शाला भवन देवीलाल का पुरा</t>
  </si>
  <si>
    <t>प्रा. शाला भवन रतनसिंह का पुरा (बरेथा)</t>
  </si>
  <si>
    <t>चेंटा</t>
  </si>
  <si>
    <t>प्रा. शाला चेंटा</t>
  </si>
  <si>
    <t>नावली</t>
  </si>
  <si>
    <t>प्रा० शाला भवन खुर्द</t>
  </si>
  <si>
    <t>प्रा.शाला भवन महेवा का पुरा</t>
  </si>
  <si>
    <t>मा. शाला नावली (बडा गाँव)</t>
  </si>
  <si>
    <t>प्रा० शाला नावली अतिरिक्त कक्ष</t>
  </si>
  <si>
    <t>मा.शाला. भवन. नावली कक्ष क्र. 2</t>
  </si>
  <si>
    <t>मा. शाला भवन घुसगाव</t>
  </si>
  <si>
    <t>मा.शा. भवन सहरैयन का पुरा</t>
  </si>
  <si>
    <t>मा.शाला. भवन. घुसगवां कक्ष क्र.</t>
  </si>
  <si>
    <t>नार्वली</t>
  </si>
  <si>
    <t>स्वराज भवन बडागांव</t>
  </si>
  <si>
    <t>मीरपुर</t>
  </si>
  <si>
    <t>प्रा० शाला पूर्वी भाग मीरापुर</t>
  </si>
  <si>
    <t>प्रा.शा.भ. पूर्वी भाग क्र. 2 मीरपुर</t>
  </si>
  <si>
    <t>पंचायत भवन खब रोली</t>
  </si>
  <si>
    <t>रामपुरगंज</t>
  </si>
  <si>
    <t>प्रा०शाला देवीसिंह का पुरा उत्तरी भाग</t>
  </si>
  <si>
    <t>आगनबाडी केन्द्र लज्जाराम का पुरा (रामपुरगंज)</t>
  </si>
  <si>
    <t>गंजरामपुर</t>
  </si>
  <si>
    <t>रामपुगंज सामुदायिकी भवन जगराम का पुरा</t>
  </si>
  <si>
    <t>गंज रामपुर</t>
  </si>
  <si>
    <t>प्रा० शाला मध्य भाग गंजरामपुर</t>
  </si>
  <si>
    <t>प्रा० शाला दक्षिणी भाग गंज रामपुर</t>
  </si>
  <si>
    <t>इमलिया</t>
  </si>
  <si>
    <t>मा० शाला पुराना भवन इमलिया</t>
  </si>
  <si>
    <t>पंचायत भवन इमलिया</t>
  </si>
  <si>
    <t>लालौरकलां</t>
  </si>
  <si>
    <t>मा० शाला लालौरकलां</t>
  </si>
  <si>
    <t>मा.वि. शाला भवन पूर्वी भाग लालौरकलां</t>
  </si>
  <si>
    <t>लालौर खुर्द</t>
  </si>
  <si>
    <t>प्रा.वि. भवन लालौरखुर्द</t>
  </si>
  <si>
    <t>मुड़ियाखेडा</t>
  </si>
  <si>
    <t>शा. मा०वि० मुडियाखेडा पूर्वी भाग</t>
  </si>
  <si>
    <t>पुराना प्रा० शाला भवन मुडियाखेडा</t>
  </si>
  <si>
    <t>मा० शाला भवन पश्चिमी भाग मुडियाखेडा</t>
  </si>
  <si>
    <t>मा० शाला भवन मुडियाखेडा उत्तरी भाग</t>
  </si>
  <si>
    <t>बड़ोखर</t>
  </si>
  <si>
    <t>पंचायत भवन बडोखर</t>
  </si>
  <si>
    <t>प्रा.वि. बडोखर दक्षिणी भाग</t>
  </si>
  <si>
    <t>शा० बा० छात्रावास नन्दे पुरा रोड बड़ोखर</t>
  </si>
  <si>
    <t>शा.मा.वि. बडोखर</t>
  </si>
  <si>
    <t>शा.मा.वि. बड़ोखर दक्षिणी पश्चिमी भाग</t>
  </si>
  <si>
    <t>शाब 10 छात्रावास बडोखर (समझा गया: 'ब डोखर' को 'बडोखर')</t>
  </si>
  <si>
    <t>शा.मा.वि. बडोखर उत्तरी भाग</t>
  </si>
  <si>
    <t>शाब 10 छात्रावास बडोखर</t>
  </si>
  <si>
    <t>जेबरा खेड़ा</t>
  </si>
  <si>
    <t>प्रा. शाला जेब राखेड़ा नवीन</t>
  </si>
  <si>
    <t>प्रा. शाला जेब राखेड़ा उत्तरी भाग</t>
  </si>
  <si>
    <t>डोंगरपुर किरार</t>
  </si>
  <si>
    <t>शा०मा० डोंगरपुर किरार</t>
  </si>
  <si>
    <t>पंचायत भवन डोंगरपुर किरार</t>
  </si>
  <si>
    <t>किशनपुर</t>
  </si>
  <si>
    <t>हा. स्कूल किशनपुर</t>
  </si>
  <si>
    <t>मिडिल स्कूल का अति. कक्ष किशनपुर</t>
  </si>
  <si>
    <t>प्राथमिक शाला कीरतपुर</t>
  </si>
  <si>
    <t>नगरा</t>
  </si>
  <si>
    <t>प्रा. शाला पूर्वी भाग नगरा</t>
  </si>
  <si>
    <t>प्रा. शाला पश्चिमी भाग नगरा</t>
  </si>
  <si>
    <t>काजीब सई</t>
  </si>
  <si>
    <t>प्रा. शाला काजीब सई</t>
  </si>
  <si>
    <t>पंचायत भवन काजीब सई</t>
  </si>
  <si>
    <t>हरिगवां</t>
  </si>
  <si>
    <t>स्वराज भवन हरगवा</t>
  </si>
  <si>
    <t>बसैया</t>
  </si>
  <si>
    <t>प्रा. शाला भवन बसैया</t>
  </si>
  <si>
    <t>प्रा.शा.भ. बसैया कक्ष क्र. 2</t>
  </si>
  <si>
    <t>सुरजनपुर</t>
  </si>
  <si>
    <t>प्रा०शाला सुरजनपुर</t>
  </si>
  <si>
    <t>श०शाला भवन सुरजन का पुरा</t>
  </si>
  <si>
    <t>रसीलपुर</t>
  </si>
  <si>
    <t>प्रा. शाला भवन रसीलपुर</t>
  </si>
  <si>
    <t>प्रा.शा.भ. रसीलपुरा कक्ष क्र. 2</t>
  </si>
  <si>
    <t>जींगनी</t>
  </si>
  <si>
    <t>मा० वि० पूर्वी भाग जींगनी</t>
  </si>
  <si>
    <t>मा० बि० मध्य भाग जींगनी</t>
  </si>
  <si>
    <t>मा० वि० पश्चिमी भाग जींगनी</t>
  </si>
  <si>
    <t>शा०प्रा०वि० कन्या जींगनी</t>
  </si>
  <si>
    <t>जीगनी</t>
  </si>
  <si>
    <t>स्वराज भवन टंकी के पास जीगनी</t>
  </si>
  <si>
    <t>मनोरंजन भवन हनुमानजी रोड जीगनी</t>
  </si>
  <si>
    <t>खेड़ा मेवदा</t>
  </si>
  <si>
    <t>शा.बा. प्रा. वि. खेडामेब दा</t>
  </si>
  <si>
    <t>मा. शाला नया भवन खेडामेब दा</t>
  </si>
  <si>
    <t>मनोरंजन भवन रामपुरा पूर्वी भाग</t>
  </si>
  <si>
    <t>आंगनवाडी केन्द्र क0 2 रामपुरा</t>
  </si>
  <si>
    <t>मनोरंजन भवन रामपुरा पश्चिमीभाग</t>
  </si>
  <si>
    <t>अजनौधा</t>
  </si>
  <si>
    <t>प्रा. शाला भवन अजनौधा</t>
  </si>
  <si>
    <t>प्रा.शा.भ. अजनौधा कक्ष क्र. 2</t>
  </si>
  <si>
    <t>नकटूपूरा</t>
  </si>
  <si>
    <t>प्रा. शाला नकटूपुरा</t>
  </si>
  <si>
    <t>बिजौलीपुरा</t>
  </si>
  <si>
    <t>प्रा. शाला बिजौलीपुरा</t>
  </si>
  <si>
    <t>पंचायत भवन नया तिवारी पुरा</t>
  </si>
  <si>
    <t>दतहरा</t>
  </si>
  <si>
    <t>मा. शाला पूर्वी भाग दतहरा</t>
  </si>
  <si>
    <t>मा.शा.भ. पूर्वी भाग दतहरा</t>
  </si>
  <si>
    <t>हा.से. स्कूल दतहरा</t>
  </si>
  <si>
    <t>हा.से. स्कूल कक्ष क्र. 2</t>
  </si>
  <si>
    <t>छिछावली</t>
  </si>
  <si>
    <t>मा. शाला पूर्वी भाग छिछावली</t>
  </si>
  <si>
    <t>मा. शाला पश्चिमी भाग छिछावली</t>
  </si>
  <si>
    <t>घुरान</t>
  </si>
  <si>
    <t>प्रा. शाला घुरधान पूर्वी भाग</t>
  </si>
  <si>
    <t>घुरघान</t>
  </si>
  <si>
    <t>प्रा. शाला घुरधान पश्चिमी भाग</t>
  </si>
  <si>
    <t>डोंगरपुर लोधा</t>
  </si>
  <si>
    <t>प्रा. शाला डोंगरपुर लोधा</t>
  </si>
  <si>
    <t>प्रा.शा.भ. डोंगरपुरा लोधा कक्ष क्र. 2</t>
  </si>
  <si>
    <t>सिरिमिती</t>
  </si>
  <si>
    <t>प्रा. शाला सिरिमिती</t>
  </si>
  <si>
    <t>प्रा.शा.भ. सिरमिति कक्ष क्र. 2</t>
  </si>
  <si>
    <t>करारी</t>
  </si>
  <si>
    <t>नयाभवन प्राथमिकशाला रघुनाथपुरा</t>
  </si>
  <si>
    <t>ग्राम स्वराज भवन रघुनाथपुरा</t>
  </si>
  <si>
    <t>भटारी</t>
  </si>
  <si>
    <t>प्रा. शाला गोपालपुरा</t>
  </si>
  <si>
    <t>मा. शाला भवन गोपालपुरा</t>
  </si>
  <si>
    <t>जतावर का पुरा</t>
  </si>
  <si>
    <t>प्रा. शाला जतवार का पुरा</t>
  </si>
  <si>
    <t>प्रा. शाला जताबर का पुरा कक्ष क्र. 2</t>
  </si>
  <si>
    <t>मिरघान</t>
  </si>
  <si>
    <t>हा. से. स्कूल मिरघान पूर्वी भाग</t>
  </si>
  <si>
    <t>हा.से. स्कूल मिरघान पश्चिमी भाग</t>
  </si>
  <si>
    <t>प्रा. शाला लालाराम का पुरा</t>
  </si>
  <si>
    <t>प्रा. शाला भवन लालाराम का पुरा</t>
  </si>
  <si>
    <t>रिठौरा का पुरा</t>
  </si>
  <si>
    <t>प्रा०शा०भवन बाघ का पुरा पू०भाग</t>
  </si>
  <si>
    <t>प्रा०शा०भवन बाघ का पुरा पश्चिमी भाग</t>
  </si>
  <si>
    <t>विरहरूआ</t>
  </si>
  <si>
    <t>मा. शाला भवन विरहरूआ</t>
  </si>
  <si>
    <t>प्रा०शा० अजुद्धी का पुरा</t>
  </si>
  <si>
    <t>बिरहरूआ</t>
  </si>
  <si>
    <t>मा. शाला भवन सिर मोर का पुरा</t>
  </si>
  <si>
    <t>गोपी</t>
  </si>
  <si>
    <t>प्रा. शाला भवन गोपी उत्तरी भाग</t>
  </si>
  <si>
    <t>मनोरंजन भवन पांचौली</t>
  </si>
  <si>
    <t>प्रा. शाला छत का पुरा</t>
  </si>
  <si>
    <t>मा. शाला भाई खाँ का पुरा</t>
  </si>
  <si>
    <t>प्रा. शाला कटैलापुरा</t>
  </si>
  <si>
    <t>शा.प्रा.वि. मोहन पुरा</t>
  </si>
  <si>
    <t>खड़ियाहार</t>
  </si>
  <si>
    <t>प्रा०शाला भवन पूर्वी भाग खड़ियाहार</t>
  </si>
  <si>
    <t>प्रा० शाला भवन दक्षिणी भाग खड़ियाहार</t>
  </si>
  <si>
    <t>मा०वि० खड़ियाहार</t>
  </si>
  <si>
    <t>बालक प्रा. शाला भवन खड़ियाहार</t>
  </si>
  <si>
    <t>प्रा. शाला भवन उमरिहाई पूर्वी भाग</t>
  </si>
  <si>
    <t>(मूल पाठ में भवन/पता संबंधी विवरण नहीं है)</t>
  </si>
  <si>
    <t>शा०प्रा०वि० माता का पुरा 
 प्रा. शाला भवन पार्थ का पुरा</t>
  </si>
  <si>
    <t>ई.जी.एस. शाला भवन चौकियाई</t>
  </si>
  <si>
    <t>महूरी</t>
  </si>
  <si>
    <t>प्रा. शाला भवन महूरी</t>
  </si>
  <si>
    <t>लल्लूब सई</t>
  </si>
  <si>
    <t>मा. शाला भवन पूर्वी भाग लल्लू बसई</t>
  </si>
  <si>
    <t>मा. शाला भवन पश्चिमी भाग लल्लू बसई</t>
  </si>
  <si>
    <t>बाबरीपुरा</t>
  </si>
  <si>
    <t>प्रा. शाला बाबरी पुरा</t>
  </si>
  <si>
    <t>बाबरी पुरा</t>
  </si>
  <si>
    <t>प्रा. शाला बाबरी पुरा पुराना भवन</t>
  </si>
  <si>
    <t>सिहोनियां</t>
  </si>
  <si>
    <t>हा. स्कूल पूर्वी भाग सिहोनियां</t>
  </si>
  <si>
    <t>सिंहोनिया</t>
  </si>
  <si>
    <t>शा०कन्या प्रा०वि० सिहोनियां नवीन कक्ष</t>
  </si>
  <si>
    <t>हा. स्कूल दक्षिणी भाग सिहोनियां</t>
  </si>
  <si>
    <t>मा.वि. सिहोनिया</t>
  </si>
  <si>
    <t>ग्रामीण सचिवालय सिहोनियां</t>
  </si>
  <si>
    <t>सिहौनिया</t>
  </si>
  <si>
    <t>ग्रामीण सचिवालय सिहौनिया</t>
  </si>
  <si>
    <t>मई</t>
  </si>
  <si>
    <t>ग्राम स्वराज भवन मई</t>
  </si>
  <si>
    <t>पुराबस खुर्द</t>
  </si>
  <si>
    <t>प्रा. शाला भवन पुराबस खुर्द</t>
  </si>
  <si>
    <t>ई.जी. एस स्कूल किशोरीपुरा 1 2 3、4</t>
  </si>
  <si>
    <t>पुराब सकला</t>
  </si>
  <si>
    <t>प्रा. शाला भवन पुराब सकलॉ</t>
  </si>
  <si>
    <t>पुरावसकला</t>
  </si>
  <si>
    <t>प्रा०वि० भवन गढ़िया पुरावसकला</t>
  </si>
  <si>
    <t>प्रा. शाला भवन रामचरन का पुरा</t>
  </si>
  <si>
    <t>सिकरोडी</t>
  </si>
  <si>
    <t>प्रा. शाला भवन सिकरोड़ी</t>
  </si>
  <si>
    <t>सिंकरोडी</t>
  </si>
  <si>
    <t>शा०मा०वि० सिकरोडी</t>
  </si>
  <si>
    <t>खडिया वेहड</t>
  </si>
  <si>
    <t>मा.शा. भवन खडिया वेहड नवीन भवन</t>
  </si>
  <si>
    <t>प्रा.वि. खडिया वेहड</t>
  </si>
  <si>
    <t>कमतरी</t>
  </si>
  <si>
    <t>प्रा०शा०भवन धोवाटी</t>
  </si>
  <si>
    <t>प्रा.वि. वडापुरा (धोवाटी)</t>
  </si>
  <si>
    <t>प्रा०शाला भवन रोरिया पुरा</t>
  </si>
  <si>
    <t>प्रा. शा. भवन वित्त का पुरा</t>
  </si>
  <si>
    <t>प्रा. शा. भवन मलू का पुरा</t>
  </si>
  <si>
    <t>प्रा.शा.भ. बन्धा का पुरा</t>
  </si>
  <si>
    <t>मनोंरजन भवन पंचम पुरा</t>
  </si>
  <si>
    <t>तुतवास</t>
  </si>
  <si>
    <t>मा. शाला खाँद का पुरा</t>
  </si>
  <si>
    <t>प्रा.शा.भ. खाँद का पुरा</t>
  </si>
  <si>
    <t>तुतबास</t>
  </si>
  <si>
    <t>शा०मा०वि० भुआ का पुरा पू० भाग</t>
  </si>
  <si>
    <t>शा०मा०वि० भुआ का पुरा उ० भाग</t>
  </si>
  <si>
    <t>शा०मा० वि० भुआ का पुरा पश्चिमी भाग</t>
  </si>
  <si>
    <t>प्रा.शा. ताल का पुरा</t>
  </si>
  <si>
    <t>प्रा.वि.गरीव का पुरा</t>
  </si>
  <si>
    <t>रूपहटी</t>
  </si>
  <si>
    <t>प्रा. शाला भवन रूपहटी</t>
  </si>
  <si>
    <t>प्रा. शाला नन्दोल का पुरा</t>
  </si>
  <si>
    <t>मा०. शाला भवन अमरपुरा</t>
  </si>
  <si>
    <t>प्रा.शा.म.नावली प० भाग</t>
  </si>
  <si>
    <t>प्रा.शा.नावली द० भाग</t>
  </si>
  <si>
    <t>मा. शाला भवन लालजीत का पुरा 
(“1209 नावली” को क्रम की संगति हेतु 209 माना गया)</t>
  </si>
  <si>
    <t>जालौनी</t>
  </si>
  <si>
    <t>नवीन प्रा.वि. जालौनी</t>
  </si>
  <si>
    <t>मा.वि. जालौनी</t>
  </si>
  <si>
    <t>थरा</t>
  </si>
  <si>
    <t>मा० शाला थरा पूर्वी भाग</t>
  </si>
  <si>
    <t>मा०शा० उत्तरी भाग थरा</t>
  </si>
  <si>
    <t>प्राथमिक शाला थरा पूर्वी भाग</t>
  </si>
  <si>
    <t>प्राथमिक शाला थरा पश्चिमी भाग</t>
  </si>
  <si>
    <t>ग्रामीण सचिवालय थरा</t>
  </si>
  <si>
    <t>ग्रामीण सचिवालय थरा नवीन भवन</t>
  </si>
  <si>
    <t>मा.शा. खजूरी</t>
  </si>
  <si>
    <t>प्रा.वि. खजूरी</t>
  </si>
  <si>
    <t>प्रा.शा.भ. जूझकी</t>
  </si>
  <si>
    <t>प्रा.वि. चोकवारिन का पुरा</t>
  </si>
  <si>
    <t>जल का नगरा</t>
  </si>
  <si>
    <t>प्रा. शाला जल का नगरा</t>
  </si>
  <si>
    <t>ग्रामीण सचिवालय जल का नगरा</t>
  </si>
  <si>
    <t>भोनपुरा</t>
  </si>
  <si>
    <t>प्रा. शाला भोनपुरा</t>
  </si>
  <si>
    <t>प्रा.शाला भोनपुरा पूर्वी भाग</t>
  </si>
  <si>
    <t>मनोरंजन भवन किशनपुरा</t>
  </si>
  <si>
    <t>सुनाबली</t>
  </si>
  <si>
    <t>प्रा. शाला भवन सुनावली</t>
  </si>
  <si>
    <t>प्रा.शा.भ. पलना</t>
  </si>
  <si>
    <t>कुकथरी</t>
  </si>
  <si>
    <t>प्रा.शा. कुकथरी</t>
  </si>
  <si>
    <t>प्रा.शा. कुकथरी पं. भाग</t>
  </si>
  <si>
    <t>प्रा०शा० धीखल का पुरा</t>
  </si>
  <si>
    <t>प्रा० शा० धीखल का पुरा प० भाग 
(मूल पाठ में “1 2” का भी संदर्भ है, स्पष्ट विवरण अनुपलब्ध)</t>
  </si>
  <si>
    <t>सीगपुरा</t>
  </si>
  <si>
    <t>प्रा.शा. सीगपुरा</t>
  </si>
  <si>
    <t>पंचायत भवन सीगपुर पूर्वी भाग</t>
  </si>
  <si>
    <t>किर्रायच</t>
  </si>
  <si>
    <t>20 
 प्रा. शाला भवन किर्रायच</t>
  </si>
  <si>
    <t>किरायचे</t>
  </si>
  <si>
    <t>मा. शाला भवन किर्रायच</t>
  </si>
  <si>
    <t>प्रा. शाला खोड़ 
(मूल पाठ में “1237 किर्रायच” आया था, क्रम की संगति हेतु 237 माना गया)</t>
  </si>
  <si>
    <t>प्रा.शा. दुर्गादास की गढी किर्रायच</t>
  </si>
  <si>
    <t>शा.प्रा.वि. गजू की गढी</t>
  </si>
  <si>
    <t>प्रा. शाला ऊदरपुरा</t>
  </si>
  <si>
    <t>किन्ना की गढ़ी</t>
  </si>
  <si>
    <t>प्रा.शाला किन्ना की गढ़ी</t>
  </si>
  <si>
    <t>तरैनी</t>
  </si>
  <si>
    <t>प्रा. शाला भवन तरैनी उत्तरी भाग</t>
  </si>
  <si>
    <t>प्रा०शा० मास्टर सिंह का पुरा 
(“1243 तरैनी” को तार्किक क्रम में 243 पर अंकित किया गया)</t>
  </si>
  <si>
    <t>मा. शाला भवन तरैनी दक्षिणी भाग</t>
  </si>
  <si>
    <t>ग्राम स्वराज भवन अनुरुध्द सिंह का पुरा</t>
  </si>
  <si>
    <t>धन्सुला</t>
  </si>
  <si>
    <t>प्रा.शा. भवन लंगडिया</t>
  </si>
  <si>
    <t>शा.प्रा.वि. धन्सुला</t>
  </si>
  <si>
    <t>प्रा. शाला भवन गीलापुरा</t>
  </si>
  <si>
    <t>इकहरा</t>
  </si>
  <si>
    <t>मा.वि.भवन इकहरा</t>
  </si>
  <si>
    <t>शा.मा.वि. इकहरा</t>
  </si>
  <si>
    <t>मानपुर रजपूती</t>
  </si>
  <si>
    <t>प्रा. शाला भवन मानपुर रजपूती 1 4</t>
  </si>
  <si>
    <t>शा.मा.वि. मानपुर रजपूती 
(“1202 मानपुर रजपूती” को क्रम की संगति हेतु 252 माना गया)</t>
  </si>
  <si>
    <t>सांगोली</t>
  </si>
  <si>
    <t>स्वराज भवन सांगोली</t>
  </si>
  <si>
    <t>चमरपुरा</t>
  </si>
  <si>
    <t>प्रा. शाला सांगोली</t>
  </si>
  <si>
    <t>लेपा</t>
  </si>
  <si>
    <t>प्रा.शा.लेपा</t>
  </si>
  <si>
    <t>प्रा.शा. लेपा प.भाग</t>
  </si>
  <si>
    <t>भिड़ोसा</t>
  </si>
  <si>
    <t>माध्यमिक शाला भवन दक्षिणी भाग भिडोसा</t>
  </si>
  <si>
    <t>माध्यमिक शाला भवन पूर्वी भाग भिडौसा</t>
  </si>
  <si>
    <t>कोलुआ</t>
  </si>
  <si>
    <t>मा.शा.भवन कोलुआ</t>
  </si>
  <si>
    <t>ऑगनवाड़ी भवन भोलाराम का पुरा</t>
  </si>
  <si>
    <t>खरगंपुर</t>
  </si>
  <si>
    <t>प्रा०शा. भवन खरगपुर</t>
  </si>
  <si>
    <t>शा.प्रा.वि. वघेल</t>
  </si>
  <si>
    <t xml:space="preserve">209
</t>
  </si>
  <si>
    <t xml:space="preserve">237
</t>
  </si>
  <si>
    <t xml:space="preserve">243
</t>
  </si>
  <si>
    <t>BJP</t>
  </si>
  <si>
    <t>BSP</t>
  </si>
  <si>
    <t>INC</t>
  </si>
  <si>
    <t>AAP</t>
  </si>
  <si>
    <t>JAP</t>
  </si>
  <si>
    <t>Samajwadi Party</t>
  </si>
  <si>
    <t>Rashtriya Samanta Dal</t>
  </si>
  <si>
    <t>Bahujan Mukti Party</t>
  </si>
  <si>
    <t>Independent</t>
  </si>
  <si>
    <t>Total Ragistered Voter</t>
  </si>
  <si>
    <t>Male</t>
  </si>
  <si>
    <t>Female</t>
  </si>
  <si>
    <t xml:space="preserve">Delta positive </t>
  </si>
  <si>
    <t xml:space="preserve"> Voter Turnout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</si>
</sst>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1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r>
              <a:rPr lang="en-US" baseline="0"/>
              <a:t> Positive vs Voter Turnout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Tables_Table1!$AA$3:$AA$264</c:f>
              <c:numCache>
                <c:formatCode>General</c:formatCode>
                <c:ptCount val="262"/>
                <c:pt idx="0">
                  <c:v>148</c:v>
                </c:pt>
                <c:pt idx="1">
                  <c:v>114</c:v>
                </c:pt>
                <c:pt idx="2">
                  <c:v>192</c:v>
                </c:pt>
                <c:pt idx="3">
                  <c:v>207</c:v>
                </c:pt>
                <c:pt idx="4">
                  <c:v>499</c:v>
                </c:pt>
                <c:pt idx="5">
                  <c:v>446</c:v>
                </c:pt>
                <c:pt idx="6">
                  <c:v>271</c:v>
                </c:pt>
                <c:pt idx="7">
                  <c:v>89</c:v>
                </c:pt>
                <c:pt idx="8">
                  <c:v>444</c:v>
                </c:pt>
                <c:pt idx="9">
                  <c:v>595</c:v>
                </c:pt>
                <c:pt idx="10">
                  <c:v>13</c:v>
                </c:pt>
                <c:pt idx="11">
                  <c:v>198</c:v>
                </c:pt>
                <c:pt idx="12">
                  <c:v>304</c:v>
                </c:pt>
                <c:pt idx="13">
                  <c:v>151</c:v>
                </c:pt>
                <c:pt idx="14">
                  <c:v>5</c:v>
                </c:pt>
                <c:pt idx="15">
                  <c:v>81</c:v>
                </c:pt>
                <c:pt idx="16">
                  <c:v>627</c:v>
                </c:pt>
                <c:pt idx="17">
                  <c:v>53</c:v>
                </c:pt>
                <c:pt idx="18">
                  <c:v>497</c:v>
                </c:pt>
                <c:pt idx="19">
                  <c:v>4</c:v>
                </c:pt>
                <c:pt idx="20">
                  <c:v>118</c:v>
                </c:pt>
                <c:pt idx="21">
                  <c:v>196</c:v>
                </c:pt>
                <c:pt idx="22">
                  <c:v>136</c:v>
                </c:pt>
                <c:pt idx="23">
                  <c:v>45</c:v>
                </c:pt>
                <c:pt idx="24">
                  <c:v>168</c:v>
                </c:pt>
                <c:pt idx="25">
                  <c:v>178</c:v>
                </c:pt>
                <c:pt idx="26">
                  <c:v>185</c:v>
                </c:pt>
                <c:pt idx="27">
                  <c:v>232</c:v>
                </c:pt>
                <c:pt idx="28">
                  <c:v>212</c:v>
                </c:pt>
                <c:pt idx="29">
                  <c:v>167</c:v>
                </c:pt>
                <c:pt idx="30">
                  <c:v>281</c:v>
                </c:pt>
                <c:pt idx="31">
                  <c:v>325</c:v>
                </c:pt>
                <c:pt idx="32">
                  <c:v>468</c:v>
                </c:pt>
                <c:pt idx="33">
                  <c:v>244</c:v>
                </c:pt>
                <c:pt idx="34">
                  <c:v>273</c:v>
                </c:pt>
                <c:pt idx="35">
                  <c:v>442</c:v>
                </c:pt>
                <c:pt idx="36">
                  <c:v>168</c:v>
                </c:pt>
                <c:pt idx="37">
                  <c:v>181</c:v>
                </c:pt>
                <c:pt idx="38">
                  <c:v>108</c:v>
                </c:pt>
                <c:pt idx="39">
                  <c:v>64</c:v>
                </c:pt>
                <c:pt idx="40">
                  <c:v>494</c:v>
                </c:pt>
                <c:pt idx="41">
                  <c:v>11</c:v>
                </c:pt>
                <c:pt idx="42">
                  <c:v>66</c:v>
                </c:pt>
                <c:pt idx="43">
                  <c:v>102</c:v>
                </c:pt>
                <c:pt idx="44">
                  <c:v>58</c:v>
                </c:pt>
                <c:pt idx="45">
                  <c:v>246</c:v>
                </c:pt>
                <c:pt idx="46">
                  <c:v>432</c:v>
                </c:pt>
                <c:pt idx="47">
                  <c:v>204</c:v>
                </c:pt>
                <c:pt idx="48">
                  <c:v>520</c:v>
                </c:pt>
                <c:pt idx="49">
                  <c:v>549</c:v>
                </c:pt>
                <c:pt idx="50">
                  <c:v>314</c:v>
                </c:pt>
                <c:pt idx="51">
                  <c:v>161</c:v>
                </c:pt>
                <c:pt idx="52">
                  <c:v>98</c:v>
                </c:pt>
                <c:pt idx="53">
                  <c:v>124</c:v>
                </c:pt>
                <c:pt idx="54">
                  <c:v>216</c:v>
                </c:pt>
                <c:pt idx="55">
                  <c:v>282</c:v>
                </c:pt>
                <c:pt idx="56">
                  <c:v>287</c:v>
                </c:pt>
                <c:pt idx="57">
                  <c:v>127</c:v>
                </c:pt>
                <c:pt idx="58">
                  <c:v>426</c:v>
                </c:pt>
                <c:pt idx="59">
                  <c:v>208</c:v>
                </c:pt>
                <c:pt idx="60">
                  <c:v>56</c:v>
                </c:pt>
                <c:pt idx="61">
                  <c:v>344</c:v>
                </c:pt>
                <c:pt idx="62">
                  <c:v>19</c:v>
                </c:pt>
                <c:pt idx="63">
                  <c:v>7</c:v>
                </c:pt>
                <c:pt idx="64">
                  <c:v>47</c:v>
                </c:pt>
                <c:pt idx="65">
                  <c:v>235</c:v>
                </c:pt>
                <c:pt idx="66">
                  <c:v>503</c:v>
                </c:pt>
                <c:pt idx="67">
                  <c:v>109</c:v>
                </c:pt>
                <c:pt idx="68">
                  <c:v>132</c:v>
                </c:pt>
                <c:pt idx="69">
                  <c:v>8</c:v>
                </c:pt>
                <c:pt idx="70">
                  <c:v>118</c:v>
                </c:pt>
                <c:pt idx="71">
                  <c:v>147</c:v>
                </c:pt>
                <c:pt idx="72">
                  <c:v>30</c:v>
                </c:pt>
                <c:pt idx="73">
                  <c:v>58</c:v>
                </c:pt>
                <c:pt idx="74">
                  <c:v>152</c:v>
                </c:pt>
                <c:pt idx="75">
                  <c:v>65</c:v>
                </c:pt>
                <c:pt idx="76">
                  <c:v>31</c:v>
                </c:pt>
                <c:pt idx="77">
                  <c:v>5</c:v>
                </c:pt>
                <c:pt idx="78">
                  <c:v>50</c:v>
                </c:pt>
                <c:pt idx="79">
                  <c:v>82</c:v>
                </c:pt>
                <c:pt idx="80">
                  <c:v>66</c:v>
                </c:pt>
                <c:pt idx="81">
                  <c:v>284</c:v>
                </c:pt>
                <c:pt idx="82">
                  <c:v>146</c:v>
                </c:pt>
                <c:pt idx="83">
                  <c:v>15</c:v>
                </c:pt>
                <c:pt idx="84">
                  <c:v>58</c:v>
                </c:pt>
                <c:pt idx="85">
                  <c:v>114</c:v>
                </c:pt>
                <c:pt idx="86">
                  <c:v>52</c:v>
                </c:pt>
                <c:pt idx="87">
                  <c:v>141</c:v>
                </c:pt>
                <c:pt idx="88">
                  <c:v>17</c:v>
                </c:pt>
                <c:pt idx="89">
                  <c:v>156</c:v>
                </c:pt>
                <c:pt idx="90">
                  <c:v>83</c:v>
                </c:pt>
                <c:pt idx="91">
                  <c:v>251</c:v>
                </c:pt>
                <c:pt idx="92">
                  <c:v>180</c:v>
                </c:pt>
                <c:pt idx="93">
                  <c:v>20</c:v>
                </c:pt>
                <c:pt idx="94">
                  <c:v>50</c:v>
                </c:pt>
                <c:pt idx="95">
                  <c:v>129</c:v>
                </c:pt>
                <c:pt idx="96">
                  <c:v>313</c:v>
                </c:pt>
                <c:pt idx="97">
                  <c:v>188</c:v>
                </c:pt>
                <c:pt idx="98">
                  <c:v>101</c:v>
                </c:pt>
                <c:pt idx="99">
                  <c:v>185</c:v>
                </c:pt>
                <c:pt idx="100">
                  <c:v>115</c:v>
                </c:pt>
                <c:pt idx="101">
                  <c:v>91</c:v>
                </c:pt>
                <c:pt idx="102">
                  <c:v>313</c:v>
                </c:pt>
                <c:pt idx="103">
                  <c:v>324</c:v>
                </c:pt>
                <c:pt idx="104">
                  <c:v>109</c:v>
                </c:pt>
                <c:pt idx="105">
                  <c:v>310</c:v>
                </c:pt>
                <c:pt idx="106">
                  <c:v>53</c:v>
                </c:pt>
                <c:pt idx="107">
                  <c:v>28</c:v>
                </c:pt>
                <c:pt idx="108">
                  <c:v>14</c:v>
                </c:pt>
                <c:pt idx="109">
                  <c:v>47</c:v>
                </c:pt>
                <c:pt idx="110">
                  <c:v>28</c:v>
                </c:pt>
                <c:pt idx="111">
                  <c:v>214</c:v>
                </c:pt>
                <c:pt idx="112">
                  <c:v>134</c:v>
                </c:pt>
                <c:pt idx="113">
                  <c:v>184</c:v>
                </c:pt>
                <c:pt idx="114">
                  <c:v>66</c:v>
                </c:pt>
                <c:pt idx="115">
                  <c:v>85</c:v>
                </c:pt>
                <c:pt idx="116">
                  <c:v>115</c:v>
                </c:pt>
                <c:pt idx="117">
                  <c:v>179</c:v>
                </c:pt>
                <c:pt idx="118">
                  <c:v>219</c:v>
                </c:pt>
                <c:pt idx="119">
                  <c:v>139</c:v>
                </c:pt>
                <c:pt idx="120">
                  <c:v>27</c:v>
                </c:pt>
                <c:pt idx="121">
                  <c:v>34</c:v>
                </c:pt>
                <c:pt idx="122">
                  <c:v>173</c:v>
                </c:pt>
                <c:pt idx="123">
                  <c:v>134</c:v>
                </c:pt>
                <c:pt idx="124">
                  <c:v>28</c:v>
                </c:pt>
                <c:pt idx="125">
                  <c:v>162</c:v>
                </c:pt>
                <c:pt idx="126">
                  <c:v>121</c:v>
                </c:pt>
                <c:pt idx="127">
                  <c:v>516</c:v>
                </c:pt>
                <c:pt idx="128">
                  <c:v>350</c:v>
                </c:pt>
                <c:pt idx="129">
                  <c:v>33</c:v>
                </c:pt>
                <c:pt idx="130">
                  <c:v>114</c:v>
                </c:pt>
                <c:pt idx="131">
                  <c:v>23</c:v>
                </c:pt>
                <c:pt idx="132">
                  <c:v>441</c:v>
                </c:pt>
                <c:pt idx="133">
                  <c:v>292</c:v>
                </c:pt>
                <c:pt idx="134">
                  <c:v>185</c:v>
                </c:pt>
                <c:pt idx="135">
                  <c:v>69</c:v>
                </c:pt>
                <c:pt idx="136">
                  <c:v>48</c:v>
                </c:pt>
                <c:pt idx="137">
                  <c:v>92</c:v>
                </c:pt>
                <c:pt idx="138">
                  <c:v>41</c:v>
                </c:pt>
                <c:pt idx="139">
                  <c:v>670</c:v>
                </c:pt>
                <c:pt idx="140">
                  <c:v>558</c:v>
                </c:pt>
                <c:pt idx="141">
                  <c:v>10</c:v>
                </c:pt>
                <c:pt idx="142">
                  <c:v>117</c:v>
                </c:pt>
                <c:pt idx="143">
                  <c:v>301</c:v>
                </c:pt>
                <c:pt idx="144">
                  <c:v>129</c:v>
                </c:pt>
                <c:pt idx="145">
                  <c:v>401</c:v>
                </c:pt>
                <c:pt idx="146">
                  <c:v>353</c:v>
                </c:pt>
                <c:pt idx="147">
                  <c:v>593</c:v>
                </c:pt>
                <c:pt idx="148">
                  <c:v>254</c:v>
                </c:pt>
                <c:pt idx="149">
                  <c:v>170</c:v>
                </c:pt>
                <c:pt idx="150">
                  <c:v>297</c:v>
                </c:pt>
                <c:pt idx="151">
                  <c:v>359</c:v>
                </c:pt>
                <c:pt idx="152">
                  <c:v>388</c:v>
                </c:pt>
                <c:pt idx="153">
                  <c:v>203</c:v>
                </c:pt>
                <c:pt idx="154">
                  <c:v>418</c:v>
                </c:pt>
                <c:pt idx="155">
                  <c:v>565</c:v>
                </c:pt>
                <c:pt idx="156">
                  <c:v>129</c:v>
                </c:pt>
                <c:pt idx="157">
                  <c:v>232</c:v>
                </c:pt>
                <c:pt idx="158">
                  <c:v>411</c:v>
                </c:pt>
                <c:pt idx="159">
                  <c:v>234</c:v>
                </c:pt>
                <c:pt idx="160">
                  <c:v>466</c:v>
                </c:pt>
                <c:pt idx="161">
                  <c:v>106</c:v>
                </c:pt>
                <c:pt idx="162">
                  <c:v>192</c:v>
                </c:pt>
                <c:pt idx="163">
                  <c:v>54</c:v>
                </c:pt>
                <c:pt idx="164">
                  <c:v>226</c:v>
                </c:pt>
                <c:pt idx="165">
                  <c:v>109</c:v>
                </c:pt>
                <c:pt idx="166">
                  <c:v>133</c:v>
                </c:pt>
                <c:pt idx="167">
                  <c:v>63</c:v>
                </c:pt>
                <c:pt idx="168">
                  <c:v>146</c:v>
                </c:pt>
                <c:pt idx="169">
                  <c:v>440</c:v>
                </c:pt>
                <c:pt idx="170">
                  <c:v>481</c:v>
                </c:pt>
                <c:pt idx="171">
                  <c:v>269</c:v>
                </c:pt>
                <c:pt idx="172">
                  <c:v>310</c:v>
                </c:pt>
                <c:pt idx="173">
                  <c:v>176</c:v>
                </c:pt>
                <c:pt idx="174">
                  <c:v>117</c:v>
                </c:pt>
                <c:pt idx="175">
                  <c:v>198</c:v>
                </c:pt>
                <c:pt idx="176">
                  <c:v>510</c:v>
                </c:pt>
                <c:pt idx="177">
                  <c:v>2</c:v>
                </c:pt>
                <c:pt idx="178">
                  <c:v>133</c:v>
                </c:pt>
                <c:pt idx="179">
                  <c:v>131</c:v>
                </c:pt>
                <c:pt idx="180">
                  <c:v>303</c:v>
                </c:pt>
                <c:pt idx="181">
                  <c:v>196</c:v>
                </c:pt>
                <c:pt idx="182">
                  <c:v>193</c:v>
                </c:pt>
                <c:pt idx="183">
                  <c:v>138</c:v>
                </c:pt>
                <c:pt idx="184">
                  <c:v>348</c:v>
                </c:pt>
                <c:pt idx="185">
                  <c:v>389</c:v>
                </c:pt>
                <c:pt idx="186">
                  <c:v>340</c:v>
                </c:pt>
                <c:pt idx="187">
                  <c:v>244</c:v>
                </c:pt>
                <c:pt idx="188">
                  <c:v>814</c:v>
                </c:pt>
                <c:pt idx="189">
                  <c:v>275</c:v>
                </c:pt>
                <c:pt idx="190">
                  <c:v>70</c:v>
                </c:pt>
                <c:pt idx="191">
                  <c:v>18</c:v>
                </c:pt>
                <c:pt idx="192">
                  <c:v>589</c:v>
                </c:pt>
                <c:pt idx="193">
                  <c:v>263</c:v>
                </c:pt>
                <c:pt idx="194">
                  <c:v>267</c:v>
                </c:pt>
                <c:pt idx="195">
                  <c:v>15</c:v>
                </c:pt>
                <c:pt idx="196">
                  <c:v>396</c:v>
                </c:pt>
                <c:pt idx="197">
                  <c:v>287</c:v>
                </c:pt>
                <c:pt idx="198">
                  <c:v>448</c:v>
                </c:pt>
                <c:pt idx="199">
                  <c:v>419</c:v>
                </c:pt>
                <c:pt idx="200">
                  <c:v>162</c:v>
                </c:pt>
                <c:pt idx="201">
                  <c:v>285</c:v>
                </c:pt>
                <c:pt idx="202">
                  <c:v>152</c:v>
                </c:pt>
                <c:pt idx="203">
                  <c:v>225</c:v>
                </c:pt>
                <c:pt idx="204">
                  <c:v>276</c:v>
                </c:pt>
                <c:pt idx="205">
                  <c:v>115</c:v>
                </c:pt>
                <c:pt idx="206">
                  <c:v>323</c:v>
                </c:pt>
                <c:pt idx="207">
                  <c:v>275</c:v>
                </c:pt>
                <c:pt idx="208">
                  <c:v>418</c:v>
                </c:pt>
                <c:pt idx="209">
                  <c:v>318</c:v>
                </c:pt>
                <c:pt idx="210">
                  <c:v>428</c:v>
                </c:pt>
                <c:pt idx="211">
                  <c:v>26</c:v>
                </c:pt>
                <c:pt idx="212">
                  <c:v>152</c:v>
                </c:pt>
                <c:pt idx="213">
                  <c:v>139</c:v>
                </c:pt>
                <c:pt idx="214">
                  <c:v>229</c:v>
                </c:pt>
                <c:pt idx="215">
                  <c:v>459</c:v>
                </c:pt>
                <c:pt idx="216">
                  <c:v>228</c:v>
                </c:pt>
                <c:pt idx="217">
                  <c:v>350</c:v>
                </c:pt>
                <c:pt idx="218">
                  <c:v>457</c:v>
                </c:pt>
                <c:pt idx="219">
                  <c:v>56</c:v>
                </c:pt>
                <c:pt idx="220">
                  <c:v>404</c:v>
                </c:pt>
                <c:pt idx="221">
                  <c:v>396</c:v>
                </c:pt>
                <c:pt idx="222">
                  <c:v>293</c:v>
                </c:pt>
                <c:pt idx="223">
                  <c:v>393</c:v>
                </c:pt>
                <c:pt idx="224">
                  <c:v>333</c:v>
                </c:pt>
                <c:pt idx="225">
                  <c:v>470</c:v>
                </c:pt>
                <c:pt idx="226">
                  <c:v>766</c:v>
                </c:pt>
                <c:pt idx="227">
                  <c:v>121</c:v>
                </c:pt>
                <c:pt idx="228">
                  <c:v>147</c:v>
                </c:pt>
                <c:pt idx="229">
                  <c:v>228</c:v>
                </c:pt>
                <c:pt idx="230">
                  <c:v>431</c:v>
                </c:pt>
                <c:pt idx="231">
                  <c:v>199</c:v>
                </c:pt>
                <c:pt idx="232">
                  <c:v>446</c:v>
                </c:pt>
                <c:pt idx="233">
                  <c:v>429</c:v>
                </c:pt>
                <c:pt idx="234">
                  <c:v>144</c:v>
                </c:pt>
                <c:pt idx="235">
                  <c:v>438</c:v>
                </c:pt>
                <c:pt idx="236">
                  <c:v>434</c:v>
                </c:pt>
                <c:pt idx="237">
                  <c:v>374</c:v>
                </c:pt>
                <c:pt idx="238">
                  <c:v>410</c:v>
                </c:pt>
                <c:pt idx="239">
                  <c:v>618</c:v>
                </c:pt>
                <c:pt idx="240">
                  <c:v>268</c:v>
                </c:pt>
                <c:pt idx="241">
                  <c:v>364</c:v>
                </c:pt>
                <c:pt idx="242">
                  <c:v>238</c:v>
                </c:pt>
                <c:pt idx="243">
                  <c:v>171</c:v>
                </c:pt>
                <c:pt idx="244">
                  <c:v>89</c:v>
                </c:pt>
                <c:pt idx="245">
                  <c:v>42</c:v>
                </c:pt>
                <c:pt idx="246">
                  <c:v>53</c:v>
                </c:pt>
                <c:pt idx="247">
                  <c:v>108</c:v>
                </c:pt>
                <c:pt idx="248">
                  <c:v>558</c:v>
                </c:pt>
                <c:pt idx="249">
                  <c:v>535</c:v>
                </c:pt>
                <c:pt idx="250">
                  <c:v>484</c:v>
                </c:pt>
                <c:pt idx="251">
                  <c:v>369</c:v>
                </c:pt>
                <c:pt idx="252">
                  <c:v>361</c:v>
                </c:pt>
                <c:pt idx="253">
                  <c:v>525</c:v>
                </c:pt>
                <c:pt idx="254">
                  <c:v>183</c:v>
                </c:pt>
                <c:pt idx="255">
                  <c:v>174</c:v>
                </c:pt>
                <c:pt idx="256">
                  <c:v>98</c:v>
                </c:pt>
                <c:pt idx="257">
                  <c:v>93</c:v>
                </c:pt>
                <c:pt idx="258">
                  <c:v>306</c:v>
                </c:pt>
                <c:pt idx="259">
                  <c:v>113</c:v>
                </c:pt>
                <c:pt idx="260">
                  <c:v>432</c:v>
                </c:pt>
                <c:pt idx="261">
                  <c:v>147</c:v>
                </c:pt>
              </c:numCache>
            </c:numRef>
          </c:xVal>
          <c:yVal>
            <c:numRef>
              <c:f>Tables_Table1!$AB$3:$AB$264</c:f>
              <c:numCache>
                <c:formatCode>0</c:formatCode>
                <c:ptCount val="262"/>
                <c:pt idx="0">
                  <c:v>60.387811634349035</c:v>
                </c:pt>
                <c:pt idx="1">
                  <c:v>60.939060939060937</c:v>
                </c:pt>
                <c:pt idx="2">
                  <c:v>52.799377916018663</c:v>
                </c:pt>
                <c:pt idx="3">
                  <c:v>68.095238095238102</c:v>
                </c:pt>
                <c:pt idx="4">
                  <c:v>79.622266401590451</c:v>
                </c:pt>
                <c:pt idx="5">
                  <c:v>72.540381791483114</c:v>
                </c:pt>
                <c:pt idx="6">
                  <c:v>56.905370843989765</c:v>
                </c:pt>
                <c:pt idx="7">
                  <c:v>63.852813852813853</c:v>
                </c:pt>
                <c:pt idx="8">
                  <c:v>70.967741935483872</c:v>
                </c:pt>
                <c:pt idx="9">
                  <c:v>69.861963190184056</c:v>
                </c:pt>
                <c:pt idx="10">
                  <c:v>72.38493723849372</c:v>
                </c:pt>
                <c:pt idx="11">
                  <c:v>76.377952755905511</c:v>
                </c:pt>
                <c:pt idx="12">
                  <c:v>81.101376720901129</c:v>
                </c:pt>
                <c:pt idx="13">
                  <c:v>62.705436156763597</c:v>
                </c:pt>
                <c:pt idx="14">
                  <c:v>69.814241486068113</c:v>
                </c:pt>
                <c:pt idx="15">
                  <c:v>64.037122969837583</c:v>
                </c:pt>
                <c:pt idx="16">
                  <c:v>72.653884964682135</c:v>
                </c:pt>
                <c:pt idx="17">
                  <c:v>80.952380952380949</c:v>
                </c:pt>
                <c:pt idx="18">
                  <c:v>69.44</c:v>
                </c:pt>
                <c:pt idx="19">
                  <c:v>85.864978902953581</c:v>
                </c:pt>
                <c:pt idx="20">
                  <c:v>69.652406417112303</c:v>
                </c:pt>
                <c:pt idx="21">
                  <c:v>63.408190224570674</c:v>
                </c:pt>
                <c:pt idx="22">
                  <c:v>71.257485029940113</c:v>
                </c:pt>
                <c:pt idx="23">
                  <c:v>77.551020408163268</c:v>
                </c:pt>
                <c:pt idx="24">
                  <c:v>62.282229965156802</c:v>
                </c:pt>
                <c:pt idx="25">
                  <c:v>62.814070351758801</c:v>
                </c:pt>
                <c:pt idx="26">
                  <c:v>56.157635467980292</c:v>
                </c:pt>
                <c:pt idx="27">
                  <c:v>90.221402214022135</c:v>
                </c:pt>
                <c:pt idx="28">
                  <c:v>68.421052631578945</c:v>
                </c:pt>
                <c:pt idx="29">
                  <c:v>72.138554216867462</c:v>
                </c:pt>
                <c:pt idx="30">
                  <c:v>97.904191616766468</c:v>
                </c:pt>
                <c:pt idx="31">
                  <c:v>67.769296013570823</c:v>
                </c:pt>
                <c:pt idx="32">
                  <c:v>65.974440894568687</c:v>
                </c:pt>
                <c:pt idx="33">
                  <c:v>82.251082251082252</c:v>
                </c:pt>
                <c:pt idx="34">
                  <c:v>68.498168498168496</c:v>
                </c:pt>
                <c:pt idx="35">
                  <c:v>70.235934664246827</c:v>
                </c:pt>
                <c:pt idx="36">
                  <c:v>67.598187311178251</c:v>
                </c:pt>
                <c:pt idx="37">
                  <c:v>61.666666666666671</c:v>
                </c:pt>
                <c:pt idx="38">
                  <c:v>62.677165354330711</c:v>
                </c:pt>
                <c:pt idx="39">
                  <c:v>61.83524504692388</c:v>
                </c:pt>
                <c:pt idx="40">
                  <c:v>69.020979020979027</c:v>
                </c:pt>
                <c:pt idx="41">
                  <c:v>59.561128526645767</c:v>
                </c:pt>
                <c:pt idx="42">
                  <c:v>61.355081555834381</c:v>
                </c:pt>
                <c:pt idx="43">
                  <c:v>66.666666666666657</c:v>
                </c:pt>
                <c:pt idx="44">
                  <c:v>65.024630541871915</c:v>
                </c:pt>
                <c:pt idx="45">
                  <c:v>63.129002744739246</c:v>
                </c:pt>
                <c:pt idx="46">
                  <c:v>69.704049844236764</c:v>
                </c:pt>
                <c:pt idx="47">
                  <c:v>64.122681883024242</c:v>
                </c:pt>
                <c:pt idx="48">
                  <c:v>87.940234791889011</c:v>
                </c:pt>
                <c:pt idx="49">
                  <c:v>83.531564501372372</c:v>
                </c:pt>
                <c:pt idx="50">
                  <c:v>65.903709550118393</c:v>
                </c:pt>
                <c:pt idx="51">
                  <c:v>66.151866151866159</c:v>
                </c:pt>
                <c:pt idx="52">
                  <c:v>68.364197530864203</c:v>
                </c:pt>
                <c:pt idx="53">
                  <c:v>65.514261019879001</c:v>
                </c:pt>
                <c:pt idx="54">
                  <c:v>63.241106719367593</c:v>
                </c:pt>
                <c:pt idx="55">
                  <c:v>66.933546837469976</c:v>
                </c:pt>
                <c:pt idx="56">
                  <c:v>75.736568457538993</c:v>
                </c:pt>
                <c:pt idx="57">
                  <c:v>70.934256055363321</c:v>
                </c:pt>
                <c:pt idx="58">
                  <c:v>81.330685203574973</c:v>
                </c:pt>
                <c:pt idx="59">
                  <c:v>65.792031098153544</c:v>
                </c:pt>
                <c:pt idx="60">
                  <c:v>53.448275862068961</c:v>
                </c:pt>
                <c:pt idx="61">
                  <c:v>65.016872890888649</c:v>
                </c:pt>
                <c:pt idx="62">
                  <c:v>68</c:v>
                </c:pt>
                <c:pt idx="63">
                  <c:v>75.894538606403017</c:v>
                </c:pt>
                <c:pt idx="64">
                  <c:v>86.30705394190872</c:v>
                </c:pt>
                <c:pt idx="65">
                  <c:v>77.930306230200628</c:v>
                </c:pt>
                <c:pt idx="66">
                  <c:v>64.462809917355372</c:v>
                </c:pt>
                <c:pt idx="67">
                  <c:v>70.679611650485441</c:v>
                </c:pt>
                <c:pt idx="68">
                  <c:v>70.098576122672512</c:v>
                </c:pt>
                <c:pt idx="69">
                  <c:v>72.470076169749731</c:v>
                </c:pt>
                <c:pt idx="70">
                  <c:v>75.117739403453683</c:v>
                </c:pt>
                <c:pt idx="71">
                  <c:v>74.603174603174608</c:v>
                </c:pt>
                <c:pt idx="72">
                  <c:v>73.724884080370941</c:v>
                </c:pt>
                <c:pt idx="73">
                  <c:v>72.42366412213741</c:v>
                </c:pt>
                <c:pt idx="74">
                  <c:v>70.301057770545157</c:v>
                </c:pt>
                <c:pt idx="75">
                  <c:v>71.864009378663539</c:v>
                </c:pt>
                <c:pt idx="76">
                  <c:v>69.651741293532339</c:v>
                </c:pt>
                <c:pt idx="77">
                  <c:v>58.268590455049939</c:v>
                </c:pt>
                <c:pt idx="78">
                  <c:v>74.594594594594597</c:v>
                </c:pt>
                <c:pt idx="79">
                  <c:v>68.496420047732698</c:v>
                </c:pt>
                <c:pt idx="80">
                  <c:v>72.565687789799071</c:v>
                </c:pt>
                <c:pt idx="81">
                  <c:v>74.805771365149837</c:v>
                </c:pt>
                <c:pt idx="82">
                  <c:v>69.197396963123651</c:v>
                </c:pt>
                <c:pt idx="83">
                  <c:v>75.853018372703403</c:v>
                </c:pt>
                <c:pt idx="84">
                  <c:v>67.558528428093638</c:v>
                </c:pt>
                <c:pt idx="85">
                  <c:v>67.850637522768679</c:v>
                </c:pt>
                <c:pt idx="86">
                  <c:v>58.86363636363636</c:v>
                </c:pt>
                <c:pt idx="87">
                  <c:v>62.377450980392155</c:v>
                </c:pt>
                <c:pt idx="88">
                  <c:v>63.344887348353552</c:v>
                </c:pt>
                <c:pt idx="89">
                  <c:v>49.479166666666671</c:v>
                </c:pt>
                <c:pt idx="90">
                  <c:v>57.860962566844918</c:v>
                </c:pt>
                <c:pt idx="91">
                  <c:v>51.487252124645892</c:v>
                </c:pt>
                <c:pt idx="92">
                  <c:v>71.531791907514446</c:v>
                </c:pt>
                <c:pt idx="93">
                  <c:v>72.642310960067974</c:v>
                </c:pt>
                <c:pt idx="94">
                  <c:v>69.844020797227031</c:v>
                </c:pt>
                <c:pt idx="95">
                  <c:v>68.706697459584305</c:v>
                </c:pt>
                <c:pt idx="96">
                  <c:v>70.93791281373845</c:v>
                </c:pt>
                <c:pt idx="97">
                  <c:v>62.156862745098039</c:v>
                </c:pt>
                <c:pt idx="98">
                  <c:v>70.936902485659658</c:v>
                </c:pt>
                <c:pt idx="99">
                  <c:v>64.203612479474543</c:v>
                </c:pt>
                <c:pt idx="100">
                  <c:v>60.583941605839421</c:v>
                </c:pt>
                <c:pt idx="101">
                  <c:v>0</c:v>
                </c:pt>
                <c:pt idx="102">
                  <c:v>64.793678665496046</c:v>
                </c:pt>
                <c:pt idx="103">
                  <c:v>60.262345679012341</c:v>
                </c:pt>
                <c:pt idx="104">
                  <c:v>69.846491228070178</c:v>
                </c:pt>
                <c:pt idx="105">
                  <c:v>65.553235908141957</c:v>
                </c:pt>
                <c:pt idx="106">
                  <c:v>67.358708189158008</c:v>
                </c:pt>
                <c:pt idx="107">
                  <c:v>73.837209302325576</c:v>
                </c:pt>
                <c:pt idx="108">
                  <c:v>78.494623655913969</c:v>
                </c:pt>
                <c:pt idx="109">
                  <c:v>73.765093304061466</c:v>
                </c:pt>
                <c:pt idx="110">
                  <c:v>76.641414141414145</c:v>
                </c:pt>
                <c:pt idx="111">
                  <c:v>68.448637316561843</c:v>
                </c:pt>
                <c:pt idx="112">
                  <c:v>62.325581395348841</c:v>
                </c:pt>
                <c:pt idx="113">
                  <c:v>61.335187760778865</c:v>
                </c:pt>
                <c:pt idx="114">
                  <c:v>69.143780290791597</c:v>
                </c:pt>
                <c:pt idx="115">
                  <c:v>58.574879227053145</c:v>
                </c:pt>
                <c:pt idx="116">
                  <c:v>48.666666666666671</c:v>
                </c:pt>
                <c:pt idx="117">
                  <c:v>69.527896995708147</c:v>
                </c:pt>
                <c:pt idx="118">
                  <c:v>64.120781527531079</c:v>
                </c:pt>
                <c:pt idx="119">
                  <c:v>68.025949953660799</c:v>
                </c:pt>
                <c:pt idx="120">
                  <c:v>79.656160458452717</c:v>
                </c:pt>
                <c:pt idx="121">
                  <c:v>79.419525065963057</c:v>
                </c:pt>
                <c:pt idx="122">
                  <c:v>55.402930402930409</c:v>
                </c:pt>
                <c:pt idx="123">
                  <c:v>57.824639289678139</c:v>
                </c:pt>
                <c:pt idx="124">
                  <c:v>68.046709129511669</c:v>
                </c:pt>
                <c:pt idx="125">
                  <c:v>54.938775510204088</c:v>
                </c:pt>
                <c:pt idx="126">
                  <c:v>67.052023121387279</c:v>
                </c:pt>
                <c:pt idx="127">
                  <c:v>87.763713080168785</c:v>
                </c:pt>
                <c:pt idx="128">
                  <c:v>76</c:v>
                </c:pt>
                <c:pt idx="129">
                  <c:v>59.048723897911835</c:v>
                </c:pt>
                <c:pt idx="130">
                  <c:v>56.177156177156171</c:v>
                </c:pt>
                <c:pt idx="131">
                  <c:v>69.035532994923855</c:v>
                </c:pt>
                <c:pt idx="132">
                  <c:v>77.242152466367713</c:v>
                </c:pt>
                <c:pt idx="133">
                  <c:v>67.705735660847878</c:v>
                </c:pt>
                <c:pt idx="134">
                  <c:v>66.13119143239625</c:v>
                </c:pt>
                <c:pt idx="135">
                  <c:v>69.56004756242568</c:v>
                </c:pt>
                <c:pt idx="136">
                  <c:v>59.974424552429674</c:v>
                </c:pt>
                <c:pt idx="137">
                  <c:v>67.183462532299743</c:v>
                </c:pt>
                <c:pt idx="138">
                  <c:v>63.700234192037477</c:v>
                </c:pt>
                <c:pt idx="139">
                  <c:v>85.914179104477611</c:v>
                </c:pt>
                <c:pt idx="140">
                  <c:v>75.311438278595702</c:v>
                </c:pt>
                <c:pt idx="141">
                  <c:v>73.091849935316944</c:v>
                </c:pt>
                <c:pt idx="142">
                  <c:v>66.837387964148533</c:v>
                </c:pt>
                <c:pt idx="143">
                  <c:v>59.410430839002274</c:v>
                </c:pt>
                <c:pt idx="144">
                  <c:v>58.906030855539967</c:v>
                </c:pt>
                <c:pt idx="145">
                  <c:v>57.971014492753625</c:v>
                </c:pt>
                <c:pt idx="146">
                  <c:v>58.178603006189213</c:v>
                </c:pt>
                <c:pt idx="147">
                  <c:v>82.236024844720504</c:v>
                </c:pt>
                <c:pt idx="148">
                  <c:v>67.141009055627421</c:v>
                </c:pt>
                <c:pt idx="149">
                  <c:v>61.23893805309735</c:v>
                </c:pt>
                <c:pt idx="150">
                  <c:v>76.127819548872182</c:v>
                </c:pt>
                <c:pt idx="151">
                  <c:v>64.940239043824704</c:v>
                </c:pt>
                <c:pt idx="152">
                  <c:v>72.914147521160828</c:v>
                </c:pt>
                <c:pt idx="153">
                  <c:v>70.114942528735639</c:v>
                </c:pt>
                <c:pt idx="154">
                  <c:v>62.882096069869</c:v>
                </c:pt>
                <c:pt idx="155">
                  <c:v>75.040387722132479</c:v>
                </c:pt>
                <c:pt idx="156">
                  <c:v>67.303609341825904</c:v>
                </c:pt>
                <c:pt idx="157">
                  <c:v>79.935275080906152</c:v>
                </c:pt>
                <c:pt idx="158">
                  <c:v>62.988966900702103</c:v>
                </c:pt>
                <c:pt idx="159">
                  <c:v>77.92</c:v>
                </c:pt>
                <c:pt idx="160">
                  <c:v>71.679859278803875</c:v>
                </c:pt>
                <c:pt idx="161">
                  <c:v>59.266600594648168</c:v>
                </c:pt>
                <c:pt idx="162">
                  <c:v>67.567567567567565</c:v>
                </c:pt>
                <c:pt idx="163">
                  <c:v>66.941297631307933</c:v>
                </c:pt>
                <c:pt idx="164">
                  <c:v>60.695187165775401</c:v>
                </c:pt>
                <c:pt idx="165">
                  <c:v>67.919463087248317</c:v>
                </c:pt>
                <c:pt idx="166">
                  <c:v>62.328767123287676</c:v>
                </c:pt>
                <c:pt idx="167">
                  <c:v>60.566037735849051</c:v>
                </c:pt>
                <c:pt idx="168">
                  <c:v>64.154589371980677</c:v>
                </c:pt>
                <c:pt idx="169">
                  <c:v>77.754677754677758</c:v>
                </c:pt>
                <c:pt idx="170">
                  <c:v>74.673629242819842</c:v>
                </c:pt>
                <c:pt idx="171">
                  <c:v>65.238678090575277</c:v>
                </c:pt>
                <c:pt idx="172">
                  <c:v>77.376033057851231</c:v>
                </c:pt>
                <c:pt idx="173">
                  <c:v>62.430167597765362</c:v>
                </c:pt>
                <c:pt idx="174">
                  <c:v>77.571428571428569</c:v>
                </c:pt>
                <c:pt idx="175">
                  <c:v>58.858102434928625</c:v>
                </c:pt>
                <c:pt idx="176">
                  <c:v>69.527896995708147</c:v>
                </c:pt>
                <c:pt idx="177">
                  <c:v>60.183486238532112</c:v>
                </c:pt>
                <c:pt idx="178">
                  <c:v>61.514522821576769</c:v>
                </c:pt>
                <c:pt idx="179">
                  <c:v>65.870786516853926</c:v>
                </c:pt>
                <c:pt idx="180">
                  <c:v>71.928251121076244</c:v>
                </c:pt>
                <c:pt idx="181">
                  <c:v>63.04347826086957</c:v>
                </c:pt>
                <c:pt idx="182">
                  <c:v>63.814616755793232</c:v>
                </c:pt>
                <c:pt idx="183">
                  <c:v>64.580152671755727</c:v>
                </c:pt>
                <c:pt idx="184">
                  <c:v>71.656050955414003</c:v>
                </c:pt>
                <c:pt idx="185">
                  <c:v>80.527086383601755</c:v>
                </c:pt>
                <c:pt idx="186">
                  <c:v>81.111111111111114</c:v>
                </c:pt>
                <c:pt idx="187">
                  <c:v>83.611111111111114</c:v>
                </c:pt>
                <c:pt idx="188">
                  <c:v>78.536184210526315</c:v>
                </c:pt>
                <c:pt idx="189">
                  <c:v>84.487179487179489</c:v>
                </c:pt>
                <c:pt idx="190">
                  <c:v>67.319587628865989</c:v>
                </c:pt>
                <c:pt idx="191">
                  <c:v>64.019138755980862</c:v>
                </c:pt>
                <c:pt idx="192">
                  <c:v>72.91518175338561</c:v>
                </c:pt>
                <c:pt idx="193">
                  <c:v>66.614296936370778</c:v>
                </c:pt>
                <c:pt idx="194">
                  <c:v>69.447236180904525</c:v>
                </c:pt>
                <c:pt idx="195">
                  <c:v>71.096654275092945</c:v>
                </c:pt>
                <c:pt idx="196">
                  <c:v>65.973072215422278</c:v>
                </c:pt>
                <c:pt idx="197">
                  <c:v>58.700209643605874</c:v>
                </c:pt>
                <c:pt idx="198">
                  <c:v>75.908479138627186</c:v>
                </c:pt>
                <c:pt idx="199">
                  <c:v>76.519337016574582</c:v>
                </c:pt>
                <c:pt idx="200">
                  <c:v>60.227272727272727</c:v>
                </c:pt>
                <c:pt idx="201">
                  <c:v>53.454894433781185</c:v>
                </c:pt>
                <c:pt idx="202">
                  <c:v>75.398230088495581</c:v>
                </c:pt>
                <c:pt idx="203">
                  <c:v>64.973464746019715</c:v>
                </c:pt>
                <c:pt idx="204">
                  <c:v>65.189189189189193</c:v>
                </c:pt>
                <c:pt idx="205">
                  <c:v>64.616935483870961</c:v>
                </c:pt>
                <c:pt idx="206">
                  <c:v>66.245259165613149</c:v>
                </c:pt>
                <c:pt idx="207">
                  <c:v>66.802168021680217</c:v>
                </c:pt>
                <c:pt idx="208">
                  <c:v>63.162467419635107</c:v>
                </c:pt>
                <c:pt idx="209">
                  <c:v>68.374816983894576</c:v>
                </c:pt>
                <c:pt idx="210">
                  <c:v>77.777777777777786</c:v>
                </c:pt>
                <c:pt idx="211">
                  <c:v>67.320261437908499</c:v>
                </c:pt>
                <c:pt idx="212">
                  <c:v>63.779527559055119</c:v>
                </c:pt>
                <c:pt idx="213">
                  <c:v>62.921348314606739</c:v>
                </c:pt>
                <c:pt idx="214">
                  <c:v>68.070175438596493</c:v>
                </c:pt>
                <c:pt idx="215">
                  <c:v>78.726287262872631</c:v>
                </c:pt>
                <c:pt idx="216">
                  <c:v>69.925925925925924</c:v>
                </c:pt>
                <c:pt idx="217">
                  <c:v>74.193548387096769</c:v>
                </c:pt>
                <c:pt idx="218">
                  <c:v>76.564277588168366</c:v>
                </c:pt>
                <c:pt idx="219">
                  <c:v>72.493887530562347</c:v>
                </c:pt>
                <c:pt idx="220">
                  <c:v>79.253112033195023</c:v>
                </c:pt>
                <c:pt idx="221">
                  <c:v>78.466741826381053</c:v>
                </c:pt>
                <c:pt idx="222">
                  <c:v>72.535211267605632</c:v>
                </c:pt>
                <c:pt idx="223">
                  <c:v>75.877862595419842</c:v>
                </c:pt>
                <c:pt idx="224">
                  <c:v>71.927162367223062</c:v>
                </c:pt>
                <c:pt idx="225">
                  <c:v>65.716753022452508</c:v>
                </c:pt>
                <c:pt idx="226">
                  <c:v>73.832599118942738</c:v>
                </c:pt>
                <c:pt idx="227">
                  <c:v>64.069264069264065</c:v>
                </c:pt>
                <c:pt idx="228">
                  <c:v>65.061728395061721</c:v>
                </c:pt>
                <c:pt idx="229">
                  <c:v>64.074650077760495</c:v>
                </c:pt>
                <c:pt idx="230">
                  <c:v>73.774230330672751</c:v>
                </c:pt>
                <c:pt idx="231">
                  <c:v>78.156312625250507</c:v>
                </c:pt>
                <c:pt idx="232">
                  <c:v>77.879133409350061</c:v>
                </c:pt>
                <c:pt idx="233">
                  <c:v>80.02421307506053</c:v>
                </c:pt>
                <c:pt idx="234">
                  <c:v>72.808586762075137</c:v>
                </c:pt>
                <c:pt idx="235">
                  <c:v>62.43654822335025</c:v>
                </c:pt>
                <c:pt idx="236">
                  <c:v>63.838223632038058</c:v>
                </c:pt>
                <c:pt idx="237">
                  <c:v>62.397540983606561</c:v>
                </c:pt>
                <c:pt idx="238">
                  <c:v>71.774193548387103</c:v>
                </c:pt>
                <c:pt idx="239">
                  <c:v>84.16988416988417</c:v>
                </c:pt>
                <c:pt idx="240">
                  <c:v>66.889312977099237</c:v>
                </c:pt>
                <c:pt idx="241">
                  <c:v>72.67025089605734</c:v>
                </c:pt>
                <c:pt idx="242">
                  <c:v>82.35294117647058</c:v>
                </c:pt>
                <c:pt idx="243">
                  <c:v>61.06194690265486</c:v>
                </c:pt>
                <c:pt idx="244">
                  <c:v>59.407407407407412</c:v>
                </c:pt>
                <c:pt idx="245">
                  <c:v>63.520678685047713</c:v>
                </c:pt>
                <c:pt idx="246">
                  <c:v>61.435406698564599</c:v>
                </c:pt>
                <c:pt idx="247">
                  <c:v>68.36363636363636</c:v>
                </c:pt>
                <c:pt idx="248">
                  <c:v>82.021151586368973</c:v>
                </c:pt>
                <c:pt idx="249">
                  <c:v>85.372714486638529</c:v>
                </c:pt>
                <c:pt idx="250">
                  <c:v>73.358208955223887</c:v>
                </c:pt>
                <c:pt idx="251">
                  <c:v>62.472406181015451</c:v>
                </c:pt>
                <c:pt idx="252">
                  <c:v>63.84976525821596</c:v>
                </c:pt>
                <c:pt idx="253">
                  <c:v>61.611785095320627</c:v>
                </c:pt>
                <c:pt idx="254">
                  <c:v>61.173814898419863</c:v>
                </c:pt>
                <c:pt idx="255">
                  <c:v>53.194263363754892</c:v>
                </c:pt>
                <c:pt idx="256">
                  <c:v>49.155405405405403</c:v>
                </c:pt>
                <c:pt idx="257">
                  <c:v>69.026548672566364</c:v>
                </c:pt>
                <c:pt idx="258">
                  <c:v>79.642058165548107</c:v>
                </c:pt>
                <c:pt idx="259">
                  <c:v>65.619546247818491</c:v>
                </c:pt>
                <c:pt idx="260">
                  <c:v>86.024423337856177</c:v>
                </c:pt>
                <c:pt idx="261">
                  <c:v>74.734356552538372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71-450D-B446-D0BDBDB71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608592"/>
        <c:axId val="510601392"/>
      </c:scatterChart>
      <c:valAx>
        <c:axId val="51060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01392"/>
        <c:crosses val="autoZero"/>
        <c:crossBetween val="midCat"/>
      </c:valAx>
      <c:valAx>
        <c:axId val="51060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0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466725</xdr:colOff>
      <xdr:row>1</xdr:row>
      <xdr:rowOff>557212</xdr:rowOff>
    </xdr:from>
    <xdr:to>
      <xdr:col>37</xdr:col>
      <xdr:colOff>161925</xdr:colOff>
      <xdr:row>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CBF48-2C7F-65CC-CD5E-BBC63BB86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7"/>
  <sheetViews>
    <sheetView tabSelected="1" topLeftCell="J1" workbookViewId="0">
      <pane ySplit="1" topLeftCell="A65" activePane="bottomLeft" state="frozen"/>
      <selection activeCell="J1" sqref="J1"/>
      <selection pane="bottomLeft" activeCell="AE72" sqref="AE72"/>
    </sheetView>
  </sheetViews>
  <sheetFormatPr defaultRowHeight="49.5" customHeight="1" x14ac:dyDescent="0.25"/>
  <cols>
    <col min="1" max="1" width="9.140625" style="3"/>
    <col min="16" max="16" width="9.140625" style="3"/>
    <col min="24" max="24" width="10.28515625" style="4" customWidth="1"/>
    <col min="25" max="26" width="9.140625" style="3"/>
    <col min="28" max="28" width="11.5703125" bestFit="1" customWidth="1"/>
  </cols>
  <sheetData>
    <row r="1" spans="1:28" s="1" customFormat="1" ht="49.5" customHeight="1" x14ac:dyDescent="0.25">
      <c r="A1" s="12" t="s">
        <v>16</v>
      </c>
      <c r="B1" s="13" t="s">
        <v>15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17</v>
      </c>
      <c r="I1" s="13" t="s">
        <v>18</v>
      </c>
      <c r="J1" s="13" t="s">
        <v>19</v>
      </c>
      <c r="K1" s="13" t="s">
        <v>20</v>
      </c>
      <c r="L1" s="13" t="s">
        <v>5</v>
      </c>
      <c r="M1" s="13" t="s">
        <v>6</v>
      </c>
      <c r="N1" s="13" t="s">
        <v>7</v>
      </c>
      <c r="O1" s="13" t="s">
        <v>8</v>
      </c>
      <c r="P1" s="12" t="s">
        <v>9</v>
      </c>
      <c r="Q1" s="13" t="s">
        <v>21</v>
      </c>
      <c r="R1" s="13" t="s">
        <v>10</v>
      </c>
      <c r="S1" s="13" t="s">
        <v>22</v>
      </c>
      <c r="T1" s="13" t="s">
        <v>11</v>
      </c>
      <c r="U1" s="12" t="s">
        <v>23</v>
      </c>
      <c r="V1" s="12" t="s">
        <v>24</v>
      </c>
      <c r="W1" s="12" t="s">
        <v>25</v>
      </c>
      <c r="X1" s="12" t="s">
        <v>405</v>
      </c>
      <c r="Y1" s="12" t="s">
        <v>406</v>
      </c>
      <c r="Z1" s="12" t="s">
        <v>407</v>
      </c>
      <c r="AA1" s="12" t="s">
        <v>408</v>
      </c>
      <c r="AB1" s="12" t="s">
        <v>409</v>
      </c>
    </row>
    <row r="2" spans="1:28" s="1" customFormat="1" ht="49.5" customHeight="1" x14ac:dyDescent="0.25">
      <c r="A2" s="5"/>
      <c r="B2" s="2" t="s">
        <v>396</v>
      </c>
      <c r="C2" s="2" t="s">
        <v>397</v>
      </c>
      <c r="D2" s="2" t="s">
        <v>398</v>
      </c>
      <c r="E2" s="2" t="s">
        <v>399</v>
      </c>
      <c r="F2" s="2" t="s">
        <v>400</v>
      </c>
      <c r="G2" s="5" t="s">
        <v>401</v>
      </c>
      <c r="H2" s="5" t="s">
        <v>402</v>
      </c>
      <c r="I2" s="5" t="s">
        <v>403</v>
      </c>
      <c r="J2" s="5" t="s">
        <v>404</v>
      </c>
      <c r="K2" s="5" t="s">
        <v>404</v>
      </c>
      <c r="L2" s="5" t="s">
        <v>404</v>
      </c>
      <c r="M2" s="5" t="s">
        <v>404</v>
      </c>
      <c r="N2" s="5" t="s">
        <v>404</v>
      </c>
      <c r="O2" s="5" t="s">
        <v>404</v>
      </c>
      <c r="P2" s="5"/>
      <c r="Q2" s="2"/>
      <c r="R2" s="2"/>
      <c r="S2" s="2"/>
      <c r="T2" s="2"/>
      <c r="U2" s="5"/>
      <c r="V2" s="5"/>
      <c r="W2" s="5"/>
      <c r="X2" s="5"/>
      <c r="Y2" s="5"/>
      <c r="Z2" s="5"/>
      <c r="AA2" s="15"/>
      <c r="AB2" s="15"/>
    </row>
    <row r="3" spans="1:28" ht="49.5" customHeight="1" x14ac:dyDescent="0.25">
      <c r="A3" s="7">
        <v>1</v>
      </c>
      <c r="B3" s="8">
        <v>171</v>
      </c>
      <c r="C3" s="8">
        <v>229</v>
      </c>
      <c r="D3" s="8">
        <v>23</v>
      </c>
      <c r="E3" s="8">
        <v>0</v>
      </c>
      <c r="F3" s="8">
        <v>1</v>
      </c>
      <c r="G3" s="8">
        <v>2</v>
      </c>
      <c r="H3" s="8">
        <v>0</v>
      </c>
      <c r="I3" s="8">
        <v>0</v>
      </c>
      <c r="J3" s="8">
        <v>1</v>
      </c>
      <c r="K3" s="8">
        <v>2</v>
      </c>
      <c r="L3" s="8">
        <v>1</v>
      </c>
      <c r="M3" s="8">
        <v>0</v>
      </c>
      <c r="N3" s="8">
        <v>0</v>
      </c>
      <c r="O3" s="8">
        <v>6</v>
      </c>
      <c r="P3" s="7">
        <v>436</v>
      </c>
      <c r="Q3" s="7">
        <v>0</v>
      </c>
      <c r="R3" s="7">
        <v>3</v>
      </c>
      <c r="S3" s="8">
        <v>439</v>
      </c>
      <c r="T3" s="7">
        <v>0</v>
      </c>
      <c r="U3" s="7">
        <v>1</v>
      </c>
      <c r="V3" s="8" t="s">
        <v>26</v>
      </c>
      <c r="W3" s="14" t="s">
        <v>27</v>
      </c>
      <c r="X3" s="4">
        <v>722</v>
      </c>
      <c r="Y3" s="3">
        <v>421</v>
      </c>
      <c r="Z3" s="3">
        <v>301</v>
      </c>
      <c r="AA3" s="3">
        <f>MAX(B3,D3)-MIN(B3,D3)</f>
        <v>148</v>
      </c>
      <c r="AB3" s="11">
        <f>(P3/X3)*100</f>
        <v>60.387811634349035</v>
      </c>
    </row>
    <row r="4" spans="1:28" ht="49.5" customHeight="1" x14ac:dyDescent="0.25">
      <c r="A4" s="7">
        <v>2</v>
      </c>
      <c r="B4" s="8">
        <v>162</v>
      </c>
      <c r="C4" s="8">
        <v>389</v>
      </c>
      <c r="D4" s="8">
        <v>48</v>
      </c>
      <c r="E4" s="8">
        <v>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</v>
      </c>
      <c r="M4" s="8">
        <v>2</v>
      </c>
      <c r="N4" s="8">
        <v>2</v>
      </c>
      <c r="O4" s="8">
        <v>3</v>
      </c>
      <c r="P4" s="7">
        <v>610</v>
      </c>
      <c r="Q4" s="7">
        <v>0</v>
      </c>
      <c r="R4" s="7">
        <v>6</v>
      </c>
      <c r="S4" s="8">
        <v>616</v>
      </c>
      <c r="T4" s="7">
        <v>0</v>
      </c>
      <c r="U4" s="7">
        <v>2</v>
      </c>
      <c r="V4" s="8" t="s">
        <v>28</v>
      </c>
      <c r="W4" s="8" t="s">
        <v>29</v>
      </c>
      <c r="X4" s="4">
        <v>1001</v>
      </c>
      <c r="Y4" s="3">
        <v>572</v>
      </c>
      <c r="Z4" s="3">
        <v>429</v>
      </c>
      <c r="AA4" s="3">
        <f t="shared" ref="AA4:AA67" si="0">MAX(B4,D4)-MIN(B4,D4)</f>
        <v>114</v>
      </c>
      <c r="AB4" s="11">
        <f t="shared" ref="AB4:AB67" si="1">(P4/X4)*100</f>
        <v>60.939060939060937</v>
      </c>
    </row>
    <row r="5" spans="1:28" ht="49.5" customHeight="1" x14ac:dyDescent="0.25">
      <c r="A5" s="7">
        <v>3</v>
      </c>
      <c r="B5" s="8">
        <v>210</v>
      </c>
      <c r="C5" s="8">
        <v>437</v>
      </c>
      <c r="D5" s="8">
        <v>18</v>
      </c>
      <c r="E5" s="8">
        <v>1</v>
      </c>
      <c r="F5" s="8">
        <v>0</v>
      </c>
      <c r="G5" s="8">
        <v>2</v>
      </c>
      <c r="H5" s="8">
        <v>0</v>
      </c>
      <c r="I5" s="8">
        <v>0</v>
      </c>
      <c r="J5" s="8">
        <v>2</v>
      </c>
      <c r="K5" s="8">
        <v>0</v>
      </c>
      <c r="L5" s="8">
        <v>1</v>
      </c>
      <c r="M5" s="8">
        <v>0</v>
      </c>
      <c r="N5" s="8">
        <v>2</v>
      </c>
      <c r="O5" s="8">
        <v>6</v>
      </c>
      <c r="P5" s="7">
        <v>679</v>
      </c>
      <c r="Q5" s="7">
        <v>0</v>
      </c>
      <c r="R5" s="7">
        <v>4</v>
      </c>
      <c r="S5" s="8">
        <v>683</v>
      </c>
      <c r="T5" s="7">
        <v>0</v>
      </c>
      <c r="U5" s="7">
        <v>3</v>
      </c>
      <c r="V5" s="8" t="s">
        <v>30</v>
      </c>
      <c r="W5" s="8" t="s">
        <v>31</v>
      </c>
      <c r="X5" s="4">
        <v>1286</v>
      </c>
      <c r="Y5" s="3">
        <v>758</v>
      </c>
      <c r="Z5" s="3">
        <v>528</v>
      </c>
      <c r="AA5" s="3">
        <f t="shared" si="0"/>
        <v>192</v>
      </c>
      <c r="AB5" s="11">
        <f t="shared" si="1"/>
        <v>52.799377916018663</v>
      </c>
    </row>
    <row r="6" spans="1:28" ht="49.5" customHeight="1" x14ac:dyDescent="0.25">
      <c r="A6" s="7">
        <v>4</v>
      </c>
      <c r="B6" s="8">
        <v>256</v>
      </c>
      <c r="C6" s="8">
        <v>118</v>
      </c>
      <c r="D6" s="8">
        <v>49</v>
      </c>
      <c r="E6" s="8">
        <v>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</v>
      </c>
      <c r="L6" s="8">
        <v>0</v>
      </c>
      <c r="M6" s="8">
        <v>0</v>
      </c>
      <c r="N6" s="8">
        <v>0</v>
      </c>
      <c r="O6" s="8">
        <v>2</v>
      </c>
      <c r="P6" s="7">
        <v>429</v>
      </c>
      <c r="Q6" s="7">
        <v>0</v>
      </c>
      <c r="R6" s="7">
        <v>3</v>
      </c>
      <c r="S6" s="8">
        <v>432</v>
      </c>
      <c r="T6" s="7">
        <v>0</v>
      </c>
      <c r="U6" s="7">
        <v>4</v>
      </c>
      <c r="V6" s="8" t="s">
        <v>32</v>
      </c>
      <c r="W6" s="8" t="s">
        <v>33</v>
      </c>
      <c r="X6" s="4">
        <v>630</v>
      </c>
      <c r="Y6" s="3">
        <v>346</v>
      </c>
      <c r="Z6" s="3">
        <v>280</v>
      </c>
      <c r="AA6" s="3">
        <f t="shared" si="0"/>
        <v>207</v>
      </c>
      <c r="AB6" s="11">
        <f t="shared" si="1"/>
        <v>68.095238095238102</v>
      </c>
    </row>
    <row r="7" spans="1:28" ht="49.5" customHeight="1" x14ac:dyDescent="0.25">
      <c r="A7" s="7">
        <v>5</v>
      </c>
      <c r="B7" s="8">
        <v>524</v>
      </c>
      <c r="C7" s="8">
        <v>246</v>
      </c>
      <c r="D7" s="8">
        <v>25</v>
      </c>
      <c r="E7" s="8">
        <v>2</v>
      </c>
      <c r="F7" s="8">
        <v>0</v>
      </c>
      <c r="G7" s="8">
        <v>0</v>
      </c>
      <c r="H7" s="8">
        <v>0</v>
      </c>
      <c r="I7" s="8">
        <v>1</v>
      </c>
      <c r="J7" s="8">
        <v>0</v>
      </c>
      <c r="K7" s="8">
        <v>0</v>
      </c>
      <c r="L7" s="8">
        <v>1</v>
      </c>
      <c r="M7" s="8">
        <v>0</v>
      </c>
      <c r="N7" s="8">
        <v>0</v>
      </c>
      <c r="O7" s="8">
        <v>2</v>
      </c>
      <c r="P7" s="7">
        <v>801</v>
      </c>
      <c r="Q7" s="7">
        <v>0</v>
      </c>
      <c r="R7" s="7">
        <v>1</v>
      </c>
      <c r="S7" s="8">
        <v>802</v>
      </c>
      <c r="T7" s="7">
        <v>0</v>
      </c>
      <c r="U7" s="7">
        <v>5</v>
      </c>
      <c r="V7" s="8" t="s">
        <v>34</v>
      </c>
      <c r="W7" s="8" t="s">
        <v>35</v>
      </c>
      <c r="X7" s="4">
        <v>1006</v>
      </c>
      <c r="Y7" s="3">
        <v>563</v>
      </c>
      <c r="Z7" s="3">
        <v>443</v>
      </c>
      <c r="AA7" s="3">
        <f t="shared" si="0"/>
        <v>499</v>
      </c>
      <c r="AB7" s="11">
        <f t="shared" si="1"/>
        <v>79.622266401590451</v>
      </c>
    </row>
    <row r="8" spans="1:28" ht="49.5" customHeight="1" x14ac:dyDescent="0.25">
      <c r="A8" s="7">
        <v>6</v>
      </c>
      <c r="B8" s="8">
        <v>455</v>
      </c>
      <c r="C8" s="8">
        <v>29</v>
      </c>
      <c r="D8" s="8">
        <v>9</v>
      </c>
      <c r="E8" s="8">
        <v>1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7">
        <v>494</v>
      </c>
      <c r="Q8" s="7">
        <v>0</v>
      </c>
      <c r="R8" s="7">
        <v>3</v>
      </c>
      <c r="S8" s="8">
        <v>497</v>
      </c>
      <c r="T8" s="7">
        <v>0</v>
      </c>
      <c r="U8" s="7">
        <v>6</v>
      </c>
      <c r="V8" s="8" t="s">
        <v>36</v>
      </c>
      <c r="W8" s="8" t="s">
        <v>37</v>
      </c>
      <c r="X8" s="4">
        <v>681</v>
      </c>
      <c r="Y8" s="3">
        <v>364</v>
      </c>
      <c r="Z8" s="3">
        <v>317</v>
      </c>
      <c r="AA8" s="3">
        <f t="shared" si="0"/>
        <v>446</v>
      </c>
      <c r="AB8" s="11">
        <f t="shared" si="1"/>
        <v>72.540381791483114</v>
      </c>
    </row>
    <row r="9" spans="1:28" ht="49.5" customHeight="1" x14ac:dyDescent="0.25">
      <c r="A9" s="7">
        <v>7</v>
      </c>
      <c r="B9" s="8">
        <v>298</v>
      </c>
      <c r="C9" s="8">
        <v>108</v>
      </c>
      <c r="D9" s="8">
        <v>27</v>
      </c>
      <c r="E9" s="8">
        <v>3</v>
      </c>
      <c r="F9" s="8">
        <v>0</v>
      </c>
      <c r="G9" s="8">
        <v>0</v>
      </c>
      <c r="H9" s="8">
        <v>5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4</v>
      </c>
      <c r="P9" s="7">
        <v>445</v>
      </c>
      <c r="Q9" s="7">
        <v>0</v>
      </c>
      <c r="R9" s="7">
        <v>4</v>
      </c>
      <c r="S9" s="8">
        <v>449</v>
      </c>
      <c r="T9" s="7">
        <v>0</v>
      </c>
      <c r="U9" s="7">
        <v>7</v>
      </c>
      <c r="V9" s="8" t="s">
        <v>36</v>
      </c>
      <c r="W9" s="8" t="s">
        <v>38</v>
      </c>
      <c r="X9" s="4">
        <v>782</v>
      </c>
      <c r="Y9" s="3">
        <v>427</v>
      </c>
      <c r="Z9" s="3">
        <v>354</v>
      </c>
      <c r="AA9" s="3">
        <f t="shared" si="0"/>
        <v>271</v>
      </c>
      <c r="AB9" s="11">
        <f t="shared" si="1"/>
        <v>56.905370843989765</v>
      </c>
    </row>
    <row r="10" spans="1:28" ht="49.5" customHeight="1" x14ac:dyDescent="0.25">
      <c r="A10" s="7">
        <v>8</v>
      </c>
      <c r="B10" s="8">
        <v>138</v>
      </c>
      <c r="C10" s="8">
        <v>105</v>
      </c>
      <c r="D10" s="8">
        <v>49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1</v>
      </c>
      <c r="L10" s="8">
        <v>0</v>
      </c>
      <c r="M10" s="8">
        <v>0</v>
      </c>
      <c r="N10" s="8">
        <v>1</v>
      </c>
      <c r="O10" s="8">
        <v>1</v>
      </c>
      <c r="P10" s="7">
        <v>295</v>
      </c>
      <c r="Q10" s="7">
        <v>0</v>
      </c>
      <c r="R10" s="7">
        <v>1</v>
      </c>
      <c r="S10" s="8">
        <v>296</v>
      </c>
      <c r="T10" s="7">
        <v>0</v>
      </c>
      <c r="U10" s="7">
        <v>8</v>
      </c>
      <c r="V10" s="8" t="s">
        <v>39</v>
      </c>
      <c r="W10" s="8" t="s">
        <v>40</v>
      </c>
      <c r="X10" s="4">
        <v>462</v>
      </c>
      <c r="Y10" s="3">
        <v>240</v>
      </c>
      <c r="Z10" s="3">
        <v>222</v>
      </c>
      <c r="AA10" s="3">
        <f t="shared" si="0"/>
        <v>89</v>
      </c>
      <c r="AB10" s="11">
        <f t="shared" si="1"/>
        <v>63.852813852813853</v>
      </c>
    </row>
    <row r="11" spans="1:28" ht="49.5" customHeight="1" x14ac:dyDescent="0.25">
      <c r="A11" s="7">
        <v>9</v>
      </c>
      <c r="B11" s="8">
        <v>504</v>
      </c>
      <c r="C11" s="8">
        <v>131</v>
      </c>
      <c r="D11" s="8">
        <v>60</v>
      </c>
      <c r="E11" s="8">
        <v>2</v>
      </c>
      <c r="F11" s="8">
        <v>1</v>
      </c>
      <c r="G11" s="8">
        <v>1</v>
      </c>
      <c r="H11" s="8">
        <v>0</v>
      </c>
      <c r="I11" s="8">
        <v>1</v>
      </c>
      <c r="J11" s="8">
        <v>1</v>
      </c>
      <c r="K11" s="8">
        <v>0</v>
      </c>
      <c r="L11" s="8">
        <v>0</v>
      </c>
      <c r="M11" s="8">
        <v>2</v>
      </c>
      <c r="N11" s="8">
        <v>0</v>
      </c>
      <c r="O11" s="8">
        <v>1</v>
      </c>
      <c r="P11" s="7">
        <v>704</v>
      </c>
      <c r="Q11" s="7">
        <v>0</v>
      </c>
      <c r="R11" s="7">
        <v>1</v>
      </c>
      <c r="S11" s="8">
        <v>705</v>
      </c>
      <c r="T11" s="7">
        <v>0</v>
      </c>
      <c r="U11" s="7">
        <v>9</v>
      </c>
      <c r="V11" s="8" t="s">
        <v>41</v>
      </c>
      <c r="W11" s="8" t="s">
        <v>42</v>
      </c>
      <c r="X11" s="4">
        <v>992</v>
      </c>
      <c r="Y11" s="3">
        <v>519</v>
      </c>
      <c r="Z11" s="3">
        <v>473</v>
      </c>
      <c r="AA11" s="3">
        <f t="shared" si="0"/>
        <v>444</v>
      </c>
      <c r="AB11" s="11">
        <f t="shared" si="1"/>
        <v>70.967741935483872</v>
      </c>
    </row>
    <row r="12" spans="1:28" ht="49.5" customHeight="1" x14ac:dyDescent="0.25">
      <c r="A12" s="7">
        <v>10</v>
      </c>
      <c r="B12" s="8">
        <v>699</v>
      </c>
      <c r="C12" s="8">
        <v>102</v>
      </c>
      <c r="D12" s="8">
        <v>104</v>
      </c>
      <c r="E12" s="8">
        <v>3</v>
      </c>
      <c r="F12" s="8">
        <v>0</v>
      </c>
      <c r="G12" s="8">
        <v>0</v>
      </c>
      <c r="H12" s="8">
        <v>0</v>
      </c>
      <c r="I12" s="8">
        <v>0</v>
      </c>
      <c r="J12" s="8">
        <v>2</v>
      </c>
      <c r="K12" s="8">
        <v>0</v>
      </c>
      <c r="L12" s="8">
        <v>1</v>
      </c>
      <c r="M12" s="8">
        <v>0</v>
      </c>
      <c r="N12" s="8">
        <v>0</v>
      </c>
      <c r="O12" s="8">
        <v>0</v>
      </c>
      <c r="P12" s="7">
        <v>911</v>
      </c>
      <c r="Q12" s="7">
        <v>0</v>
      </c>
      <c r="R12" s="7">
        <v>3</v>
      </c>
      <c r="S12" s="8">
        <v>914</v>
      </c>
      <c r="T12" s="7">
        <v>0</v>
      </c>
      <c r="U12" s="7">
        <v>10</v>
      </c>
      <c r="V12" s="8" t="s">
        <v>41</v>
      </c>
      <c r="W12" s="8" t="s">
        <v>43</v>
      </c>
      <c r="X12" s="4">
        <v>1304</v>
      </c>
      <c r="Y12" s="3">
        <v>700</v>
      </c>
      <c r="Z12" s="3">
        <v>604</v>
      </c>
      <c r="AA12" s="3">
        <f t="shared" si="0"/>
        <v>595</v>
      </c>
      <c r="AB12" s="11">
        <f t="shared" si="1"/>
        <v>69.861963190184056</v>
      </c>
    </row>
    <row r="13" spans="1:28" ht="49.5" customHeight="1" x14ac:dyDescent="0.25">
      <c r="A13" s="7">
        <v>11</v>
      </c>
      <c r="B13" s="8">
        <v>15</v>
      </c>
      <c r="C13" s="8">
        <v>155</v>
      </c>
      <c r="D13" s="8">
        <v>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7">
        <v>173</v>
      </c>
      <c r="Q13" s="7">
        <v>0</v>
      </c>
      <c r="R13" s="7">
        <v>1</v>
      </c>
      <c r="S13" s="8">
        <v>174</v>
      </c>
      <c r="T13" s="7">
        <v>0</v>
      </c>
      <c r="U13" s="7">
        <v>11</v>
      </c>
      <c r="V13" s="8" t="s">
        <v>41</v>
      </c>
      <c r="W13" s="8" t="s">
        <v>44</v>
      </c>
      <c r="X13" s="4">
        <v>239</v>
      </c>
      <c r="Y13" s="3">
        <v>122</v>
      </c>
      <c r="Z13" s="3">
        <v>117</v>
      </c>
      <c r="AA13" s="3">
        <f t="shared" si="0"/>
        <v>13</v>
      </c>
      <c r="AB13" s="11">
        <f t="shared" si="1"/>
        <v>72.38493723849372</v>
      </c>
    </row>
    <row r="14" spans="1:28" ht="49.5" customHeight="1" x14ac:dyDescent="0.25">
      <c r="A14" s="7">
        <v>12</v>
      </c>
      <c r="B14" s="8">
        <v>355</v>
      </c>
      <c r="C14" s="8">
        <v>161</v>
      </c>
      <c r="D14" s="8">
        <v>157</v>
      </c>
      <c r="E14" s="8">
        <v>2</v>
      </c>
      <c r="F14" s="8">
        <v>1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1</v>
      </c>
      <c r="M14" s="8">
        <v>0</v>
      </c>
      <c r="N14" s="8">
        <v>0</v>
      </c>
      <c r="O14" s="8">
        <v>1</v>
      </c>
      <c r="P14" s="7">
        <v>679</v>
      </c>
      <c r="Q14" s="7">
        <v>0</v>
      </c>
      <c r="R14" s="7">
        <v>4</v>
      </c>
      <c r="S14" s="8">
        <v>683</v>
      </c>
      <c r="T14" s="7">
        <v>0</v>
      </c>
      <c r="U14" s="7">
        <v>12</v>
      </c>
      <c r="V14" s="8" t="s">
        <v>45</v>
      </c>
      <c r="W14" s="8" t="s">
        <v>46</v>
      </c>
      <c r="X14" s="4">
        <v>889</v>
      </c>
      <c r="Y14" s="3">
        <v>500</v>
      </c>
      <c r="Z14" s="3">
        <v>389</v>
      </c>
      <c r="AA14" s="3">
        <f t="shared" si="0"/>
        <v>198</v>
      </c>
      <c r="AB14" s="11">
        <f t="shared" si="1"/>
        <v>76.377952755905511</v>
      </c>
    </row>
    <row r="15" spans="1:28" ht="49.5" customHeight="1" x14ac:dyDescent="0.25">
      <c r="A15" s="7">
        <v>13</v>
      </c>
      <c r="B15" s="8">
        <v>415</v>
      </c>
      <c r="C15" s="8">
        <v>117</v>
      </c>
      <c r="D15" s="8">
        <v>111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1</v>
      </c>
      <c r="O15" s="8">
        <v>3</v>
      </c>
      <c r="P15" s="7">
        <v>648</v>
      </c>
      <c r="Q15" s="7">
        <v>0</v>
      </c>
      <c r="R15" s="7">
        <v>2</v>
      </c>
      <c r="S15" s="8">
        <v>650</v>
      </c>
      <c r="T15" s="7">
        <v>0</v>
      </c>
      <c r="U15" s="7">
        <v>13</v>
      </c>
      <c r="V15" s="8" t="s">
        <v>45</v>
      </c>
      <c r="W15" s="8" t="s">
        <v>47</v>
      </c>
      <c r="X15" s="4">
        <v>799</v>
      </c>
      <c r="Y15" s="3">
        <v>433</v>
      </c>
      <c r="Z15" s="3">
        <v>366</v>
      </c>
      <c r="AA15" s="3">
        <f t="shared" si="0"/>
        <v>304</v>
      </c>
      <c r="AB15" s="11">
        <f t="shared" si="1"/>
        <v>81.101376720901129</v>
      </c>
    </row>
    <row r="16" spans="1:28" ht="49.5" customHeight="1" x14ac:dyDescent="0.25">
      <c r="A16" s="7">
        <v>14</v>
      </c>
      <c r="B16" s="8">
        <v>281</v>
      </c>
      <c r="C16" s="8">
        <v>76</v>
      </c>
      <c r="D16" s="8">
        <v>130</v>
      </c>
      <c r="E16" s="8">
        <v>1</v>
      </c>
      <c r="F16" s="8">
        <v>2</v>
      </c>
      <c r="G16" s="8">
        <v>0</v>
      </c>
      <c r="H16" s="8">
        <v>2</v>
      </c>
      <c r="I16" s="8">
        <v>0</v>
      </c>
      <c r="J16" s="8">
        <v>0</v>
      </c>
      <c r="K16" s="8">
        <v>0</v>
      </c>
      <c r="L16" s="8">
        <v>0</v>
      </c>
      <c r="M16" s="8">
        <v>1</v>
      </c>
      <c r="N16" s="8">
        <v>1</v>
      </c>
      <c r="O16" s="8">
        <v>2</v>
      </c>
      <c r="P16" s="7">
        <v>496</v>
      </c>
      <c r="Q16" s="7">
        <v>0</v>
      </c>
      <c r="R16" s="7">
        <v>6</v>
      </c>
      <c r="S16" s="8">
        <v>502</v>
      </c>
      <c r="T16" s="7">
        <v>0</v>
      </c>
      <c r="U16" s="7">
        <v>14</v>
      </c>
      <c r="V16" s="8" t="s">
        <v>45</v>
      </c>
      <c r="W16" s="8" t="s">
        <v>48</v>
      </c>
      <c r="X16" s="4">
        <v>791</v>
      </c>
      <c r="Y16" s="3">
        <v>416</v>
      </c>
      <c r="Z16" s="3">
        <v>375</v>
      </c>
      <c r="AA16" s="3">
        <f t="shared" si="0"/>
        <v>151</v>
      </c>
      <c r="AB16" s="11">
        <f t="shared" si="1"/>
        <v>62.705436156763597</v>
      </c>
    </row>
    <row r="17" spans="1:28" ht="49.5" customHeight="1" x14ac:dyDescent="0.25">
      <c r="A17" s="7">
        <v>15</v>
      </c>
      <c r="B17" s="8">
        <v>89</v>
      </c>
      <c r="C17" s="8">
        <v>271</v>
      </c>
      <c r="D17" s="8">
        <v>84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1</v>
      </c>
      <c r="K17" s="8">
        <v>0</v>
      </c>
      <c r="L17" s="8">
        <v>0</v>
      </c>
      <c r="M17" s="8">
        <v>1</v>
      </c>
      <c r="N17" s="8">
        <v>1</v>
      </c>
      <c r="O17" s="8">
        <v>3</v>
      </c>
      <c r="P17" s="7">
        <v>451</v>
      </c>
      <c r="Q17" s="7">
        <v>0</v>
      </c>
      <c r="R17" s="7">
        <v>3</v>
      </c>
      <c r="S17" s="8">
        <v>454</v>
      </c>
      <c r="T17" s="7">
        <v>0</v>
      </c>
      <c r="U17" s="7">
        <v>15</v>
      </c>
      <c r="V17" s="8" t="s">
        <v>45</v>
      </c>
      <c r="W17" s="8" t="s">
        <v>49</v>
      </c>
      <c r="X17" s="4">
        <v>646</v>
      </c>
      <c r="Y17" s="3">
        <v>341</v>
      </c>
      <c r="Z17" s="3">
        <v>305</v>
      </c>
      <c r="AA17" s="3">
        <f t="shared" si="0"/>
        <v>5</v>
      </c>
      <c r="AB17" s="11">
        <f t="shared" si="1"/>
        <v>69.814241486068113</v>
      </c>
    </row>
    <row r="18" spans="1:28" ht="49.5" customHeight="1" x14ac:dyDescent="0.25">
      <c r="A18" s="7">
        <v>16</v>
      </c>
      <c r="B18" s="8">
        <v>88</v>
      </c>
      <c r="C18" s="8">
        <v>177</v>
      </c>
      <c r="D18" s="8">
        <v>7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1</v>
      </c>
      <c r="L18" s="8">
        <v>0</v>
      </c>
      <c r="M18" s="8">
        <v>0</v>
      </c>
      <c r="N18" s="8">
        <v>0</v>
      </c>
      <c r="O18" s="8">
        <v>2</v>
      </c>
      <c r="P18" s="7">
        <v>276</v>
      </c>
      <c r="Q18" s="7">
        <v>0</v>
      </c>
      <c r="R18" s="7" t="e">
        <f>#REF!-P18</f>
        <v>#REF!</v>
      </c>
      <c r="S18" s="8">
        <v>276</v>
      </c>
      <c r="T18" s="7">
        <v>0</v>
      </c>
      <c r="U18" s="7">
        <v>16</v>
      </c>
      <c r="V18" s="8" t="s">
        <v>45</v>
      </c>
      <c r="W18" s="8" t="s">
        <v>50</v>
      </c>
      <c r="X18" s="4">
        <v>431</v>
      </c>
      <c r="Y18" s="3">
        <v>232</v>
      </c>
      <c r="Z18" s="3">
        <v>199</v>
      </c>
      <c r="AA18" s="3">
        <f t="shared" si="0"/>
        <v>81</v>
      </c>
      <c r="AB18" s="11">
        <f t="shared" si="1"/>
        <v>64.037122969837583</v>
      </c>
    </row>
    <row r="19" spans="1:28" ht="49.5" customHeight="1" x14ac:dyDescent="0.25">
      <c r="A19" s="7">
        <v>17</v>
      </c>
      <c r="B19" s="8">
        <v>646</v>
      </c>
      <c r="C19" s="8">
        <v>50</v>
      </c>
      <c r="D19" s="8">
        <v>19</v>
      </c>
      <c r="E19" s="8">
        <v>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</v>
      </c>
      <c r="P19" s="7">
        <v>720</v>
      </c>
      <c r="Q19" s="7">
        <v>0</v>
      </c>
      <c r="R19" s="7">
        <v>3</v>
      </c>
      <c r="S19" s="8">
        <v>723</v>
      </c>
      <c r="T19" s="7">
        <v>0</v>
      </c>
      <c r="U19" s="7">
        <v>17</v>
      </c>
      <c r="V19" s="8" t="s">
        <v>51</v>
      </c>
      <c r="W19" s="8" t="s">
        <v>52</v>
      </c>
      <c r="X19" s="4">
        <v>991</v>
      </c>
      <c r="Y19" s="3">
        <v>536</v>
      </c>
      <c r="Z19" s="3">
        <v>455</v>
      </c>
      <c r="AA19" s="3">
        <f t="shared" si="0"/>
        <v>627</v>
      </c>
      <c r="AB19" s="11">
        <f t="shared" si="1"/>
        <v>72.653884964682135</v>
      </c>
    </row>
    <row r="20" spans="1:28" ht="49.5" customHeight="1" x14ac:dyDescent="0.25">
      <c r="A20" s="9">
        <v>18</v>
      </c>
      <c r="B20" s="10">
        <v>75</v>
      </c>
      <c r="C20" s="10">
        <v>223</v>
      </c>
      <c r="D20" s="10">
        <v>128</v>
      </c>
      <c r="E20" s="10">
        <v>2</v>
      </c>
      <c r="F20" s="10">
        <v>2</v>
      </c>
      <c r="G20" s="10">
        <v>0</v>
      </c>
      <c r="H20" s="10">
        <v>1</v>
      </c>
      <c r="I20" s="10">
        <v>1</v>
      </c>
      <c r="J20" s="10">
        <v>1</v>
      </c>
      <c r="K20" s="10">
        <v>2</v>
      </c>
      <c r="L20" s="10">
        <v>1</v>
      </c>
      <c r="M20" s="10">
        <v>2</v>
      </c>
      <c r="N20" s="10">
        <v>0</v>
      </c>
      <c r="O20" s="10">
        <v>4</v>
      </c>
      <c r="P20" s="9">
        <v>442</v>
      </c>
      <c r="Q20" s="9">
        <v>0</v>
      </c>
      <c r="R20" s="9">
        <v>4</v>
      </c>
      <c r="S20" s="10">
        <v>446</v>
      </c>
      <c r="T20" s="9">
        <v>0</v>
      </c>
      <c r="U20" s="9">
        <v>18</v>
      </c>
      <c r="V20" s="10" t="s">
        <v>51</v>
      </c>
      <c r="W20" s="10" t="s">
        <v>53</v>
      </c>
      <c r="X20" s="4">
        <v>546</v>
      </c>
      <c r="Y20" s="3">
        <v>292</v>
      </c>
      <c r="Z20" s="3">
        <v>254</v>
      </c>
      <c r="AA20" s="3">
        <f t="shared" si="0"/>
        <v>53</v>
      </c>
      <c r="AB20" s="11">
        <f t="shared" si="1"/>
        <v>80.952380952380949</v>
      </c>
    </row>
    <row r="21" spans="1:28" ht="49.5" customHeight="1" x14ac:dyDescent="0.25">
      <c r="A21" s="7">
        <v>19</v>
      </c>
      <c r="B21" s="8">
        <v>541</v>
      </c>
      <c r="C21" s="8">
        <v>271</v>
      </c>
      <c r="D21" s="8">
        <v>44</v>
      </c>
      <c r="E21" s="8">
        <v>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</v>
      </c>
      <c r="M21" s="8">
        <v>0</v>
      </c>
      <c r="N21" s="8">
        <v>1</v>
      </c>
      <c r="O21" s="8">
        <v>8</v>
      </c>
      <c r="P21" s="7">
        <v>868</v>
      </c>
      <c r="Q21" s="7">
        <v>0</v>
      </c>
      <c r="R21" s="7">
        <v>1</v>
      </c>
      <c r="S21" s="8">
        <v>869</v>
      </c>
      <c r="T21" s="7">
        <v>0</v>
      </c>
      <c r="U21" s="7">
        <v>19</v>
      </c>
      <c r="V21" s="8" t="s">
        <v>54</v>
      </c>
      <c r="W21" s="8" t="s">
        <v>55</v>
      </c>
      <c r="X21" s="4">
        <v>1250</v>
      </c>
      <c r="Y21" s="3">
        <v>655</v>
      </c>
      <c r="Z21" s="3">
        <v>594</v>
      </c>
      <c r="AA21" s="3">
        <f t="shared" si="0"/>
        <v>497</v>
      </c>
      <c r="AB21" s="11">
        <f t="shared" si="1"/>
        <v>69.44</v>
      </c>
    </row>
    <row r="22" spans="1:28" ht="49.5" customHeight="1" x14ac:dyDescent="0.25">
      <c r="A22" s="7">
        <v>20</v>
      </c>
      <c r="B22" s="8">
        <v>20</v>
      </c>
      <c r="C22" s="8">
        <v>366</v>
      </c>
      <c r="D22" s="8">
        <v>16</v>
      </c>
      <c r="E22" s="8">
        <v>4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7">
        <v>407</v>
      </c>
      <c r="Q22" s="7">
        <v>0</v>
      </c>
      <c r="R22" s="7">
        <v>1</v>
      </c>
      <c r="S22" s="8">
        <v>408</v>
      </c>
      <c r="T22" s="7">
        <v>0</v>
      </c>
      <c r="U22" s="7">
        <v>20</v>
      </c>
      <c r="V22" s="8" t="s">
        <v>54</v>
      </c>
      <c r="W22" s="8" t="s">
        <v>56</v>
      </c>
      <c r="X22" s="4">
        <v>474</v>
      </c>
      <c r="Y22" s="3">
        <v>246</v>
      </c>
      <c r="Z22" s="3">
        <v>228</v>
      </c>
      <c r="AA22" s="3">
        <f t="shared" si="0"/>
        <v>4</v>
      </c>
      <c r="AB22" s="11">
        <f t="shared" si="1"/>
        <v>85.864978902953581</v>
      </c>
    </row>
    <row r="23" spans="1:28" ht="49.5" customHeight="1" x14ac:dyDescent="0.25">
      <c r="A23" s="7">
        <v>21</v>
      </c>
      <c r="B23" s="8">
        <v>138</v>
      </c>
      <c r="C23" s="8">
        <v>361</v>
      </c>
      <c r="D23" s="7">
        <v>20</v>
      </c>
      <c r="E23" s="8">
        <v>0</v>
      </c>
      <c r="F23" s="8">
        <v>1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</v>
      </c>
      <c r="O23" s="8">
        <v>0</v>
      </c>
      <c r="P23" s="7">
        <v>521</v>
      </c>
      <c r="Q23" s="7">
        <v>0</v>
      </c>
      <c r="R23" s="7" t="e">
        <f>#REF!-P23</f>
        <v>#REF!</v>
      </c>
      <c r="S23" s="8">
        <v>521</v>
      </c>
      <c r="T23" s="7">
        <v>0</v>
      </c>
      <c r="U23" s="7">
        <v>21</v>
      </c>
      <c r="V23" s="8" t="s">
        <v>51</v>
      </c>
      <c r="W23" s="8" t="s">
        <v>57</v>
      </c>
      <c r="X23" s="4">
        <v>748</v>
      </c>
      <c r="Y23" s="3">
        <v>412</v>
      </c>
      <c r="Z23" s="3">
        <v>331</v>
      </c>
      <c r="AA23" s="3">
        <f t="shared" si="0"/>
        <v>118</v>
      </c>
      <c r="AB23" s="11">
        <f t="shared" si="1"/>
        <v>69.652406417112303</v>
      </c>
    </row>
    <row r="24" spans="1:28" ht="49.5" customHeight="1" x14ac:dyDescent="0.25">
      <c r="A24" s="7">
        <v>22</v>
      </c>
      <c r="B24" s="8">
        <v>236</v>
      </c>
      <c r="C24" s="8">
        <v>193</v>
      </c>
      <c r="D24" s="7">
        <v>40</v>
      </c>
      <c r="E24" s="8">
        <v>2</v>
      </c>
      <c r="F24" s="8">
        <v>0</v>
      </c>
      <c r="G24" s="8">
        <v>1</v>
      </c>
      <c r="H24" s="8">
        <v>1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6</v>
      </c>
      <c r="P24" s="7">
        <v>480</v>
      </c>
      <c r="Q24" s="7">
        <v>0</v>
      </c>
      <c r="R24" s="7">
        <v>2</v>
      </c>
      <c r="S24" s="8">
        <v>482</v>
      </c>
      <c r="T24" s="7">
        <v>0</v>
      </c>
      <c r="U24" s="7">
        <v>22</v>
      </c>
      <c r="V24" s="8" t="s">
        <v>51</v>
      </c>
      <c r="W24" s="8" t="s">
        <v>58</v>
      </c>
      <c r="X24" s="4">
        <v>757</v>
      </c>
      <c r="Y24" s="3">
        <v>400</v>
      </c>
      <c r="Z24" s="3">
        <v>354</v>
      </c>
      <c r="AA24" s="3">
        <f t="shared" si="0"/>
        <v>196</v>
      </c>
      <c r="AB24" s="11">
        <f t="shared" si="1"/>
        <v>63.408190224570674</v>
      </c>
    </row>
    <row r="25" spans="1:28" ht="49.5" customHeight="1" x14ac:dyDescent="0.25">
      <c r="A25" s="7">
        <v>23</v>
      </c>
      <c r="B25" s="8">
        <v>192</v>
      </c>
      <c r="C25" s="8">
        <v>331</v>
      </c>
      <c r="D25" s="7">
        <v>56</v>
      </c>
      <c r="E25" s="8">
        <v>1</v>
      </c>
      <c r="F25" s="8">
        <v>1</v>
      </c>
      <c r="G25" s="8">
        <v>6</v>
      </c>
      <c r="H25" s="8">
        <v>3</v>
      </c>
      <c r="I25" s="8">
        <v>1</v>
      </c>
      <c r="J25" s="8">
        <v>0</v>
      </c>
      <c r="K25" s="8">
        <v>0</v>
      </c>
      <c r="L25" s="8">
        <v>0</v>
      </c>
      <c r="M25" s="8">
        <v>1</v>
      </c>
      <c r="N25" s="8">
        <v>0</v>
      </c>
      <c r="O25" s="8">
        <v>3</v>
      </c>
      <c r="P25" s="7">
        <v>595</v>
      </c>
      <c r="Q25" s="7">
        <v>0</v>
      </c>
      <c r="R25" s="7">
        <v>2</v>
      </c>
      <c r="S25" s="8">
        <v>597</v>
      </c>
      <c r="T25" s="7">
        <v>0</v>
      </c>
      <c r="U25" s="7">
        <v>23</v>
      </c>
      <c r="V25" s="8" t="s">
        <v>59</v>
      </c>
      <c r="W25" s="8" t="s">
        <v>60</v>
      </c>
      <c r="X25" s="4">
        <v>835</v>
      </c>
      <c r="Y25" s="3">
        <v>456</v>
      </c>
      <c r="Z25" s="3">
        <v>379</v>
      </c>
      <c r="AA25" s="3">
        <f t="shared" si="0"/>
        <v>136</v>
      </c>
      <c r="AB25" s="11">
        <f t="shared" si="1"/>
        <v>71.257485029940113</v>
      </c>
    </row>
    <row r="26" spans="1:28" ht="49.5" customHeight="1" x14ac:dyDescent="0.25">
      <c r="A26" s="7">
        <v>24</v>
      </c>
      <c r="B26" s="8">
        <v>89</v>
      </c>
      <c r="C26" s="8">
        <v>430</v>
      </c>
      <c r="D26" s="7">
        <v>44</v>
      </c>
      <c r="E26" s="8">
        <v>1</v>
      </c>
      <c r="F26" s="8">
        <v>0</v>
      </c>
      <c r="G26" s="8">
        <v>1</v>
      </c>
      <c r="H26" s="8">
        <v>0</v>
      </c>
      <c r="I26" s="8">
        <v>0</v>
      </c>
      <c r="J26" s="8">
        <v>0</v>
      </c>
      <c r="K26" s="8">
        <v>0</v>
      </c>
      <c r="L26" s="8">
        <v>1</v>
      </c>
      <c r="M26" s="8">
        <v>0</v>
      </c>
      <c r="N26" s="8">
        <v>0</v>
      </c>
      <c r="O26" s="8">
        <v>4</v>
      </c>
      <c r="P26" s="7">
        <v>570</v>
      </c>
      <c r="Q26" s="7">
        <v>0</v>
      </c>
      <c r="R26" s="7">
        <v>2</v>
      </c>
      <c r="S26" s="8">
        <v>572</v>
      </c>
      <c r="T26" s="7">
        <v>0</v>
      </c>
      <c r="U26" s="7">
        <v>24</v>
      </c>
      <c r="V26" s="8" t="s">
        <v>59</v>
      </c>
      <c r="W26" s="8" t="s">
        <v>61</v>
      </c>
      <c r="X26" s="4">
        <v>735</v>
      </c>
      <c r="Y26" s="3">
        <v>395</v>
      </c>
      <c r="Z26" s="3">
        <v>339</v>
      </c>
      <c r="AA26" s="3">
        <f t="shared" si="0"/>
        <v>45</v>
      </c>
      <c r="AB26" s="11">
        <f t="shared" si="1"/>
        <v>77.551020408163268</v>
      </c>
    </row>
    <row r="27" spans="1:28" ht="49.5" customHeight="1" x14ac:dyDescent="0.25">
      <c r="A27" s="9">
        <v>25</v>
      </c>
      <c r="B27" s="10">
        <v>157</v>
      </c>
      <c r="C27" s="10">
        <v>208</v>
      </c>
      <c r="D27" s="9">
        <v>325</v>
      </c>
      <c r="E27" s="10">
        <v>6</v>
      </c>
      <c r="F27" s="10">
        <v>1</v>
      </c>
      <c r="G27" s="10">
        <v>1</v>
      </c>
      <c r="H27" s="10">
        <v>1</v>
      </c>
      <c r="I27" s="10">
        <v>2</v>
      </c>
      <c r="J27" s="10">
        <v>0</v>
      </c>
      <c r="K27" s="10">
        <v>3</v>
      </c>
      <c r="L27" s="10">
        <v>1</v>
      </c>
      <c r="M27" s="10">
        <v>1</v>
      </c>
      <c r="N27" s="10">
        <v>3</v>
      </c>
      <c r="O27" s="10">
        <v>6</v>
      </c>
      <c r="P27" s="9">
        <v>715</v>
      </c>
      <c r="Q27" s="9">
        <v>0</v>
      </c>
      <c r="R27" s="9">
        <v>7</v>
      </c>
      <c r="S27" s="10">
        <v>722</v>
      </c>
      <c r="T27" s="9">
        <v>0</v>
      </c>
      <c r="U27" s="9">
        <v>25</v>
      </c>
      <c r="V27" s="10" t="s">
        <v>62</v>
      </c>
      <c r="W27" s="10" t="s">
        <v>63</v>
      </c>
      <c r="X27" s="4">
        <v>1148</v>
      </c>
      <c r="Y27" s="3">
        <v>626</v>
      </c>
      <c r="Z27" s="3">
        <v>520</v>
      </c>
      <c r="AA27" s="3">
        <f t="shared" si="0"/>
        <v>168</v>
      </c>
      <c r="AB27" s="11">
        <f t="shared" si="1"/>
        <v>62.282229965156802</v>
      </c>
    </row>
    <row r="28" spans="1:28" ht="49.5" customHeight="1" x14ac:dyDescent="0.25">
      <c r="A28" s="7">
        <v>26</v>
      </c>
      <c r="B28" s="8">
        <v>227</v>
      </c>
      <c r="C28" s="8">
        <v>222</v>
      </c>
      <c r="D28" s="7">
        <v>49</v>
      </c>
      <c r="E28" s="8">
        <v>1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1</v>
      </c>
      <c r="P28" s="7">
        <v>500</v>
      </c>
      <c r="Q28" s="7">
        <v>0</v>
      </c>
      <c r="R28" s="7">
        <v>2</v>
      </c>
      <c r="S28" s="8">
        <v>502</v>
      </c>
      <c r="T28" s="7">
        <v>0</v>
      </c>
      <c r="U28" s="7">
        <v>26</v>
      </c>
      <c r="V28" s="8" t="s">
        <v>64</v>
      </c>
      <c r="W28" s="8" t="s">
        <v>65</v>
      </c>
      <c r="X28" s="4">
        <v>796</v>
      </c>
      <c r="Y28" s="3">
        <v>417</v>
      </c>
      <c r="Z28" s="3">
        <v>374</v>
      </c>
      <c r="AA28" s="3">
        <f t="shared" si="0"/>
        <v>178</v>
      </c>
      <c r="AB28" s="11">
        <f t="shared" si="1"/>
        <v>62.814070351758801</v>
      </c>
    </row>
    <row r="29" spans="1:28" ht="49.5" customHeight="1" x14ac:dyDescent="0.25">
      <c r="A29" s="7">
        <v>27</v>
      </c>
      <c r="B29" s="8">
        <v>275</v>
      </c>
      <c r="C29" s="8">
        <v>74</v>
      </c>
      <c r="D29" s="7">
        <v>90</v>
      </c>
      <c r="E29" s="8">
        <v>1</v>
      </c>
      <c r="F29" s="8">
        <v>0</v>
      </c>
      <c r="G29" s="8">
        <v>8</v>
      </c>
      <c r="H29" s="8">
        <v>2</v>
      </c>
      <c r="I29" s="8">
        <v>1</v>
      </c>
      <c r="J29" s="8">
        <v>2</v>
      </c>
      <c r="K29" s="8">
        <v>2</v>
      </c>
      <c r="L29" s="8">
        <v>0</v>
      </c>
      <c r="M29" s="8">
        <v>0</v>
      </c>
      <c r="N29" s="8">
        <v>1</v>
      </c>
      <c r="O29" s="8">
        <v>0</v>
      </c>
      <c r="P29" s="7">
        <v>456</v>
      </c>
      <c r="Q29" s="7">
        <v>0</v>
      </c>
      <c r="R29" s="7">
        <v>4</v>
      </c>
      <c r="S29" s="8">
        <v>460</v>
      </c>
      <c r="T29" s="7">
        <v>0</v>
      </c>
      <c r="U29" s="7">
        <v>27</v>
      </c>
      <c r="V29" s="8" t="s">
        <v>64</v>
      </c>
      <c r="W29" s="8" t="s">
        <v>66</v>
      </c>
      <c r="X29" s="4">
        <v>812</v>
      </c>
      <c r="Y29" s="3">
        <v>433</v>
      </c>
      <c r="Z29" s="3">
        <v>378</v>
      </c>
      <c r="AA29" s="3">
        <f t="shared" si="0"/>
        <v>185</v>
      </c>
      <c r="AB29" s="11">
        <f t="shared" si="1"/>
        <v>56.157635467980292</v>
      </c>
    </row>
    <row r="30" spans="1:28" ht="49.5" customHeight="1" x14ac:dyDescent="0.25">
      <c r="A30" s="7">
        <v>28</v>
      </c>
      <c r="B30" s="8">
        <v>354</v>
      </c>
      <c r="C30" s="8">
        <v>9</v>
      </c>
      <c r="D30" s="7">
        <v>122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</v>
      </c>
      <c r="K30" s="8">
        <v>0</v>
      </c>
      <c r="L30" s="8">
        <v>0</v>
      </c>
      <c r="M30" s="8">
        <v>1</v>
      </c>
      <c r="N30" s="8">
        <v>1</v>
      </c>
      <c r="O30" s="8">
        <v>1</v>
      </c>
      <c r="P30" s="7">
        <v>489</v>
      </c>
      <c r="Q30" s="7">
        <v>0</v>
      </c>
      <c r="R30" s="7">
        <v>3</v>
      </c>
      <c r="S30" s="8">
        <v>492</v>
      </c>
      <c r="T30" s="7">
        <v>0</v>
      </c>
      <c r="U30" s="7">
        <v>28</v>
      </c>
      <c r="V30" s="8" t="s">
        <v>62</v>
      </c>
      <c r="W30" s="8" t="s">
        <v>67</v>
      </c>
      <c r="X30" s="4">
        <v>542</v>
      </c>
      <c r="Y30" s="3">
        <v>281</v>
      </c>
      <c r="Z30" s="3">
        <v>257</v>
      </c>
      <c r="AA30" s="3">
        <f t="shared" si="0"/>
        <v>232</v>
      </c>
      <c r="AB30" s="11">
        <f t="shared" si="1"/>
        <v>90.221402214022135</v>
      </c>
    </row>
    <row r="31" spans="1:28" ht="49.5" customHeight="1" x14ac:dyDescent="0.25">
      <c r="A31" s="9">
        <v>29</v>
      </c>
      <c r="B31" s="10">
        <v>170</v>
      </c>
      <c r="C31" s="10">
        <v>95</v>
      </c>
      <c r="D31" s="9">
        <v>382</v>
      </c>
      <c r="E31" s="10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1</v>
      </c>
      <c r="O31" s="10">
        <v>1</v>
      </c>
      <c r="P31" s="9">
        <v>650</v>
      </c>
      <c r="Q31" s="9">
        <v>0</v>
      </c>
      <c r="R31" s="9">
        <v>3</v>
      </c>
      <c r="S31" s="10">
        <v>653</v>
      </c>
      <c r="T31" s="9">
        <v>0</v>
      </c>
      <c r="U31" s="9">
        <v>29</v>
      </c>
      <c r="V31" s="10" t="s">
        <v>62</v>
      </c>
      <c r="W31" s="10" t="s">
        <v>68</v>
      </c>
      <c r="X31" s="4">
        <v>950</v>
      </c>
      <c r="Y31" s="3">
        <v>510</v>
      </c>
      <c r="Z31" s="3">
        <v>440</v>
      </c>
      <c r="AA31" s="3">
        <f t="shared" si="0"/>
        <v>212</v>
      </c>
      <c r="AB31" s="11">
        <f t="shared" si="1"/>
        <v>68.421052631578945</v>
      </c>
    </row>
    <row r="32" spans="1:28" ht="49.5" customHeight="1" x14ac:dyDescent="0.25">
      <c r="A32" s="7">
        <v>30</v>
      </c>
      <c r="B32" s="8">
        <v>200</v>
      </c>
      <c r="C32" s="8">
        <v>235</v>
      </c>
      <c r="D32" s="7">
        <v>33</v>
      </c>
      <c r="E32" s="8">
        <v>0</v>
      </c>
      <c r="F32" s="8">
        <v>1</v>
      </c>
      <c r="G32" s="8">
        <v>0</v>
      </c>
      <c r="H32" s="8">
        <v>0</v>
      </c>
      <c r="I32" s="8">
        <v>3</v>
      </c>
      <c r="J32" s="8">
        <v>1</v>
      </c>
      <c r="K32" s="8">
        <v>0</v>
      </c>
      <c r="L32" s="8">
        <v>0</v>
      </c>
      <c r="M32" s="8">
        <v>0</v>
      </c>
      <c r="N32" s="8">
        <v>3</v>
      </c>
      <c r="O32" s="8">
        <v>3</v>
      </c>
      <c r="P32" s="7">
        <v>479</v>
      </c>
      <c r="Q32" s="7">
        <v>0</v>
      </c>
      <c r="R32" s="7">
        <v>4</v>
      </c>
      <c r="S32" s="8">
        <v>483</v>
      </c>
      <c r="T32" s="7">
        <v>0</v>
      </c>
      <c r="U32" s="7">
        <v>30</v>
      </c>
      <c r="V32" s="8" t="s">
        <v>62</v>
      </c>
      <c r="W32" s="8" t="s">
        <v>69</v>
      </c>
      <c r="X32" s="4">
        <v>664</v>
      </c>
      <c r="Y32" s="3">
        <v>383</v>
      </c>
      <c r="Z32" s="3">
        <v>281</v>
      </c>
      <c r="AA32" s="3">
        <f t="shared" si="0"/>
        <v>167</v>
      </c>
      <c r="AB32" s="11">
        <f t="shared" si="1"/>
        <v>72.138554216867462</v>
      </c>
    </row>
    <row r="33" spans="1:28" ht="49.5" customHeight="1" x14ac:dyDescent="0.25">
      <c r="A33" s="7">
        <v>31</v>
      </c>
      <c r="B33" s="8">
        <v>282</v>
      </c>
      <c r="C33" s="8">
        <v>44</v>
      </c>
      <c r="D33" s="7">
        <v>1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7">
        <v>327</v>
      </c>
      <c r="Q33" s="7">
        <v>0</v>
      </c>
      <c r="R33" s="7">
        <v>0</v>
      </c>
      <c r="S33" s="8">
        <v>327</v>
      </c>
      <c r="T33" s="7">
        <v>0</v>
      </c>
      <c r="U33" s="7">
        <v>31</v>
      </c>
      <c r="V33" s="8" t="s">
        <v>62</v>
      </c>
      <c r="W33" s="8" t="s">
        <v>70</v>
      </c>
      <c r="X33" s="4">
        <v>334</v>
      </c>
      <c r="Y33" s="3">
        <v>179</v>
      </c>
      <c r="Z33" s="3">
        <v>154</v>
      </c>
      <c r="AA33" s="3">
        <f t="shared" si="0"/>
        <v>281</v>
      </c>
      <c r="AB33" s="11">
        <f t="shared" si="1"/>
        <v>97.904191616766468</v>
      </c>
    </row>
    <row r="34" spans="1:28" ht="49.5" customHeight="1" x14ac:dyDescent="0.25">
      <c r="A34" s="7">
        <v>32</v>
      </c>
      <c r="B34" s="8">
        <v>438</v>
      </c>
      <c r="C34" s="8">
        <v>232</v>
      </c>
      <c r="D34" s="7">
        <v>113</v>
      </c>
      <c r="E34" s="8">
        <v>2</v>
      </c>
      <c r="F34" s="8">
        <v>1</v>
      </c>
      <c r="G34" s="8">
        <v>1</v>
      </c>
      <c r="H34" s="8">
        <v>0</v>
      </c>
      <c r="I34" s="8">
        <v>2</v>
      </c>
      <c r="J34" s="8">
        <v>0</v>
      </c>
      <c r="K34" s="8">
        <v>1</v>
      </c>
      <c r="L34" s="8">
        <v>0</v>
      </c>
      <c r="M34" s="8">
        <v>2</v>
      </c>
      <c r="N34" s="8">
        <v>2</v>
      </c>
      <c r="O34" s="8">
        <v>5</v>
      </c>
      <c r="P34" s="7">
        <v>799</v>
      </c>
      <c r="Q34" s="7">
        <v>0</v>
      </c>
      <c r="R34" s="7">
        <v>6</v>
      </c>
      <c r="S34" s="8">
        <v>805</v>
      </c>
      <c r="T34" s="7">
        <v>0</v>
      </c>
      <c r="U34" s="7">
        <v>32</v>
      </c>
      <c r="V34" s="8" t="s">
        <v>71</v>
      </c>
      <c r="W34" s="8" t="s">
        <v>72</v>
      </c>
      <c r="X34" s="4">
        <v>1179</v>
      </c>
      <c r="Y34" s="3">
        <v>632</v>
      </c>
      <c r="Z34" s="3">
        <v>546</v>
      </c>
      <c r="AA34" s="3">
        <f t="shared" si="0"/>
        <v>325</v>
      </c>
      <c r="AB34" s="11">
        <f t="shared" si="1"/>
        <v>67.769296013570823</v>
      </c>
    </row>
    <row r="35" spans="1:28" ht="49.5" customHeight="1" x14ac:dyDescent="0.25">
      <c r="A35" s="7">
        <v>33</v>
      </c>
      <c r="B35" s="8">
        <v>566</v>
      </c>
      <c r="C35" s="8">
        <v>152</v>
      </c>
      <c r="D35" s="7">
        <v>98</v>
      </c>
      <c r="E35" s="8">
        <v>2</v>
      </c>
      <c r="F35" s="8">
        <v>0</v>
      </c>
      <c r="G35" s="8">
        <v>1</v>
      </c>
      <c r="H35" s="8">
        <v>0</v>
      </c>
      <c r="I35" s="8">
        <v>1</v>
      </c>
      <c r="J35" s="8">
        <v>0</v>
      </c>
      <c r="K35" s="8">
        <v>0</v>
      </c>
      <c r="L35" s="8">
        <v>1</v>
      </c>
      <c r="M35" s="8">
        <v>1</v>
      </c>
      <c r="N35" s="8">
        <v>2</v>
      </c>
      <c r="O35" s="8">
        <v>2</v>
      </c>
      <c r="P35" s="7">
        <v>826</v>
      </c>
      <c r="Q35" s="7">
        <v>0</v>
      </c>
      <c r="R35" s="7">
        <v>3</v>
      </c>
      <c r="S35" s="8">
        <v>829</v>
      </c>
      <c r="T35" s="7">
        <v>0</v>
      </c>
      <c r="U35" s="7">
        <v>33</v>
      </c>
      <c r="V35" s="8" t="s">
        <v>71</v>
      </c>
      <c r="W35" s="8" t="s">
        <v>73</v>
      </c>
      <c r="X35" s="4">
        <v>1252</v>
      </c>
      <c r="Y35" s="3">
        <v>659</v>
      </c>
      <c r="Z35" s="3">
        <v>590</v>
      </c>
      <c r="AA35" s="3">
        <f t="shared" si="0"/>
        <v>468</v>
      </c>
      <c r="AB35" s="11">
        <f t="shared" si="1"/>
        <v>65.974440894568687</v>
      </c>
    </row>
    <row r="36" spans="1:28" ht="49.5" customHeight="1" x14ac:dyDescent="0.25">
      <c r="A36" s="7">
        <v>34</v>
      </c>
      <c r="B36" s="8">
        <v>283</v>
      </c>
      <c r="C36" s="8">
        <v>243</v>
      </c>
      <c r="D36" s="7">
        <v>39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</v>
      </c>
      <c r="K36" s="8">
        <v>0</v>
      </c>
      <c r="L36" s="8">
        <v>0</v>
      </c>
      <c r="M36" s="8">
        <v>1</v>
      </c>
      <c r="N36" s="8">
        <v>2</v>
      </c>
      <c r="O36" s="8">
        <v>0</v>
      </c>
      <c r="P36" s="7">
        <v>570</v>
      </c>
      <c r="Q36" s="7">
        <v>0</v>
      </c>
      <c r="R36" s="7">
        <v>3</v>
      </c>
      <c r="S36" s="8">
        <v>573</v>
      </c>
      <c r="T36" s="7">
        <v>0</v>
      </c>
      <c r="U36" s="7">
        <v>34</v>
      </c>
      <c r="V36" s="8" t="s">
        <v>71</v>
      </c>
      <c r="W36" s="8" t="s">
        <v>74</v>
      </c>
      <c r="X36" s="4">
        <v>693</v>
      </c>
      <c r="Y36" s="3">
        <v>368</v>
      </c>
      <c r="Z36" s="3">
        <v>323</v>
      </c>
      <c r="AA36" s="3">
        <f t="shared" si="0"/>
        <v>244</v>
      </c>
      <c r="AB36" s="11">
        <f t="shared" si="1"/>
        <v>82.251082251082252</v>
      </c>
    </row>
    <row r="37" spans="1:28" ht="49.5" customHeight="1" x14ac:dyDescent="0.25">
      <c r="A37" s="7">
        <v>35</v>
      </c>
      <c r="B37" s="8">
        <v>416</v>
      </c>
      <c r="C37" s="8">
        <v>184</v>
      </c>
      <c r="D37" s="7">
        <v>143</v>
      </c>
      <c r="E37" s="8">
        <v>2</v>
      </c>
      <c r="F37" s="8">
        <v>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</v>
      </c>
      <c r="P37" s="7">
        <v>748</v>
      </c>
      <c r="Q37" s="7">
        <v>0</v>
      </c>
      <c r="R37" s="7">
        <v>3</v>
      </c>
      <c r="S37" s="8">
        <v>751</v>
      </c>
      <c r="T37" s="7">
        <v>0</v>
      </c>
      <c r="U37" s="7">
        <v>35</v>
      </c>
      <c r="V37" s="8" t="s">
        <v>71</v>
      </c>
      <c r="W37" s="8" t="s">
        <v>75</v>
      </c>
      <c r="X37" s="4">
        <v>1092</v>
      </c>
      <c r="Y37" s="3">
        <v>561</v>
      </c>
      <c r="Z37" s="3">
        <v>510</v>
      </c>
      <c r="AA37" s="3">
        <f t="shared" si="0"/>
        <v>273</v>
      </c>
      <c r="AB37" s="11">
        <f t="shared" si="1"/>
        <v>68.498168498168496</v>
      </c>
    </row>
    <row r="38" spans="1:28" ht="49.5" customHeight="1" x14ac:dyDescent="0.25">
      <c r="A38" s="7">
        <v>36</v>
      </c>
      <c r="B38" s="8">
        <v>464</v>
      </c>
      <c r="C38" s="8">
        <v>278</v>
      </c>
      <c r="D38" s="7">
        <v>22</v>
      </c>
      <c r="E38" s="8">
        <v>0</v>
      </c>
      <c r="F38" s="8">
        <v>1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3</v>
      </c>
      <c r="O38" s="8">
        <v>6</v>
      </c>
      <c r="P38" s="7">
        <v>774</v>
      </c>
      <c r="Q38" s="7">
        <v>0</v>
      </c>
      <c r="R38" s="7">
        <v>6</v>
      </c>
      <c r="S38" s="8">
        <v>780</v>
      </c>
      <c r="T38" s="7">
        <v>0</v>
      </c>
      <c r="U38" s="7">
        <v>36</v>
      </c>
      <c r="V38" s="8" t="s">
        <v>71</v>
      </c>
      <c r="W38" s="8" t="s">
        <v>76</v>
      </c>
      <c r="X38" s="4">
        <v>1102</v>
      </c>
      <c r="Y38" s="3">
        <v>601</v>
      </c>
      <c r="Z38" s="3">
        <v>498</v>
      </c>
      <c r="AA38" s="3">
        <f t="shared" si="0"/>
        <v>442</v>
      </c>
      <c r="AB38" s="11">
        <f t="shared" si="1"/>
        <v>70.235934664246827</v>
      </c>
    </row>
    <row r="39" spans="1:28" ht="49.5" customHeight="1" x14ac:dyDescent="0.25">
      <c r="A39" s="7">
        <v>37</v>
      </c>
      <c r="B39" s="8">
        <v>269</v>
      </c>
      <c r="C39" s="8">
        <v>516</v>
      </c>
      <c r="D39" s="7">
        <v>101</v>
      </c>
      <c r="E39" s="8">
        <v>3</v>
      </c>
      <c r="F39" s="8">
        <v>0</v>
      </c>
      <c r="G39" s="8">
        <v>0</v>
      </c>
      <c r="H39" s="8">
        <v>0</v>
      </c>
      <c r="I39" s="8">
        <v>1</v>
      </c>
      <c r="J39" s="8">
        <v>0</v>
      </c>
      <c r="K39" s="8">
        <v>0</v>
      </c>
      <c r="L39" s="8">
        <v>2</v>
      </c>
      <c r="M39" s="8">
        <v>0</v>
      </c>
      <c r="N39" s="8">
        <v>0</v>
      </c>
      <c r="O39" s="8">
        <v>3</v>
      </c>
      <c r="P39" s="7">
        <v>895</v>
      </c>
      <c r="Q39" s="7">
        <v>0</v>
      </c>
      <c r="R39" s="7">
        <v>7</v>
      </c>
      <c r="S39" s="8">
        <v>902</v>
      </c>
      <c r="T39" s="7">
        <v>0</v>
      </c>
      <c r="U39" s="7">
        <v>37</v>
      </c>
      <c r="V39" s="8" t="s">
        <v>71</v>
      </c>
      <c r="W39" s="8" t="s">
        <v>77</v>
      </c>
      <c r="X39" s="4">
        <v>1324</v>
      </c>
      <c r="Y39" s="3">
        <v>732</v>
      </c>
      <c r="Z39" s="3">
        <v>587</v>
      </c>
      <c r="AA39" s="3">
        <f t="shared" si="0"/>
        <v>168</v>
      </c>
      <c r="AB39" s="11">
        <f t="shared" si="1"/>
        <v>67.598187311178251</v>
      </c>
    </row>
    <row r="40" spans="1:28" ht="49.5" customHeight="1" x14ac:dyDescent="0.25">
      <c r="A40" s="7">
        <v>38</v>
      </c>
      <c r="B40" s="8">
        <v>263</v>
      </c>
      <c r="C40" s="8">
        <v>60</v>
      </c>
      <c r="D40" s="7">
        <v>82</v>
      </c>
      <c r="E40" s="8">
        <v>1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1</v>
      </c>
      <c r="P40" s="7">
        <v>407</v>
      </c>
      <c r="Q40" s="7">
        <v>0</v>
      </c>
      <c r="R40" s="7">
        <v>1</v>
      </c>
      <c r="S40" s="8">
        <v>408</v>
      </c>
      <c r="T40" s="7">
        <v>0</v>
      </c>
      <c r="U40" s="7">
        <v>38</v>
      </c>
      <c r="V40" s="8" t="s">
        <v>78</v>
      </c>
      <c r="W40" s="8" t="s">
        <v>79</v>
      </c>
      <c r="X40" s="4">
        <v>660</v>
      </c>
      <c r="Y40" s="3">
        <v>349</v>
      </c>
      <c r="Z40" s="3">
        <v>311</v>
      </c>
      <c r="AA40" s="3">
        <f t="shared" si="0"/>
        <v>181</v>
      </c>
      <c r="AB40" s="11">
        <f t="shared" si="1"/>
        <v>61.666666666666671</v>
      </c>
    </row>
    <row r="41" spans="1:28" ht="49.5" customHeight="1" x14ac:dyDescent="0.25">
      <c r="A41" s="7">
        <v>39</v>
      </c>
      <c r="B41" s="8">
        <v>164</v>
      </c>
      <c r="C41" s="8">
        <v>165</v>
      </c>
      <c r="D41" s="7">
        <v>56</v>
      </c>
      <c r="E41" s="8">
        <v>2</v>
      </c>
      <c r="F41" s="8">
        <v>0</v>
      </c>
      <c r="G41" s="8">
        <v>1</v>
      </c>
      <c r="H41" s="8">
        <v>0</v>
      </c>
      <c r="I41" s="8">
        <v>1</v>
      </c>
      <c r="J41" s="8">
        <v>0</v>
      </c>
      <c r="K41" s="8">
        <v>0</v>
      </c>
      <c r="L41" s="8">
        <v>0</v>
      </c>
      <c r="M41" s="8">
        <v>2</v>
      </c>
      <c r="N41" s="8">
        <v>1</v>
      </c>
      <c r="O41" s="8">
        <v>6</v>
      </c>
      <c r="P41" s="7">
        <v>398</v>
      </c>
      <c r="Q41" s="7">
        <v>0</v>
      </c>
      <c r="R41" s="7">
        <v>2</v>
      </c>
      <c r="S41" s="8">
        <v>400</v>
      </c>
      <c r="T41" s="7">
        <v>0</v>
      </c>
      <c r="U41" s="7">
        <v>39</v>
      </c>
      <c r="V41" s="8" t="s">
        <v>78</v>
      </c>
      <c r="W41" s="8" t="s">
        <v>80</v>
      </c>
      <c r="X41" s="4">
        <v>635</v>
      </c>
      <c r="Y41" s="3">
        <v>336</v>
      </c>
      <c r="Z41" s="3">
        <v>298</v>
      </c>
      <c r="AA41" s="3">
        <f t="shared" si="0"/>
        <v>108</v>
      </c>
      <c r="AB41" s="11">
        <f t="shared" si="1"/>
        <v>62.677165354330711</v>
      </c>
    </row>
    <row r="42" spans="1:28" ht="49.5" customHeight="1" x14ac:dyDescent="0.25">
      <c r="A42" s="7">
        <v>40</v>
      </c>
      <c r="B42" s="8">
        <v>140</v>
      </c>
      <c r="C42" s="8">
        <v>366</v>
      </c>
      <c r="D42" s="7">
        <v>76</v>
      </c>
      <c r="E42" s="8">
        <v>2</v>
      </c>
      <c r="F42" s="8">
        <v>0</v>
      </c>
      <c r="G42" s="8">
        <v>1</v>
      </c>
      <c r="H42" s="8">
        <v>0</v>
      </c>
      <c r="I42" s="8">
        <v>0</v>
      </c>
      <c r="J42" s="8">
        <v>0</v>
      </c>
      <c r="K42" s="8">
        <v>1</v>
      </c>
      <c r="L42" s="8">
        <v>1</v>
      </c>
      <c r="M42" s="8">
        <v>0</v>
      </c>
      <c r="N42" s="8">
        <v>3</v>
      </c>
      <c r="O42" s="8">
        <v>3</v>
      </c>
      <c r="P42" s="7">
        <v>593</v>
      </c>
      <c r="Q42" s="7">
        <v>0</v>
      </c>
      <c r="R42" s="7">
        <v>1</v>
      </c>
      <c r="S42" s="8">
        <v>594</v>
      </c>
      <c r="T42" s="7">
        <v>0</v>
      </c>
      <c r="U42" s="7">
        <v>40</v>
      </c>
      <c r="V42" s="8" t="s">
        <v>78</v>
      </c>
      <c r="W42" s="8" t="s">
        <v>81</v>
      </c>
      <c r="X42" s="4">
        <v>959</v>
      </c>
      <c r="Y42" s="3">
        <v>512</v>
      </c>
      <c r="Z42" s="3">
        <v>447</v>
      </c>
      <c r="AA42" s="3">
        <f t="shared" si="0"/>
        <v>64</v>
      </c>
      <c r="AB42" s="11">
        <f t="shared" si="1"/>
        <v>61.83524504692388</v>
      </c>
    </row>
    <row r="43" spans="1:28" ht="49.5" customHeight="1" x14ac:dyDescent="0.25">
      <c r="A43" s="7">
        <v>41</v>
      </c>
      <c r="B43" s="8">
        <v>520</v>
      </c>
      <c r="C43" s="8">
        <v>428</v>
      </c>
      <c r="D43" s="7">
        <v>26</v>
      </c>
      <c r="E43" s="8">
        <v>0</v>
      </c>
      <c r="F43" s="8">
        <v>1</v>
      </c>
      <c r="G43" s="8">
        <v>0</v>
      </c>
      <c r="H43" s="8">
        <v>1</v>
      </c>
      <c r="I43" s="8">
        <v>0</v>
      </c>
      <c r="J43" s="8">
        <v>1</v>
      </c>
      <c r="K43" s="8">
        <v>1</v>
      </c>
      <c r="L43" s="8">
        <v>2</v>
      </c>
      <c r="M43" s="8">
        <v>0</v>
      </c>
      <c r="N43" s="8">
        <v>2</v>
      </c>
      <c r="O43" s="8">
        <v>5</v>
      </c>
      <c r="P43" s="7">
        <v>987</v>
      </c>
      <c r="Q43" s="7">
        <v>0</v>
      </c>
      <c r="R43" s="7">
        <v>6</v>
      </c>
      <c r="S43" s="8">
        <v>993</v>
      </c>
      <c r="T43" s="7">
        <v>0</v>
      </c>
      <c r="U43" s="7">
        <v>41</v>
      </c>
      <c r="V43" s="8" t="s">
        <v>82</v>
      </c>
      <c r="W43" s="8" t="s">
        <v>83</v>
      </c>
      <c r="X43" s="4">
        <v>1430</v>
      </c>
      <c r="Y43" s="3">
        <v>759</v>
      </c>
      <c r="Z43" s="3">
        <v>671</v>
      </c>
      <c r="AA43" s="3">
        <f t="shared" si="0"/>
        <v>494</v>
      </c>
      <c r="AB43" s="11">
        <f t="shared" si="1"/>
        <v>69.020979020979027</v>
      </c>
    </row>
    <row r="44" spans="1:28" ht="49.5" customHeight="1" x14ac:dyDescent="0.25">
      <c r="A44" s="7">
        <v>42</v>
      </c>
      <c r="B44" s="8">
        <v>152</v>
      </c>
      <c r="C44" s="8">
        <v>265</v>
      </c>
      <c r="D44" s="7">
        <v>141</v>
      </c>
      <c r="E44" s="8">
        <v>1</v>
      </c>
      <c r="F44" s="8">
        <v>2</v>
      </c>
      <c r="G44" s="8">
        <v>1</v>
      </c>
      <c r="H44" s="8">
        <v>0</v>
      </c>
      <c r="I44" s="8">
        <v>0</v>
      </c>
      <c r="J44" s="8">
        <v>0</v>
      </c>
      <c r="K44" s="8">
        <v>0</v>
      </c>
      <c r="L44" s="8">
        <v>1</v>
      </c>
      <c r="M44" s="8">
        <v>0</v>
      </c>
      <c r="N44" s="8">
        <v>3</v>
      </c>
      <c r="O44" s="8">
        <v>4</v>
      </c>
      <c r="P44" s="7">
        <v>570</v>
      </c>
      <c r="Q44" s="7">
        <v>0</v>
      </c>
      <c r="R44" s="7">
        <v>2</v>
      </c>
      <c r="S44" s="8">
        <v>572</v>
      </c>
      <c r="T44" s="7">
        <v>0</v>
      </c>
      <c r="U44" s="7">
        <v>42</v>
      </c>
      <c r="V44" s="8" t="s">
        <v>84</v>
      </c>
      <c r="W44" s="8" t="s">
        <v>85</v>
      </c>
      <c r="X44" s="4">
        <v>957</v>
      </c>
      <c r="Y44" s="3">
        <v>499</v>
      </c>
      <c r="Z44" s="3">
        <v>450</v>
      </c>
      <c r="AA44" s="3">
        <f t="shared" si="0"/>
        <v>11</v>
      </c>
      <c r="AB44" s="11">
        <f t="shared" si="1"/>
        <v>59.561128526645767</v>
      </c>
    </row>
    <row r="45" spans="1:28" ht="49.5" customHeight="1" x14ac:dyDescent="0.25">
      <c r="A45" s="7">
        <v>43</v>
      </c>
      <c r="B45" s="8">
        <v>95</v>
      </c>
      <c r="C45" s="8">
        <v>357</v>
      </c>
      <c r="D45" s="7">
        <v>29</v>
      </c>
      <c r="E45" s="8">
        <v>1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1</v>
      </c>
      <c r="L45" s="8">
        <v>0</v>
      </c>
      <c r="M45" s="8">
        <v>0</v>
      </c>
      <c r="N45" s="8">
        <v>2</v>
      </c>
      <c r="O45" s="8">
        <v>4</v>
      </c>
      <c r="P45" s="7">
        <v>489</v>
      </c>
      <c r="Q45" s="7">
        <v>0</v>
      </c>
      <c r="R45" s="7">
        <v>2</v>
      </c>
      <c r="S45" s="8">
        <v>491</v>
      </c>
      <c r="T45" s="7">
        <v>0</v>
      </c>
      <c r="U45" s="7">
        <v>43</v>
      </c>
      <c r="V45" s="8" t="s">
        <v>86</v>
      </c>
      <c r="W45" s="8" t="s">
        <v>87</v>
      </c>
      <c r="X45" s="4">
        <v>797</v>
      </c>
      <c r="Y45" s="3">
        <v>448</v>
      </c>
      <c r="Z45" s="3">
        <v>347</v>
      </c>
      <c r="AA45" s="3">
        <f t="shared" si="0"/>
        <v>66</v>
      </c>
      <c r="AB45" s="11">
        <f t="shared" si="1"/>
        <v>61.355081555834381</v>
      </c>
    </row>
    <row r="46" spans="1:28" ht="49.5" customHeight="1" x14ac:dyDescent="0.25">
      <c r="A46" s="7">
        <v>44</v>
      </c>
      <c r="B46" s="8">
        <v>150</v>
      </c>
      <c r="C46" s="8">
        <v>284</v>
      </c>
      <c r="D46" s="7">
        <v>48</v>
      </c>
      <c r="E46" s="8">
        <v>0</v>
      </c>
      <c r="F46" s="8">
        <v>0</v>
      </c>
      <c r="G46" s="8">
        <v>0</v>
      </c>
      <c r="H46" s="8">
        <v>1</v>
      </c>
      <c r="I46" s="8">
        <v>1</v>
      </c>
      <c r="J46" s="8">
        <v>0</v>
      </c>
      <c r="K46" s="8">
        <v>1</v>
      </c>
      <c r="L46" s="8">
        <v>0</v>
      </c>
      <c r="M46" s="8">
        <v>2</v>
      </c>
      <c r="N46" s="8">
        <v>2</v>
      </c>
      <c r="O46" s="8">
        <v>3</v>
      </c>
      <c r="P46" s="7">
        <v>492</v>
      </c>
      <c r="Q46" s="7">
        <v>0</v>
      </c>
      <c r="R46" s="7" t="e">
        <f>#REF!-P46</f>
        <v>#REF!</v>
      </c>
      <c r="S46" s="8">
        <v>492</v>
      </c>
      <c r="T46" s="7">
        <v>0</v>
      </c>
      <c r="U46" s="7">
        <v>44</v>
      </c>
      <c r="V46" s="8" t="s">
        <v>88</v>
      </c>
      <c r="W46" s="8" t="s">
        <v>89</v>
      </c>
      <c r="X46" s="4">
        <v>738</v>
      </c>
      <c r="Y46" s="3">
        <v>396</v>
      </c>
      <c r="Z46" s="3">
        <v>339</v>
      </c>
      <c r="AA46" s="3">
        <f t="shared" si="0"/>
        <v>102</v>
      </c>
      <c r="AB46" s="11">
        <f t="shared" si="1"/>
        <v>66.666666666666657</v>
      </c>
    </row>
    <row r="47" spans="1:28" ht="49.5" customHeight="1" x14ac:dyDescent="0.25">
      <c r="A47" s="7">
        <v>45</v>
      </c>
      <c r="B47" s="8">
        <v>70</v>
      </c>
      <c r="C47" s="7">
        <v>310</v>
      </c>
      <c r="D47" s="7">
        <v>12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1</v>
      </c>
      <c r="L47" s="7">
        <v>0</v>
      </c>
      <c r="M47" s="7">
        <v>1</v>
      </c>
      <c r="N47" s="7">
        <v>0</v>
      </c>
      <c r="O47" s="7">
        <v>2</v>
      </c>
      <c r="P47" s="7">
        <v>396</v>
      </c>
      <c r="Q47" s="7">
        <v>0</v>
      </c>
      <c r="R47" s="7">
        <v>1</v>
      </c>
      <c r="S47" s="7">
        <v>397</v>
      </c>
      <c r="T47" s="7">
        <v>0</v>
      </c>
      <c r="U47" s="7">
        <v>45</v>
      </c>
      <c r="V47" s="8" t="s">
        <v>90</v>
      </c>
      <c r="W47" s="8" t="s">
        <v>91</v>
      </c>
      <c r="X47" s="4">
        <v>609</v>
      </c>
      <c r="Y47" s="3">
        <v>327</v>
      </c>
      <c r="Z47" s="3">
        <v>281</v>
      </c>
      <c r="AA47" s="3">
        <f t="shared" si="0"/>
        <v>58</v>
      </c>
      <c r="AB47" s="11">
        <f t="shared" si="1"/>
        <v>65.024630541871915</v>
      </c>
    </row>
    <row r="48" spans="1:28" ht="49.5" customHeight="1" x14ac:dyDescent="0.25">
      <c r="A48" s="7">
        <v>46</v>
      </c>
      <c r="B48" s="8">
        <v>324</v>
      </c>
      <c r="C48" s="8">
        <v>263</v>
      </c>
      <c r="D48" s="7">
        <v>78</v>
      </c>
      <c r="E48" s="7">
        <v>2</v>
      </c>
      <c r="F48" s="8">
        <v>0</v>
      </c>
      <c r="G48" s="8">
        <v>2</v>
      </c>
      <c r="H48" s="8">
        <v>11</v>
      </c>
      <c r="I48" s="8">
        <v>0</v>
      </c>
      <c r="J48" s="8">
        <v>0</v>
      </c>
      <c r="K48" s="8">
        <v>0</v>
      </c>
      <c r="L48" s="8">
        <v>1</v>
      </c>
      <c r="M48" s="8">
        <v>1</v>
      </c>
      <c r="N48" s="8">
        <v>4</v>
      </c>
      <c r="O48" s="8">
        <v>4</v>
      </c>
      <c r="P48" s="7">
        <v>690</v>
      </c>
      <c r="Q48" s="7">
        <v>0</v>
      </c>
      <c r="R48" s="7">
        <v>8</v>
      </c>
      <c r="S48" s="8">
        <v>698</v>
      </c>
      <c r="T48" s="7">
        <v>0</v>
      </c>
      <c r="U48" s="7">
        <v>46</v>
      </c>
      <c r="V48" s="8" t="s">
        <v>88</v>
      </c>
      <c r="W48" s="8" t="s">
        <v>92</v>
      </c>
      <c r="X48" s="4">
        <v>1093</v>
      </c>
      <c r="Y48" s="3">
        <v>582</v>
      </c>
      <c r="Z48" s="3">
        <v>509</v>
      </c>
      <c r="AA48" s="3">
        <f t="shared" si="0"/>
        <v>246</v>
      </c>
      <c r="AB48" s="11">
        <f t="shared" si="1"/>
        <v>63.129002744739246</v>
      </c>
    </row>
    <row r="49" spans="1:28" ht="49.5" customHeight="1" x14ac:dyDescent="0.25">
      <c r="A49" s="7">
        <v>47</v>
      </c>
      <c r="B49" s="8">
        <v>568</v>
      </c>
      <c r="C49" s="7">
        <v>173</v>
      </c>
      <c r="D49" s="7">
        <v>136</v>
      </c>
      <c r="E49" s="7">
        <v>4</v>
      </c>
      <c r="F49" s="8">
        <v>1</v>
      </c>
      <c r="G49" s="8">
        <v>5</v>
      </c>
      <c r="H49" s="8">
        <v>0</v>
      </c>
      <c r="I49" s="8">
        <v>1</v>
      </c>
      <c r="J49" s="8">
        <v>1</v>
      </c>
      <c r="K49" s="8">
        <v>1</v>
      </c>
      <c r="L49" s="8">
        <v>2</v>
      </c>
      <c r="M49" s="8">
        <v>0</v>
      </c>
      <c r="N49" s="8">
        <v>1</v>
      </c>
      <c r="O49" s="8">
        <v>2</v>
      </c>
      <c r="P49" s="7">
        <v>895</v>
      </c>
      <c r="Q49" s="7">
        <v>0</v>
      </c>
      <c r="R49" s="7">
        <v>9</v>
      </c>
      <c r="S49" s="8">
        <v>904</v>
      </c>
      <c r="T49" s="7">
        <v>0</v>
      </c>
      <c r="U49" s="7">
        <v>47</v>
      </c>
      <c r="V49" s="8" t="s">
        <v>93</v>
      </c>
      <c r="W49" s="8" t="s">
        <v>94</v>
      </c>
      <c r="X49" s="4">
        <v>1284</v>
      </c>
      <c r="Y49" s="3">
        <v>679</v>
      </c>
      <c r="Z49" s="3">
        <v>605</v>
      </c>
      <c r="AA49" s="3">
        <f t="shared" si="0"/>
        <v>432</v>
      </c>
      <c r="AB49" s="11">
        <f t="shared" si="1"/>
        <v>69.704049844236764</v>
      </c>
    </row>
    <row r="50" spans="1:28" ht="49.5" customHeight="1" x14ac:dyDescent="0.25">
      <c r="A50" s="7">
        <v>48</v>
      </c>
      <c r="B50" s="8">
        <v>497</v>
      </c>
      <c r="C50" s="7">
        <v>76</v>
      </c>
      <c r="D50" s="7">
        <v>293</v>
      </c>
      <c r="E50" s="7">
        <v>3</v>
      </c>
      <c r="F50" s="8">
        <v>19</v>
      </c>
      <c r="G50" s="8">
        <v>3</v>
      </c>
      <c r="H50" s="8">
        <v>1</v>
      </c>
      <c r="I50" s="8">
        <v>0</v>
      </c>
      <c r="J50" s="8">
        <v>2</v>
      </c>
      <c r="K50" s="8">
        <v>0</v>
      </c>
      <c r="L50" s="8">
        <v>1</v>
      </c>
      <c r="M50" s="8">
        <v>2</v>
      </c>
      <c r="N50" s="8">
        <v>0</v>
      </c>
      <c r="O50" s="8">
        <v>2</v>
      </c>
      <c r="P50" s="7">
        <v>899</v>
      </c>
      <c r="Q50" s="7">
        <v>0</v>
      </c>
      <c r="R50" s="7">
        <v>5</v>
      </c>
      <c r="S50" s="8">
        <v>904</v>
      </c>
      <c r="T50" s="7">
        <v>0</v>
      </c>
      <c r="U50" s="7">
        <v>48</v>
      </c>
      <c r="V50" s="8" t="s">
        <v>95</v>
      </c>
      <c r="W50" s="8" t="s">
        <v>96</v>
      </c>
      <c r="X50" s="4">
        <v>1402</v>
      </c>
      <c r="Y50" s="3">
        <v>753</v>
      </c>
      <c r="Z50" s="3">
        <v>634</v>
      </c>
      <c r="AA50" s="3">
        <f t="shared" si="0"/>
        <v>204</v>
      </c>
      <c r="AB50" s="11">
        <f t="shared" si="1"/>
        <v>64.122681883024242</v>
      </c>
    </row>
    <row r="51" spans="1:28" ht="49.5" customHeight="1" x14ac:dyDescent="0.25">
      <c r="A51" s="7">
        <v>49</v>
      </c>
      <c r="B51" s="8">
        <v>641</v>
      </c>
      <c r="C51" s="7">
        <v>58</v>
      </c>
      <c r="D51" s="7">
        <v>121</v>
      </c>
      <c r="E51" s="7">
        <v>1</v>
      </c>
      <c r="F51" s="8">
        <v>0</v>
      </c>
      <c r="G51" s="8">
        <v>0</v>
      </c>
      <c r="H51" s="8">
        <v>0</v>
      </c>
      <c r="I51" s="8">
        <v>2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7">
        <v>824</v>
      </c>
      <c r="Q51" s="7">
        <v>0</v>
      </c>
      <c r="R51" s="7">
        <v>2</v>
      </c>
      <c r="S51" s="8">
        <v>826</v>
      </c>
      <c r="T51" s="7">
        <v>0</v>
      </c>
      <c r="U51" s="7">
        <v>49</v>
      </c>
      <c r="V51" s="8" t="s">
        <v>97</v>
      </c>
      <c r="W51" s="8" t="s">
        <v>98</v>
      </c>
      <c r="X51" s="4">
        <v>937</v>
      </c>
      <c r="Y51" s="3">
        <v>475</v>
      </c>
      <c r="Z51" s="3">
        <v>461</v>
      </c>
      <c r="AA51" s="3">
        <f t="shared" si="0"/>
        <v>520</v>
      </c>
      <c r="AB51" s="11">
        <f t="shared" si="1"/>
        <v>87.940234791889011</v>
      </c>
    </row>
    <row r="52" spans="1:28" ht="49.5" customHeight="1" x14ac:dyDescent="0.25">
      <c r="A52" s="7">
        <v>50</v>
      </c>
      <c r="B52" s="8">
        <v>676</v>
      </c>
      <c r="C52" s="7">
        <v>106</v>
      </c>
      <c r="D52" s="7">
        <v>127</v>
      </c>
      <c r="E52" s="7">
        <v>2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1</v>
      </c>
      <c r="N52" s="8">
        <v>0</v>
      </c>
      <c r="O52" s="8">
        <v>1</v>
      </c>
      <c r="P52" s="7">
        <v>913</v>
      </c>
      <c r="Q52" s="7">
        <v>0</v>
      </c>
      <c r="R52" s="7">
        <v>2</v>
      </c>
      <c r="S52" s="8">
        <v>915</v>
      </c>
      <c r="T52" s="7">
        <v>0</v>
      </c>
      <c r="U52" s="7">
        <v>50</v>
      </c>
      <c r="V52" s="8" t="s">
        <v>97</v>
      </c>
      <c r="W52" s="8" t="s">
        <v>99</v>
      </c>
      <c r="X52" s="4">
        <v>1093</v>
      </c>
      <c r="Y52" s="3">
        <v>577</v>
      </c>
      <c r="Z52" s="3">
        <v>515</v>
      </c>
      <c r="AA52" s="3">
        <f t="shared" si="0"/>
        <v>549</v>
      </c>
      <c r="AB52" s="11">
        <f t="shared" si="1"/>
        <v>83.531564501372372</v>
      </c>
    </row>
    <row r="53" spans="1:28" ht="49.5" customHeight="1" x14ac:dyDescent="0.25">
      <c r="A53" s="7">
        <v>51</v>
      </c>
      <c r="B53" s="8">
        <v>416</v>
      </c>
      <c r="C53" s="7">
        <v>302</v>
      </c>
      <c r="D53" s="7">
        <v>102</v>
      </c>
      <c r="E53" s="7">
        <v>1</v>
      </c>
      <c r="F53" s="8">
        <v>2</v>
      </c>
      <c r="G53" s="8">
        <v>0</v>
      </c>
      <c r="H53" s="8">
        <v>0</v>
      </c>
      <c r="I53" s="8">
        <v>1</v>
      </c>
      <c r="J53" s="8">
        <v>0</v>
      </c>
      <c r="K53" s="8">
        <v>2</v>
      </c>
      <c r="L53" s="8">
        <v>1</v>
      </c>
      <c r="M53" s="8">
        <v>1</v>
      </c>
      <c r="N53" s="8">
        <v>1</v>
      </c>
      <c r="O53" s="8">
        <v>6</v>
      </c>
      <c r="P53" s="7">
        <v>835</v>
      </c>
      <c r="Q53" s="7">
        <v>0</v>
      </c>
      <c r="R53" s="7">
        <v>9</v>
      </c>
      <c r="S53" s="8">
        <v>844</v>
      </c>
      <c r="T53" s="7">
        <v>0</v>
      </c>
      <c r="U53" s="7">
        <v>51</v>
      </c>
      <c r="V53" s="8" t="s">
        <v>97</v>
      </c>
      <c r="W53" s="8" t="s">
        <v>100</v>
      </c>
      <c r="X53" s="4">
        <v>1267</v>
      </c>
      <c r="Y53" s="3">
        <v>675</v>
      </c>
      <c r="Z53" s="3">
        <v>592</v>
      </c>
      <c r="AA53" s="3">
        <f t="shared" si="0"/>
        <v>314</v>
      </c>
      <c r="AB53" s="11">
        <f t="shared" si="1"/>
        <v>65.903709550118393</v>
      </c>
    </row>
    <row r="54" spans="1:28" ht="49.5" customHeight="1" x14ac:dyDescent="0.25">
      <c r="A54" s="7">
        <v>52</v>
      </c>
      <c r="B54" s="8">
        <v>198</v>
      </c>
      <c r="C54" s="7">
        <v>274</v>
      </c>
      <c r="D54" s="7">
        <v>37</v>
      </c>
      <c r="E54" s="7">
        <v>0</v>
      </c>
      <c r="F54" s="8">
        <v>0</v>
      </c>
      <c r="G54" s="8">
        <v>2</v>
      </c>
      <c r="H54" s="8">
        <v>0</v>
      </c>
      <c r="I54" s="8">
        <v>0</v>
      </c>
      <c r="J54" s="8">
        <v>1</v>
      </c>
      <c r="K54" s="8">
        <v>0</v>
      </c>
      <c r="L54" s="8">
        <v>0</v>
      </c>
      <c r="M54" s="8">
        <v>0</v>
      </c>
      <c r="N54" s="8">
        <v>0</v>
      </c>
      <c r="O54" s="8">
        <v>2</v>
      </c>
      <c r="P54" s="7">
        <v>514</v>
      </c>
      <c r="Q54" s="7">
        <v>0</v>
      </c>
      <c r="R54" s="7">
        <v>4</v>
      </c>
      <c r="S54" s="8">
        <v>518</v>
      </c>
      <c r="T54" s="7">
        <v>0</v>
      </c>
      <c r="U54" s="7">
        <v>52</v>
      </c>
      <c r="V54" s="8" t="s">
        <v>101</v>
      </c>
      <c r="W54" s="8" t="s">
        <v>102</v>
      </c>
      <c r="X54" s="4">
        <v>777</v>
      </c>
      <c r="Y54" s="3">
        <v>442</v>
      </c>
      <c r="Z54" s="3">
        <v>334</v>
      </c>
      <c r="AA54" s="3">
        <f t="shared" si="0"/>
        <v>161</v>
      </c>
      <c r="AB54" s="11">
        <f t="shared" si="1"/>
        <v>66.151866151866159</v>
      </c>
    </row>
    <row r="55" spans="1:28" ht="49.5" customHeight="1" x14ac:dyDescent="0.25">
      <c r="A55" s="7">
        <v>53</v>
      </c>
      <c r="B55" s="8">
        <v>100</v>
      </c>
      <c r="C55" s="7">
        <v>330</v>
      </c>
      <c r="D55" s="7">
        <v>2</v>
      </c>
      <c r="E55" s="7">
        <v>0</v>
      </c>
      <c r="F55" s="8">
        <v>0</v>
      </c>
      <c r="G55" s="8">
        <v>0</v>
      </c>
      <c r="H55" s="8">
        <v>0</v>
      </c>
      <c r="I55" s="8">
        <v>2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9</v>
      </c>
      <c r="P55" s="7">
        <v>443</v>
      </c>
      <c r="Q55" s="7">
        <v>0</v>
      </c>
      <c r="R55" s="7">
        <v>3</v>
      </c>
      <c r="S55" s="8">
        <v>446</v>
      </c>
      <c r="T55" s="7">
        <v>0</v>
      </c>
      <c r="U55" s="7">
        <v>53</v>
      </c>
      <c r="V55" s="8" t="s">
        <v>101</v>
      </c>
      <c r="W55" s="8" t="s">
        <v>103</v>
      </c>
      <c r="X55" s="4">
        <v>648</v>
      </c>
      <c r="Y55" s="3">
        <v>376</v>
      </c>
      <c r="Z55" s="3">
        <v>264</v>
      </c>
      <c r="AA55" s="3">
        <f t="shared" si="0"/>
        <v>98</v>
      </c>
      <c r="AB55" s="11">
        <f t="shared" si="1"/>
        <v>68.364197530864203</v>
      </c>
    </row>
    <row r="56" spans="1:28" ht="49.5" customHeight="1" x14ac:dyDescent="0.25">
      <c r="A56" s="7">
        <v>54</v>
      </c>
      <c r="B56" s="8">
        <v>139</v>
      </c>
      <c r="C56" s="7">
        <v>585</v>
      </c>
      <c r="D56" s="7">
        <v>15</v>
      </c>
      <c r="E56" s="7">
        <v>4</v>
      </c>
      <c r="F56" s="8">
        <v>0</v>
      </c>
      <c r="G56" s="8">
        <v>0</v>
      </c>
      <c r="H56" s="8">
        <v>0</v>
      </c>
      <c r="I56" s="8">
        <v>0</v>
      </c>
      <c r="J56" s="8">
        <v>1</v>
      </c>
      <c r="K56" s="8">
        <v>0</v>
      </c>
      <c r="L56" s="8">
        <v>0</v>
      </c>
      <c r="M56" s="8">
        <v>2</v>
      </c>
      <c r="N56" s="8">
        <v>1</v>
      </c>
      <c r="O56" s="8">
        <v>11</v>
      </c>
      <c r="P56" s="7">
        <v>758</v>
      </c>
      <c r="Q56" s="7">
        <v>0</v>
      </c>
      <c r="R56" s="7">
        <v>5</v>
      </c>
      <c r="S56" s="8">
        <v>763</v>
      </c>
      <c r="T56" s="7">
        <v>0</v>
      </c>
      <c r="U56" s="7">
        <v>54</v>
      </c>
      <c r="V56" s="8" t="s">
        <v>101</v>
      </c>
      <c r="W56" s="8" t="s">
        <v>104</v>
      </c>
      <c r="X56" s="4">
        <v>1157</v>
      </c>
      <c r="Y56" s="3">
        <v>663</v>
      </c>
      <c r="Z56" s="3">
        <v>494</v>
      </c>
      <c r="AA56" s="3">
        <f t="shared" si="0"/>
        <v>124</v>
      </c>
      <c r="AB56" s="11">
        <f t="shared" si="1"/>
        <v>65.514261019879001</v>
      </c>
    </row>
    <row r="57" spans="1:28" ht="49.5" customHeight="1" x14ac:dyDescent="0.25">
      <c r="A57" s="7">
        <v>55</v>
      </c>
      <c r="B57" s="8">
        <v>252</v>
      </c>
      <c r="C57" s="7">
        <v>499</v>
      </c>
      <c r="D57" s="7">
        <v>36</v>
      </c>
      <c r="E57" s="7">
        <v>0</v>
      </c>
      <c r="F57" s="8">
        <v>0</v>
      </c>
      <c r="G57" s="8">
        <v>4</v>
      </c>
      <c r="H57" s="8">
        <v>0</v>
      </c>
      <c r="I57" s="8">
        <v>1</v>
      </c>
      <c r="J57" s="8">
        <v>2</v>
      </c>
      <c r="K57" s="8">
        <v>1</v>
      </c>
      <c r="L57" s="8">
        <v>0</v>
      </c>
      <c r="M57" s="8">
        <v>1</v>
      </c>
      <c r="N57" s="8">
        <v>1</v>
      </c>
      <c r="O57" s="8">
        <v>3</v>
      </c>
      <c r="P57" s="7">
        <v>800</v>
      </c>
      <c r="Q57" s="7">
        <v>0</v>
      </c>
      <c r="R57" s="7">
        <v>2</v>
      </c>
      <c r="S57" s="8">
        <v>802</v>
      </c>
      <c r="T57" s="7">
        <v>0</v>
      </c>
      <c r="U57" s="7">
        <v>55</v>
      </c>
      <c r="V57" s="8" t="s">
        <v>105</v>
      </c>
      <c r="W57" s="8" t="s">
        <v>106</v>
      </c>
      <c r="X57" s="4">
        <v>1265</v>
      </c>
      <c r="Y57" s="3">
        <v>697</v>
      </c>
      <c r="Z57" s="3">
        <v>565</v>
      </c>
      <c r="AA57" s="3">
        <f t="shared" si="0"/>
        <v>216</v>
      </c>
      <c r="AB57" s="11">
        <f t="shared" si="1"/>
        <v>63.241106719367593</v>
      </c>
    </row>
    <row r="58" spans="1:28" ht="49.5" customHeight="1" x14ac:dyDescent="0.25">
      <c r="A58" s="7">
        <v>56</v>
      </c>
      <c r="B58" s="8">
        <v>433</v>
      </c>
      <c r="C58" s="7">
        <v>248</v>
      </c>
      <c r="D58" s="7">
        <v>151</v>
      </c>
      <c r="E58" s="7">
        <v>1</v>
      </c>
      <c r="F58" s="8">
        <v>0</v>
      </c>
      <c r="G58" s="8">
        <v>1</v>
      </c>
      <c r="H58" s="8">
        <v>1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1</v>
      </c>
      <c r="O58" s="8">
        <v>0</v>
      </c>
      <c r="P58" s="7">
        <v>836</v>
      </c>
      <c r="Q58" s="7">
        <v>0</v>
      </c>
      <c r="R58" s="7">
        <v>3</v>
      </c>
      <c r="S58" s="8">
        <v>839</v>
      </c>
      <c r="T58" s="7">
        <v>0</v>
      </c>
      <c r="U58" s="7">
        <v>56</v>
      </c>
      <c r="V58" s="8" t="s">
        <v>105</v>
      </c>
      <c r="W58" s="8" t="s">
        <v>107</v>
      </c>
      <c r="X58" s="4">
        <v>1249</v>
      </c>
      <c r="Y58" s="3">
        <v>649</v>
      </c>
      <c r="Z58" s="3">
        <v>593</v>
      </c>
      <c r="AA58" s="3">
        <f t="shared" si="0"/>
        <v>282</v>
      </c>
      <c r="AB58" s="11">
        <f t="shared" si="1"/>
        <v>66.933546837469976</v>
      </c>
    </row>
    <row r="59" spans="1:28" ht="49.5" customHeight="1" x14ac:dyDescent="0.25">
      <c r="A59" s="7">
        <v>57</v>
      </c>
      <c r="B59" s="8">
        <v>320</v>
      </c>
      <c r="C59" s="7">
        <v>512</v>
      </c>
      <c r="D59" s="7">
        <v>33</v>
      </c>
      <c r="E59" s="7">
        <v>3</v>
      </c>
      <c r="F59" s="8">
        <v>0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3</v>
      </c>
      <c r="P59" s="7">
        <v>874</v>
      </c>
      <c r="Q59" s="7">
        <v>0</v>
      </c>
      <c r="R59" s="7">
        <v>5</v>
      </c>
      <c r="S59" s="8">
        <v>879</v>
      </c>
      <c r="T59" s="7">
        <v>0</v>
      </c>
      <c r="U59" s="7">
        <v>57</v>
      </c>
      <c r="V59" s="8" t="s">
        <v>105</v>
      </c>
      <c r="W59" s="8" t="s">
        <v>108</v>
      </c>
      <c r="X59" s="4">
        <v>1154</v>
      </c>
      <c r="Y59" s="3">
        <v>622</v>
      </c>
      <c r="Z59" s="3">
        <v>525</v>
      </c>
      <c r="AA59" s="3">
        <f t="shared" si="0"/>
        <v>287</v>
      </c>
      <c r="AB59" s="11">
        <f t="shared" si="1"/>
        <v>75.736568457538993</v>
      </c>
    </row>
    <row r="60" spans="1:28" ht="49.5" customHeight="1" x14ac:dyDescent="0.25">
      <c r="A60" s="7">
        <v>58</v>
      </c>
      <c r="B60" s="8">
        <v>350</v>
      </c>
      <c r="C60" s="7">
        <v>234</v>
      </c>
      <c r="D60" s="7">
        <v>223</v>
      </c>
      <c r="E60" s="7">
        <v>0</v>
      </c>
      <c r="F60" s="8">
        <v>0</v>
      </c>
      <c r="G60" s="8">
        <v>6</v>
      </c>
      <c r="H60" s="8">
        <v>1</v>
      </c>
      <c r="I60" s="8">
        <v>1</v>
      </c>
      <c r="J60" s="8">
        <v>0</v>
      </c>
      <c r="K60" s="8">
        <v>0</v>
      </c>
      <c r="L60" s="8">
        <v>0</v>
      </c>
      <c r="M60" s="8">
        <v>0</v>
      </c>
      <c r="N60" s="8">
        <v>3</v>
      </c>
      <c r="O60" s="8">
        <v>2</v>
      </c>
      <c r="P60" s="7">
        <v>820</v>
      </c>
      <c r="Q60" s="7">
        <v>0</v>
      </c>
      <c r="R60" s="7">
        <v>5</v>
      </c>
      <c r="S60" s="8">
        <v>825</v>
      </c>
      <c r="T60" s="7">
        <v>0</v>
      </c>
      <c r="U60" s="7">
        <v>58</v>
      </c>
      <c r="V60" s="8" t="s">
        <v>109</v>
      </c>
      <c r="W60" s="8" t="s">
        <v>110</v>
      </c>
      <c r="X60" s="4">
        <v>1156</v>
      </c>
      <c r="Y60" s="3">
        <v>636</v>
      </c>
      <c r="Z60" s="3">
        <v>520</v>
      </c>
      <c r="AA60" s="3">
        <f t="shared" si="0"/>
        <v>127</v>
      </c>
      <c r="AB60" s="11">
        <f t="shared" si="1"/>
        <v>70.934256055363321</v>
      </c>
    </row>
    <row r="61" spans="1:28" ht="49.5" customHeight="1" x14ac:dyDescent="0.25">
      <c r="A61" s="7">
        <v>59</v>
      </c>
      <c r="B61" s="8">
        <v>500</v>
      </c>
      <c r="C61" s="7">
        <v>222</v>
      </c>
      <c r="D61" s="7">
        <v>74</v>
      </c>
      <c r="E61" s="7">
        <v>1</v>
      </c>
      <c r="F61" s="8">
        <v>1</v>
      </c>
      <c r="G61" s="8">
        <v>11</v>
      </c>
      <c r="H61" s="8">
        <v>2</v>
      </c>
      <c r="I61" s="8">
        <v>3</v>
      </c>
      <c r="J61" s="8">
        <v>0</v>
      </c>
      <c r="K61" s="8">
        <v>0</v>
      </c>
      <c r="L61" s="8">
        <v>0</v>
      </c>
      <c r="M61" s="8">
        <v>0</v>
      </c>
      <c r="N61" s="8">
        <v>1</v>
      </c>
      <c r="O61" s="8">
        <v>4</v>
      </c>
      <c r="P61" s="7">
        <v>819</v>
      </c>
      <c r="Q61" s="7">
        <v>0</v>
      </c>
      <c r="R61" s="7">
        <v>2</v>
      </c>
      <c r="S61" s="8">
        <v>821</v>
      </c>
      <c r="T61" s="7">
        <v>0</v>
      </c>
      <c r="U61" s="7">
        <v>59</v>
      </c>
      <c r="V61" s="8" t="s">
        <v>111</v>
      </c>
      <c r="W61" s="8" t="s">
        <v>112</v>
      </c>
      <c r="X61" s="4">
        <v>1007</v>
      </c>
      <c r="Y61" s="3">
        <v>530</v>
      </c>
      <c r="Z61" s="3">
        <v>473</v>
      </c>
      <c r="AA61" s="3">
        <f t="shared" si="0"/>
        <v>426</v>
      </c>
      <c r="AB61" s="11">
        <f t="shared" si="1"/>
        <v>81.330685203574973</v>
      </c>
    </row>
    <row r="62" spans="1:28" ht="49.5" customHeight="1" x14ac:dyDescent="0.25">
      <c r="A62" s="7">
        <v>60</v>
      </c>
      <c r="B62" s="8">
        <v>394</v>
      </c>
      <c r="C62" s="7">
        <v>57</v>
      </c>
      <c r="D62" s="7">
        <v>186</v>
      </c>
      <c r="E62" s="7">
        <v>0</v>
      </c>
      <c r="F62" s="8">
        <v>1</v>
      </c>
      <c r="G62" s="8">
        <v>31</v>
      </c>
      <c r="H62" s="8">
        <v>0</v>
      </c>
      <c r="I62" s="8">
        <v>0</v>
      </c>
      <c r="J62" s="8">
        <v>1</v>
      </c>
      <c r="K62" s="8">
        <v>0</v>
      </c>
      <c r="L62" s="8">
        <v>1</v>
      </c>
      <c r="M62" s="8">
        <v>2</v>
      </c>
      <c r="N62" s="8">
        <v>0</v>
      </c>
      <c r="O62" s="8">
        <v>4</v>
      </c>
      <c r="P62" s="7">
        <v>677</v>
      </c>
      <c r="Q62" s="7">
        <v>0</v>
      </c>
      <c r="R62" s="7">
        <v>7</v>
      </c>
      <c r="S62" s="7">
        <v>684</v>
      </c>
      <c r="T62" s="7">
        <v>0</v>
      </c>
      <c r="U62" s="7">
        <v>60</v>
      </c>
      <c r="V62" s="8" t="s">
        <v>111</v>
      </c>
      <c r="W62" s="8" t="s">
        <v>113</v>
      </c>
      <c r="X62" s="4">
        <v>1029</v>
      </c>
      <c r="Y62" s="3">
        <v>534</v>
      </c>
      <c r="Z62" s="3">
        <v>492</v>
      </c>
      <c r="AA62" s="3">
        <f t="shared" si="0"/>
        <v>208</v>
      </c>
      <c r="AB62" s="11">
        <f t="shared" si="1"/>
        <v>65.792031098153544</v>
      </c>
    </row>
    <row r="63" spans="1:28" ht="49.5" customHeight="1" x14ac:dyDescent="0.25">
      <c r="A63" s="7">
        <v>61</v>
      </c>
      <c r="B63" s="8">
        <v>170</v>
      </c>
      <c r="C63" s="7">
        <v>257</v>
      </c>
      <c r="D63" s="7">
        <v>114</v>
      </c>
      <c r="E63" s="7">
        <v>3</v>
      </c>
      <c r="F63" s="8">
        <v>1</v>
      </c>
      <c r="G63" s="8">
        <v>3</v>
      </c>
      <c r="H63" s="8">
        <v>2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3</v>
      </c>
      <c r="O63" s="8">
        <v>5</v>
      </c>
      <c r="P63" s="7">
        <v>558</v>
      </c>
      <c r="Q63" s="7">
        <v>0</v>
      </c>
      <c r="R63" s="7">
        <v>8</v>
      </c>
      <c r="S63" s="7">
        <v>566</v>
      </c>
      <c r="T63" s="7">
        <v>0</v>
      </c>
      <c r="U63" s="7">
        <v>61</v>
      </c>
      <c r="V63" s="8" t="s">
        <v>111</v>
      </c>
      <c r="W63" s="8" t="s">
        <v>114</v>
      </c>
      <c r="X63" s="4">
        <v>1044</v>
      </c>
      <c r="Y63" s="3">
        <v>575</v>
      </c>
      <c r="Z63" s="3">
        <v>468</v>
      </c>
      <c r="AA63" s="3">
        <f t="shared" si="0"/>
        <v>56</v>
      </c>
      <c r="AB63" s="11">
        <f t="shared" si="1"/>
        <v>53.448275862068961</v>
      </c>
    </row>
    <row r="64" spans="1:28" ht="49.5" customHeight="1" x14ac:dyDescent="0.25">
      <c r="A64" s="7">
        <v>62</v>
      </c>
      <c r="B64" s="8">
        <v>374</v>
      </c>
      <c r="C64" s="7">
        <v>157</v>
      </c>
      <c r="D64" s="7">
        <v>30</v>
      </c>
      <c r="E64" s="7">
        <v>1</v>
      </c>
      <c r="F64" s="8">
        <v>1</v>
      </c>
      <c r="G64" s="8">
        <v>9</v>
      </c>
      <c r="H64" s="8">
        <v>0</v>
      </c>
      <c r="I64" s="8">
        <v>0</v>
      </c>
      <c r="J64" s="8">
        <v>1</v>
      </c>
      <c r="K64" s="8">
        <v>1</v>
      </c>
      <c r="L64" s="8">
        <v>0</v>
      </c>
      <c r="M64" s="8">
        <v>0</v>
      </c>
      <c r="N64" s="8">
        <v>1</v>
      </c>
      <c r="O64" s="8">
        <v>3</v>
      </c>
      <c r="P64" s="7">
        <v>578</v>
      </c>
      <c r="Q64" s="7">
        <v>0</v>
      </c>
      <c r="R64" s="7">
        <v>3</v>
      </c>
      <c r="S64" s="7">
        <v>581</v>
      </c>
      <c r="T64" s="7">
        <v>0</v>
      </c>
      <c r="U64" s="7">
        <v>62</v>
      </c>
      <c r="V64" s="8" t="s">
        <v>111</v>
      </c>
      <c r="W64" s="8" t="s">
        <v>115</v>
      </c>
      <c r="X64" s="4">
        <v>889</v>
      </c>
      <c r="Y64" s="3">
        <v>487</v>
      </c>
      <c r="Z64" s="3">
        <v>398</v>
      </c>
      <c r="AA64" s="3">
        <f t="shared" si="0"/>
        <v>344</v>
      </c>
      <c r="AB64" s="11">
        <f t="shared" si="1"/>
        <v>65.016872890888649</v>
      </c>
    </row>
    <row r="65" spans="1:28" ht="49.5" customHeight="1" x14ac:dyDescent="0.25">
      <c r="A65" s="7">
        <v>63</v>
      </c>
      <c r="B65" s="8">
        <v>28</v>
      </c>
      <c r="C65" s="7">
        <v>198</v>
      </c>
      <c r="D65" s="7">
        <v>9</v>
      </c>
      <c r="E65" s="7">
        <v>1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2</v>
      </c>
      <c r="P65" s="7">
        <v>238</v>
      </c>
      <c r="Q65" s="7">
        <v>0</v>
      </c>
      <c r="R65" s="7">
        <v>2</v>
      </c>
      <c r="S65" s="7">
        <v>240</v>
      </c>
      <c r="T65" s="7">
        <v>0</v>
      </c>
      <c r="U65" s="7">
        <v>63</v>
      </c>
      <c r="V65" s="8" t="s">
        <v>111</v>
      </c>
      <c r="W65" s="8" t="s">
        <v>116</v>
      </c>
      <c r="X65" s="4">
        <v>350</v>
      </c>
      <c r="Y65" s="3">
        <v>190</v>
      </c>
      <c r="Z65" s="3">
        <v>160</v>
      </c>
      <c r="AA65" s="3">
        <f t="shared" si="0"/>
        <v>19</v>
      </c>
      <c r="AB65" s="11">
        <f t="shared" si="1"/>
        <v>68</v>
      </c>
    </row>
    <row r="66" spans="1:28" ht="49.5" customHeight="1" x14ac:dyDescent="0.25">
      <c r="A66" s="9">
        <v>64</v>
      </c>
      <c r="B66" s="10">
        <v>53</v>
      </c>
      <c r="C66" s="9">
        <v>285</v>
      </c>
      <c r="D66" s="9">
        <v>60</v>
      </c>
      <c r="E66" s="9">
        <v>0</v>
      </c>
      <c r="F66" s="10">
        <v>0</v>
      </c>
      <c r="G66" s="10">
        <v>1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2</v>
      </c>
      <c r="O66" s="10">
        <v>2</v>
      </c>
      <c r="P66" s="9">
        <v>403</v>
      </c>
      <c r="Q66" s="9">
        <v>0</v>
      </c>
      <c r="R66" s="9">
        <v>1</v>
      </c>
      <c r="S66" s="9">
        <v>404</v>
      </c>
      <c r="T66" s="9">
        <v>0</v>
      </c>
      <c r="U66" s="9">
        <v>64</v>
      </c>
      <c r="V66" s="10" t="s">
        <v>111</v>
      </c>
      <c r="W66" s="10" t="s">
        <v>117</v>
      </c>
      <c r="X66" s="4">
        <v>531</v>
      </c>
      <c r="Y66" s="3">
        <v>288</v>
      </c>
      <c r="Z66" s="3">
        <v>241</v>
      </c>
      <c r="AA66" s="3">
        <f t="shared" si="0"/>
        <v>7</v>
      </c>
      <c r="AB66" s="11">
        <f t="shared" si="1"/>
        <v>75.894538606403017</v>
      </c>
    </row>
    <row r="67" spans="1:28" ht="49.5" customHeight="1" x14ac:dyDescent="0.25">
      <c r="A67" s="7">
        <v>65</v>
      </c>
      <c r="B67" s="8">
        <v>85</v>
      </c>
      <c r="C67" s="7">
        <v>705</v>
      </c>
      <c r="D67" s="7">
        <v>38</v>
      </c>
      <c r="E67" s="7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1</v>
      </c>
      <c r="O67" s="8">
        <v>3</v>
      </c>
      <c r="P67" s="7">
        <v>832</v>
      </c>
      <c r="Q67" s="7">
        <v>0</v>
      </c>
      <c r="R67" s="7">
        <v>2</v>
      </c>
      <c r="S67" s="7">
        <v>834</v>
      </c>
      <c r="T67" s="7">
        <v>0</v>
      </c>
      <c r="U67" s="7">
        <v>65</v>
      </c>
      <c r="V67" s="8" t="s">
        <v>111</v>
      </c>
      <c r="W67" s="8" t="s">
        <v>118</v>
      </c>
      <c r="X67" s="4">
        <v>964</v>
      </c>
      <c r="Y67" s="3">
        <v>509</v>
      </c>
      <c r="Z67" s="3">
        <v>445</v>
      </c>
      <c r="AA67" s="3">
        <f t="shared" si="0"/>
        <v>47</v>
      </c>
      <c r="AB67" s="11">
        <f t="shared" si="1"/>
        <v>86.30705394190872</v>
      </c>
    </row>
    <row r="68" spans="1:28" ht="49.5" customHeight="1" x14ac:dyDescent="0.25">
      <c r="A68" s="7">
        <v>66</v>
      </c>
      <c r="B68" s="8">
        <v>420</v>
      </c>
      <c r="C68" s="7">
        <v>125</v>
      </c>
      <c r="D68" s="7">
        <v>185</v>
      </c>
      <c r="E68" s="7">
        <v>2</v>
      </c>
      <c r="F68" s="8">
        <v>0</v>
      </c>
      <c r="G68" s="8">
        <v>4</v>
      </c>
      <c r="H68" s="8">
        <v>1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1</v>
      </c>
      <c r="P68" s="7">
        <v>738</v>
      </c>
      <c r="Q68" s="7">
        <v>0</v>
      </c>
      <c r="R68" s="7">
        <v>1</v>
      </c>
      <c r="S68" s="7">
        <v>739</v>
      </c>
      <c r="T68" s="7">
        <v>0</v>
      </c>
      <c r="U68" s="7">
        <v>66</v>
      </c>
      <c r="V68" s="8" t="s">
        <v>111</v>
      </c>
      <c r="W68" s="8" t="s">
        <v>119</v>
      </c>
      <c r="X68" s="4">
        <v>947</v>
      </c>
      <c r="Y68" s="3">
        <v>485</v>
      </c>
      <c r="Z68" s="3">
        <v>456</v>
      </c>
      <c r="AA68" s="3">
        <f t="shared" ref="AA68:AA131" si="2">MAX(B68,D68)-MIN(B68,D68)</f>
        <v>235</v>
      </c>
      <c r="AB68" s="11">
        <f t="shared" ref="AB68:AB131" si="3">(P68/X68)*100</f>
        <v>77.930306230200628</v>
      </c>
    </row>
    <row r="69" spans="1:28" ht="49.5" customHeight="1" x14ac:dyDescent="0.25">
      <c r="A69" s="7">
        <v>67</v>
      </c>
      <c r="B69" s="8">
        <v>554</v>
      </c>
      <c r="C69" s="7">
        <v>81</v>
      </c>
      <c r="D69" s="7">
        <v>51</v>
      </c>
      <c r="E69" s="7">
        <v>0</v>
      </c>
      <c r="F69" s="8">
        <v>0</v>
      </c>
      <c r="G69" s="8">
        <v>14</v>
      </c>
      <c r="H69" s="8">
        <v>0</v>
      </c>
      <c r="I69" s="8">
        <v>0</v>
      </c>
      <c r="J69" s="8">
        <v>1</v>
      </c>
      <c r="K69" s="8">
        <v>0</v>
      </c>
      <c r="L69" s="8">
        <v>0</v>
      </c>
      <c r="M69" s="8">
        <v>0</v>
      </c>
      <c r="N69" s="8">
        <v>1</v>
      </c>
      <c r="O69" s="8">
        <v>0</v>
      </c>
      <c r="P69" s="7">
        <v>702</v>
      </c>
      <c r="Q69" s="7">
        <v>0</v>
      </c>
      <c r="R69" s="7">
        <v>5</v>
      </c>
      <c r="S69" s="8">
        <v>707</v>
      </c>
      <c r="T69" s="7">
        <v>0</v>
      </c>
      <c r="U69" s="7">
        <v>67</v>
      </c>
      <c r="V69" s="8" t="s">
        <v>120</v>
      </c>
      <c r="W69" s="8" t="s">
        <v>121</v>
      </c>
      <c r="X69" s="4">
        <v>1089</v>
      </c>
      <c r="Y69" s="3">
        <v>571</v>
      </c>
      <c r="Z69" s="3">
        <v>510</v>
      </c>
      <c r="AA69" s="3">
        <f t="shared" si="2"/>
        <v>503</v>
      </c>
      <c r="AB69" s="11">
        <f t="shared" si="3"/>
        <v>64.462809917355372</v>
      </c>
    </row>
    <row r="70" spans="1:28" ht="49.5" customHeight="1" x14ac:dyDescent="0.25">
      <c r="A70" s="7">
        <v>68</v>
      </c>
      <c r="B70" s="8">
        <v>204</v>
      </c>
      <c r="C70" s="7">
        <v>54</v>
      </c>
      <c r="D70" s="7">
        <v>95</v>
      </c>
      <c r="E70" s="7">
        <v>0</v>
      </c>
      <c r="F70" s="8">
        <v>0</v>
      </c>
      <c r="G70" s="8">
        <v>6</v>
      </c>
      <c r="H70" s="8">
        <v>0</v>
      </c>
      <c r="I70" s="8">
        <v>0</v>
      </c>
      <c r="J70" s="8">
        <v>1</v>
      </c>
      <c r="K70" s="8">
        <v>0</v>
      </c>
      <c r="L70" s="8">
        <v>0</v>
      </c>
      <c r="M70" s="8">
        <v>2</v>
      </c>
      <c r="N70" s="8">
        <v>1</v>
      </c>
      <c r="O70" s="8">
        <v>1</v>
      </c>
      <c r="P70" s="7">
        <v>364</v>
      </c>
      <c r="Q70" s="7">
        <v>0</v>
      </c>
      <c r="R70" s="7">
        <v>2</v>
      </c>
      <c r="S70" s="8">
        <v>366</v>
      </c>
      <c r="T70" s="7">
        <v>0</v>
      </c>
      <c r="U70" s="7">
        <v>68</v>
      </c>
      <c r="V70" s="8" t="s">
        <v>111</v>
      </c>
      <c r="W70" s="8" t="s">
        <v>121</v>
      </c>
      <c r="X70" s="4">
        <v>515</v>
      </c>
      <c r="Y70" s="3">
        <v>276</v>
      </c>
      <c r="Z70" s="3">
        <v>236</v>
      </c>
      <c r="AA70" s="3">
        <f t="shared" si="2"/>
        <v>109</v>
      </c>
      <c r="AB70" s="11">
        <f t="shared" si="3"/>
        <v>70.679611650485441</v>
      </c>
    </row>
    <row r="71" spans="1:28" ht="49.5" customHeight="1" x14ac:dyDescent="0.25">
      <c r="A71" s="7">
        <v>69</v>
      </c>
      <c r="B71" s="8">
        <v>349</v>
      </c>
      <c r="C71" s="7">
        <v>63</v>
      </c>
      <c r="D71" s="7">
        <v>217</v>
      </c>
      <c r="E71" s="7">
        <v>1</v>
      </c>
      <c r="F71" s="8">
        <v>0</v>
      </c>
      <c r="G71" s="8">
        <v>7</v>
      </c>
      <c r="H71" s="8">
        <v>0</v>
      </c>
      <c r="I71" s="8">
        <v>0</v>
      </c>
      <c r="J71" s="8">
        <v>0</v>
      </c>
      <c r="K71" s="8">
        <v>0</v>
      </c>
      <c r="L71" s="8">
        <v>1</v>
      </c>
      <c r="M71" s="8">
        <v>1</v>
      </c>
      <c r="N71" s="8">
        <v>1</v>
      </c>
      <c r="O71" s="8">
        <v>0</v>
      </c>
      <c r="P71" s="7">
        <v>640</v>
      </c>
      <c r="Q71" s="7">
        <v>0</v>
      </c>
      <c r="R71" s="7">
        <v>1</v>
      </c>
      <c r="S71" s="8">
        <v>641</v>
      </c>
      <c r="T71" s="7">
        <v>0</v>
      </c>
      <c r="U71" s="7">
        <v>69</v>
      </c>
      <c r="V71" s="8" t="s">
        <v>122</v>
      </c>
      <c r="W71" s="8" t="s">
        <v>123</v>
      </c>
      <c r="X71" s="4">
        <v>913</v>
      </c>
      <c r="Y71" s="3">
        <v>500</v>
      </c>
      <c r="Z71" s="3">
        <v>413</v>
      </c>
      <c r="AA71" s="3">
        <f t="shared" si="2"/>
        <v>132</v>
      </c>
      <c r="AB71" s="11">
        <f t="shared" si="3"/>
        <v>70.098576122672512</v>
      </c>
    </row>
    <row r="72" spans="1:28" ht="49.5" customHeight="1" x14ac:dyDescent="0.25">
      <c r="A72" s="7">
        <v>70</v>
      </c>
      <c r="B72" s="8">
        <v>199</v>
      </c>
      <c r="C72" s="7">
        <v>261</v>
      </c>
      <c r="D72" s="7">
        <v>191</v>
      </c>
      <c r="E72" s="7">
        <v>0</v>
      </c>
      <c r="F72" s="8">
        <v>0</v>
      </c>
      <c r="G72" s="8">
        <v>13</v>
      </c>
      <c r="H72" s="8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1</v>
      </c>
      <c r="P72" s="7">
        <v>666</v>
      </c>
      <c r="Q72" s="7">
        <v>0</v>
      </c>
      <c r="R72" s="7">
        <v>5</v>
      </c>
      <c r="S72" s="8">
        <v>671</v>
      </c>
      <c r="T72" s="7">
        <v>0</v>
      </c>
      <c r="U72" s="7">
        <v>70</v>
      </c>
      <c r="V72" s="8" t="s">
        <v>122</v>
      </c>
      <c r="W72" s="8" t="s">
        <v>124</v>
      </c>
      <c r="X72" s="4">
        <v>919</v>
      </c>
      <c r="Y72" s="3">
        <v>490</v>
      </c>
      <c r="Z72" s="3">
        <v>429</v>
      </c>
      <c r="AA72" s="3">
        <f t="shared" si="2"/>
        <v>8</v>
      </c>
      <c r="AB72" s="11">
        <f t="shared" si="3"/>
        <v>72.470076169749731</v>
      </c>
    </row>
    <row r="73" spans="1:28" ht="49.5" customHeight="1" x14ac:dyDescent="0.25">
      <c r="A73" s="9">
        <v>71</v>
      </c>
      <c r="B73" s="10">
        <v>240</v>
      </c>
      <c r="C73" s="9">
        <v>322</v>
      </c>
      <c r="D73" s="9">
        <v>358</v>
      </c>
      <c r="E73" s="9">
        <v>4</v>
      </c>
      <c r="F73" s="10">
        <v>2</v>
      </c>
      <c r="G73" s="10">
        <v>16</v>
      </c>
      <c r="H73" s="10">
        <v>1</v>
      </c>
      <c r="I73" s="10">
        <v>0</v>
      </c>
      <c r="J73" s="10">
        <v>1</v>
      </c>
      <c r="K73" s="10">
        <v>2</v>
      </c>
      <c r="L73" s="10">
        <v>4</v>
      </c>
      <c r="M73" s="10">
        <v>2</v>
      </c>
      <c r="N73" s="10">
        <v>3</v>
      </c>
      <c r="O73" s="10">
        <v>2</v>
      </c>
      <c r="P73" s="9">
        <v>957</v>
      </c>
      <c r="Q73" s="9">
        <v>0</v>
      </c>
      <c r="R73" s="9">
        <v>7</v>
      </c>
      <c r="S73" s="10">
        <v>964</v>
      </c>
      <c r="T73" s="9">
        <v>0</v>
      </c>
      <c r="U73" s="9">
        <v>71</v>
      </c>
      <c r="V73" s="10" t="s">
        <v>122</v>
      </c>
      <c r="W73" s="10" t="s">
        <v>125</v>
      </c>
      <c r="X73" s="4">
        <v>1274</v>
      </c>
      <c r="Y73" s="3">
        <v>692</v>
      </c>
      <c r="Z73" s="3">
        <v>580</v>
      </c>
      <c r="AA73" s="3">
        <f t="shared" si="2"/>
        <v>118</v>
      </c>
      <c r="AB73" s="11">
        <f t="shared" si="3"/>
        <v>75.117739403453683</v>
      </c>
    </row>
    <row r="74" spans="1:28" ht="49.5" customHeight="1" x14ac:dyDescent="0.25">
      <c r="A74" s="7">
        <v>72</v>
      </c>
      <c r="B74" s="8">
        <v>190</v>
      </c>
      <c r="C74" s="7">
        <v>223</v>
      </c>
      <c r="D74" s="7">
        <v>43</v>
      </c>
      <c r="E74" s="7">
        <v>0</v>
      </c>
      <c r="F74" s="7">
        <v>0</v>
      </c>
      <c r="G74" s="7">
        <v>5</v>
      </c>
      <c r="H74" s="7">
        <v>0</v>
      </c>
      <c r="I74" s="7">
        <v>0</v>
      </c>
      <c r="J74" s="7">
        <v>0</v>
      </c>
      <c r="K74" s="7">
        <v>1</v>
      </c>
      <c r="L74" s="7">
        <v>1</v>
      </c>
      <c r="M74" s="7">
        <v>1</v>
      </c>
      <c r="N74" s="7">
        <v>1</v>
      </c>
      <c r="O74" s="7">
        <v>5</v>
      </c>
      <c r="P74" s="7">
        <v>470</v>
      </c>
      <c r="Q74" s="7">
        <v>0</v>
      </c>
      <c r="R74" s="7">
        <v>4</v>
      </c>
      <c r="S74" s="8">
        <v>474</v>
      </c>
      <c r="T74" s="7">
        <v>0</v>
      </c>
      <c r="U74" s="7">
        <v>72</v>
      </c>
      <c r="V74" s="8" t="s">
        <v>126</v>
      </c>
      <c r="W74" s="8" t="s">
        <v>127</v>
      </c>
      <c r="X74" s="4">
        <v>630</v>
      </c>
      <c r="Y74" s="3">
        <v>340</v>
      </c>
      <c r="Z74" s="3">
        <v>281</v>
      </c>
      <c r="AA74" s="3">
        <f t="shared" si="2"/>
        <v>147</v>
      </c>
      <c r="AB74" s="11">
        <f t="shared" si="3"/>
        <v>74.603174603174608</v>
      </c>
    </row>
    <row r="75" spans="1:28" ht="49.5" customHeight="1" x14ac:dyDescent="0.25">
      <c r="A75" s="7">
        <v>73</v>
      </c>
      <c r="B75" s="8">
        <v>197</v>
      </c>
      <c r="C75" s="7">
        <v>71</v>
      </c>
      <c r="D75" s="7">
        <v>167</v>
      </c>
      <c r="E75" s="7">
        <v>1</v>
      </c>
      <c r="F75" s="8">
        <v>0</v>
      </c>
      <c r="G75" s="8">
        <v>34</v>
      </c>
      <c r="H75" s="8">
        <v>0</v>
      </c>
      <c r="I75" s="8">
        <v>0</v>
      </c>
      <c r="J75" s="8">
        <v>1</v>
      </c>
      <c r="K75" s="8">
        <v>0</v>
      </c>
      <c r="L75" s="8">
        <v>1</v>
      </c>
      <c r="M75" s="8">
        <v>0</v>
      </c>
      <c r="N75" s="8">
        <v>3</v>
      </c>
      <c r="O75" s="8">
        <v>2</v>
      </c>
      <c r="P75" s="7">
        <v>477</v>
      </c>
      <c r="Q75" s="7">
        <v>0</v>
      </c>
      <c r="R75" s="7">
        <v>4</v>
      </c>
      <c r="S75" s="8">
        <v>481</v>
      </c>
      <c r="T75" s="7">
        <v>0</v>
      </c>
      <c r="U75" s="7">
        <v>73</v>
      </c>
      <c r="V75" s="8" t="s">
        <v>126</v>
      </c>
      <c r="W75" s="8" t="s">
        <v>128</v>
      </c>
      <c r="X75" s="4">
        <v>647</v>
      </c>
      <c r="Y75" s="3">
        <v>341</v>
      </c>
      <c r="Z75" s="3">
        <v>306</v>
      </c>
      <c r="AA75" s="3">
        <f t="shared" si="2"/>
        <v>30</v>
      </c>
      <c r="AB75" s="11">
        <f t="shared" si="3"/>
        <v>73.724884080370941</v>
      </c>
    </row>
    <row r="76" spans="1:28" ht="49.5" customHeight="1" x14ac:dyDescent="0.25">
      <c r="A76" s="9">
        <v>74</v>
      </c>
      <c r="B76" s="10">
        <v>210</v>
      </c>
      <c r="C76" s="9">
        <v>215</v>
      </c>
      <c r="D76" s="9">
        <v>268</v>
      </c>
      <c r="E76" s="9">
        <v>0</v>
      </c>
      <c r="F76" s="9">
        <v>2</v>
      </c>
      <c r="G76" s="10">
        <v>45</v>
      </c>
      <c r="H76" s="9">
        <v>1</v>
      </c>
      <c r="I76" s="10">
        <v>3</v>
      </c>
      <c r="J76" s="9">
        <v>2</v>
      </c>
      <c r="K76" s="10">
        <v>1</v>
      </c>
      <c r="L76" s="10">
        <v>3</v>
      </c>
      <c r="M76" s="10">
        <v>2</v>
      </c>
      <c r="N76" s="10">
        <v>2</v>
      </c>
      <c r="O76" s="10">
        <v>5</v>
      </c>
      <c r="P76" s="9">
        <v>759</v>
      </c>
      <c r="Q76" s="9">
        <v>0</v>
      </c>
      <c r="R76" s="9">
        <v>7</v>
      </c>
      <c r="S76" s="10">
        <v>766</v>
      </c>
      <c r="T76" s="9">
        <v>0</v>
      </c>
      <c r="U76" s="9">
        <v>74</v>
      </c>
      <c r="V76" s="10" t="s">
        <v>129</v>
      </c>
      <c r="W76" s="10" t="s">
        <v>130</v>
      </c>
      <c r="X76" s="4">
        <v>1048</v>
      </c>
      <c r="Y76" s="3">
        <v>564</v>
      </c>
      <c r="Z76" s="3">
        <v>479</v>
      </c>
      <c r="AA76" s="3">
        <f t="shared" si="2"/>
        <v>58</v>
      </c>
      <c r="AB76" s="11">
        <f t="shared" si="3"/>
        <v>72.42366412213741</v>
      </c>
    </row>
    <row r="77" spans="1:28" ht="49.5" customHeight="1" x14ac:dyDescent="0.25">
      <c r="A77" s="7">
        <v>75</v>
      </c>
      <c r="B77" s="8">
        <v>257</v>
      </c>
      <c r="C77" s="7">
        <v>482</v>
      </c>
      <c r="D77" s="7">
        <v>105</v>
      </c>
      <c r="E77" s="7">
        <v>3</v>
      </c>
      <c r="F77" s="7">
        <v>0</v>
      </c>
      <c r="G77" s="8">
        <v>2</v>
      </c>
      <c r="H77" s="7">
        <v>0</v>
      </c>
      <c r="I77" s="8">
        <v>2</v>
      </c>
      <c r="J77" s="7">
        <v>0</v>
      </c>
      <c r="K77" s="8">
        <v>1</v>
      </c>
      <c r="L77" s="8">
        <v>0</v>
      </c>
      <c r="M77" s="8">
        <v>0</v>
      </c>
      <c r="N77" s="8">
        <v>2</v>
      </c>
      <c r="O77" s="8">
        <v>10</v>
      </c>
      <c r="P77" s="7">
        <v>864</v>
      </c>
      <c r="Q77" s="7">
        <v>0</v>
      </c>
      <c r="R77" s="7">
        <v>8</v>
      </c>
      <c r="S77" s="8">
        <v>872</v>
      </c>
      <c r="T77" s="7">
        <v>0</v>
      </c>
      <c r="U77" s="7">
        <v>75</v>
      </c>
      <c r="V77" s="8" t="s">
        <v>131</v>
      </c>
      <c r="W77" s="8" t="s">
        <v>132</v>
      </c>
      <c r="X77" s="4">
        <v>1229</v>
      </c>
      <c r="Y77" s="3">
        <v>679</v>
      </c>
      <c r="Z77" s="3">
        <v>539</v>
      </c>
      <c r="AA77" s="3">
        <f t="shared" si="2"/>
        <v>152</v>
      </c>
      <c r="AB77" s="11">
        <f t="shared" si="3"/>
        <v>70.301057770545157</v>
      </c>
    </row>
    <row r="78" spans="1:28" ht="49.5" customHeight="1" x14ac:dyDescent="0.25">
      <c r="A78" s="7">
        <v>76</v>
      </c>
      <c r="B78" s="8">
        <v>168</v>
      </c>
      <c r="C78" s="7">
        <v>335</v>
      </c>
      <c r="D78" s="7">
        <v>103</v>
      </c>
      <c r="E78" s="7">
        <v>0</v>
      </c>
      <c r="F78" s="7">
        <v>0</v>
      </c>
      <c r="G78" s="8">
        <v>2</v>
      </c>
      <c r="H78" s="7">
        <v>0</v>
      </c>
      <c r="I78" s="8">
        <v>0</v>
      </c>
      <c r="J78" s="7">
        <v>1</v>
      </c>
      <c r="K78" s="8">
        <v>0</v>
      </c>
      <c r="L78" s="8">
        <v>0</v>
      </c>
      <c r="M78" s="8">
        <v>0</v>
      </c>
      <c r="N78" s="8">
        <v>0</v>
      </c>
      <c r="O78" s="8">
        <v>4</v>
      </c>
      <c r="P78" s="7">
        <v>613</v>
      </c>
      <c r="Q78" s="7">
        <v>0</v>
      </c>
      <c r="R78" s="7">
        <v>3</v>
      </c>
      <c r="S78" s="8">
        <v>616</v>
      </c>
      <c r="T78" s="7">
        <v>0</v>
      </c>
      <c r="U78" s="7">
        <v>76</v>
      </c>
      <c r="V78" s="8" t="s">
        <v>131</v>
      </c>
      <c r="W78" s="8" t="s">
        <v>133</v>
      </c>
      <c r="X78" s="4">
        <v>853</v>
      </c>
      <c r="Y78" s="3">
        <v>464</v>
      </c>
      <c r="Z78" s="3">
        <v>381</v>
      </c>
      <c r="AA78" s="3">
        <f t="shared" si="2"/>
        <v>65</v>
      </c>
      <c r="AB78" s="11">
        <f t="shared" si="3"/>
        <v>71.864009378663539</v>
      </c>
    </row>
    <row r="79" spans="1:28" ht="49.5" customHeight="1" x14ac:dyDescent="0.25">
      <c r="A79" s="7">
        <v>77</v>
      </c>
      <c r="B79" s="8">
        <v>97</v>
      </c>
      <c r="C79" s="7">
        <v>493</v>
      </c>
      <c r="D79" s="7">
        <v>66</v>
      </c>
      <c r="E79" s="7">
        <v>2</v>
      </c>
      <c r="F79" s="7">
        <v>0</v>
      </c>
      <c r="G79" s="8">
        <v>25</v>
      </c>
      <c r="H79" s="7">
        <v>1</v>
      </c>
      <c r="I79" s="8">
        <v>0</v>
      </c>
      <c r="J79" s="7">
        <v>0</v>
      </c>
      <c r="K79" s="8">
        <v>0</v>
      </c>
      <c r="L79" s="8">
        <v>0</v>
      </c>
      <c r="M79" s="8">
        <v>1</v>
      </c>
      <c r="N79" s="8">
        <v>3</v>
      </c>
      <c r="O79" s="8">
        <v>12</v>
      </c>
      <c r="P79" s="7">
        <v>700</v>
      </c>
      <c r="Q79" s="7">
        <v>0</v>
      </c>
      <c r="R79" s="7">
        <v>2</v>
      </c>
      <c r="S79" s="8">
        <v>702</v>
      </c>
      <c r="T79" s="7">
        <v>0</v>
      </c>
      <c r="U79" s="7">
        <v>77</v>
      </c>
      <c r="V79" s="8" t="s">
        <v>134</v>
      </c>
      <c r="W79" s="8" t="s">
        <v>135</v>
      </c>
      <c r="X79" s="4">
        <v>1005</v>
      </c>
      <c r="Y79" s="3">
        <v>575</v>
      </c>
      <c r="Z79" s="3">
        <v>430</v>
      </c>
      <c r="AA79" s="3">
        <f t="shared" si="2"/>
        <v>31</v>
      </c>
      <c r="AB79" s="11">
        <f t="shared" si="3"/>
        <v>69.651741293532339</v>
      </c>
    </row>
    <row r="80" spans="1:28" ht="49.5" customHeight="1" x14ac:dyDescent="0.25">
      <c r="A80" s="7">
        <v>78</v>
      </c>
      <c r="B80" s="8">
        <v>45</v>
      </c>
      <c r="C80" s="7">
        <v>417</v>
      </c>
      <c r="D80" s="7">
        <v>40</v>
      </c>
      <c r="E80" s="7">
        <v>0</v>
      </c>
      <c r="F80" s="7">
        <v>1</v>
      </c>
      <c r="G80" s="8">
        <v>4</v>
      </c>
      <c r="H80" s="7">
        <v>0</v>
      </c>
      <c r="I80" s="8">
        <v>0</v>
      </c>
      <c r="J80" s="7">
        <v>0</v>
      </c>
      <c r="K80" s="8">
        <v>0</v>
      </c>
      <c r="L80" s="8">
        <v>1</v>
      </c>
      <c r="M80" s="8">
        <v>3</v>
      </c>
      <c r="N80" s="8">
        <v>4</v>
      </c>
      <c r="O80" s="8">
        <v>10</v>
      </c>
      <c r="P80" s="7">
        <v>525</v>
      </c>
      <c r="Q80" s="7">
        <v>0</v>
      </c>
      <c r="R80" s="7">
        <v>2</v>
      </c>
      <c r="S80" s="8">
        <v>527</v>
      </c>
      <c r="T80" s="7">
        <v>0</v>
      </c>
      <c r="U80" s="7">
        <v>78</v>
      </c>
      <c r="V80" s="8" t="s">
        <v>134</v>
      </c>
      <c r="W80" s="8" t="s">
        <v>136</v>
      </c>
      <c r="X80" s="4">
        <v>901</v>
      </c>
      <c r="Y80" s="3">
        <v>497</v>
      </c>
      <c r="Z80" s="3">
        <v>403</v>
      </c>
      <c r="AA80" s="3">
        <f t="shared" si="2"/>
        <v>5</v>
      </c>
      <c r="AB80" s="11">
        <f t="shared" si="3"/>
        <v>58.268590455049939</v>
      </c>
    </row>
    <row r="81" spans="1:28" ht="49.5" customHeight="1" x14ac:dyDescent="0.25">
      <c r="A81" s="7">
        <v>79</v>
      </c>
      <c r="B81" s="8">
        <v>58</v>
      </c>
      <c r="C81" s="7">
        <v>477</v>
      </c>
      <c r="D81" s="7">
        <v>8</v>
      </c>
      <c r="E81" s="7">
        <v>0</v>
      </c>
      <c r="F81" s="7">
        <v>0</v>
      </c>
      <c r="G81" s="8">
        <v>1</v>
      </c>
      <c r="H81" s="7">
        <v>1</v>
      </c>
      <c r="I81" s="8">
        <v>1</v>
      </c>
      <c r="J81" s="7">
        <v>0</v>
      </c>
      <c r="K81" s="8">
        <v>1</v>
      </c>
      <c r="L81" s="8">
        <v>2</v>
      </c>
      <c r="M81" s="8">
        <v>0</v>
      </c>
      <c r="N81" s="8">
        <v>0</v>
      </c>
      <c r="O81" s="8">
        <v>3</v>
      </c>
      <c r="P81" s="7">
        <v>552</v>
      </c>
      <c r="Q81" s="7">
        <v>0</v>
      </c>
      <c r="R81" s="7">
        <v>1</v>
      </c>
      <c r="S81" s="8">
        <v>553</v>
      </c>
      <c r="T81" s="7">
        <v>0</v>
      </c>
      <c r="U81" s="7">
        <v>79</v>
      </c>
      <c r="V81" s="8" t="s">
        <v>137</v>
      </c>
      <c r="W81" s="8" t="s">
        <v>138</v>
      </c>
      <c r="X81" s="4">
        <v>740</v>
      </c>
      <c r="Y81" s="3">
        <v>414</v>
      </c>
      <c r="Z81" s="3">
        <v>325</v>
      </c>
      <c r="AA81" s="3">
        <f t="shared" si="2"/>
        <v>50</v>
      </c>
      <c r="AB81" s="11">
        <f t="shared" si="3"/>
        <v>74.594594594594597</v>
      </c>
    </row>
    <row r="82" spans="1:28" ht="49.5" customHeight="1" x14ac:dyDescent="0.25">
      <c r="A82" s="7">
        <v>80</v>
      </c>
      <c r="B82" s="8">
        <v>98</v>
      </c>
      <c r="C82" s="7">
        <v>451</v>
      </c>
      <c r="D82" s="7">
        <v>16</v>
      </c>
      <c r="E82" s="7">
        <v>1</v>
      </c>
      <c r="F82" s="7">
        <v>2</v>
      </c>
      <c r="G82" s="8">
        <v>2</v>
      </c>
      <c r="H82" s="7">
        <v>0</v>
      </c>
      <c r="I82" s="8">
        <v>0</v>
      </c>
      <c r="J82" s="7">
        <v>0</v>
      </c>
      <c r="K82" s="8">
        <v>0</v>
      </c>
      <c r="L82" s="8">
        <v>0</v>
      </c>
      <c r="M82" s="8">
        <v>0</v>
      </c>
      <c r="N82" s="8">
        <v>0</v>
      </c>
      <c r="O82" s="8">
        <v>4</v>
      </c>
      <c r="P82" s="7">
        <v>574</v>
      </c>
      <c r="Q82" s="7">
        <v>0</v>
      </c>
      <c r="R82" s="7">
        <v>5</v>
      </c>
      <c r="S82" s="8">
        <v>579</v>
      </c>
      <c r="T82" s="7">
        <v>0</v>
      </c>
      <c r="U82" s="7">
        <v>80</v>
      </c>
      <c r="V82" s="8" t="s">
        <v>137</v>
      </c>
      <c r="W82" s="8" t="s">
        <v>139</v>
      </c>
      <c r="X82" s="4">
        <v>838</v>
      </c>
      <c r="Y82" s="3">
        <v>460</v>
      </c>
      <c r="Z82" s="3">
        <v>374</v>
      </c>
      <c r="AA82" s="3">
        <f t="shared" si="2"/>
        <v>82</v>
      </c>
      <c r="AB82" s="11">
        <f t="shared" si="3"/>
        <v>68.496420047732698</v>
      </c>
    </row>
    <row r="83" spans="1:28" ht="49.5" customHeight="1" x14ac:dyDescent="0.25">
      <c r="A83" s="7">
        <v>81</v>
      </c>
      <c r="B83" s="8">
        <v>164</v>
      </c>
      <c r="C83" s="7">
        <v>647</v>
      </c>
      <c r="D83" s="7">
        <v>98</v>
      </c>
      <c r="E83" s="7">
        <v>2</v>
      </c>
      <c r="F83" s="7">
        <v>1</v>
      </c>
      <c r="G83" s="8">
        <v>1</v>
      </c>
      <c r="H83" s="7">
        <v>10</v>
      </c>
      <c r="I83" s="8">
        <v>1</v>
      </c>
      <c r="J83" s="7">
        <v>0</v>
      </c>
      <c r="K83" s="8">
        <v>3</v>
      </c>
      <c r="L83" s="8">
        <v>4</v>
      </c>
      <c r="M83" s="8">
        <v>1</v>
      </c>
      <c r="N83" s="8">
        <v>2</v>
      </c>
      <c r="O83" s="8">
        <v>5</v>
      </c>
      <c r="P83" s="7">
        <v>939</v>
      </c>
      <c r="Q83" s="7">
        <v>0</v>
      </c>
      <c r="R83" s="7">
        <v>3</v>
      </c>
      <c r="S83" s="8">
        <v>942</v>
      </c>
      <c r="T83" s="7">
        <v>0</v>
      </c>
      <c r="U83" s="7">
        <v>81</v>
      </c>
      <c r="V83" s="8" t="s">
        <v>140</v>
      </c>
      <c r="W83" s="8" t="s">
        <v>141</v>
      </c>
      <c r="X83" s="4">
        <v>1294</v>
      </c>
      <c r="Y83" s="3">
        <v>709</v>
      </c>
      <c r="Z83" s="3">
        <v>579</v>
      </c>
      <c r="AA83" s="3">
        <f t="shared" si="2"/>
        <v>66</v>
      </c>
      <c r="AB83" s="11">
        <f t="shared" si="3"/>
        <v>72.565687789799071</v>
      </c>
    </row>
    <row r="84" spans="1:28" ht="49.5" customHeight="1" x14ac:dyDescent="0.25">
      <c r="A84" s="7">
        <v>82</v>
      </c>
      <c r="B84" s="8">
        <v>329</v>
      </c>
      <c r="C84" s="7">
        <v>296</v>
      </c>
      <c r="D84" s="7">
        <v>45</v>
      </c>
      <c r="E84" s="7">
        <v>0</v>
      </c>
      <c r="F84" s="7">
        <v>0</v>
      </c>
      <c r="G84" s="8">
        <v>0</v>
      </c>
      <c r="H84" s="7">
        <v>1</v>
      </c>
      <c r="I84" s="8">
        <v>0</v>
      </c>
      <c r="J84" s="7">
        <v>0</v>
      </c>
      <c r="K84" s="8">
        <v>1</v>
      </c>
      <c r="L84" s="8">
        <v>0</v>
      </c>
      <c r="M84" s="8">
        <v>0</v>
      </c>
      <c r="N84" s="8">
        <v>0</v>
      </c>
      <c r="O84" s="8">
        <v>2</v>
      </c>
      <c r="P84" s="7">
        <v>674</v>
      </c>
      <c r="Q84" s="7">
        <v>0</v>
      </c>
      <c r="R84" s="7">
        <v>4</v>
      </c>
      <c r="S84" s="8">
        <v>678</v>
      </c>
      <c r="T84" s="7">
        <v>0</v>
      </c>
      <c r="U84" s="7">
        <v>82</v>
      </c>
      <c r="V84" s="8" t="s">
        <v>142</v>
      </c>
      <c r="W84" s="8" t="s">
        <v>143</v>
      </c>
      <c r="X84" s="4">
        <v>901</v>
      </c>
      <c r="Y84" s="3">
        <v>490</v>
      </c>
      <c r="Z84" s="3">
        <v>411</v>
      </c>
      <c r="AA84" s="3">
        <f t="shared" si="2"/>
        <v>284</v>
      </c>
      <c r="AB84" s="11">
        <f t="shared" si="3"/>
        <v>74.805771365149837</v>
      </c>
    </row>
    <row r="85" spans="1:28" ht="49.5" customHeight="1" x14ac:dyDescent="0.25">
      <c r="A85" s="7">
        <v>83</v>
      </c>
      <c r="B85" s="8">
        <v>205</v>
      </c>
      <c r="C85" s="7">
        <v>366</v>
      </c>
      <c r="D85" s="7">
        <v>59</v>
      </c>
      <c r="E85" s="7">
        <v>1</v>
      </c>
      <c r="F85" s="7">
        <v>0</v>
      </c>
      <c r="G85" s="8">
        <v>0</v>
      </c>
      <c r="H85" s="7">
        <v>2</v>
      </c>
      <c r="I85" s="8">
        <v>2</v>
      </c>
      <c r="J85" s="7">
        <v>0</v>
      </c>
      <c r="K85" s="8">
        <v>0</v>
      </c>
      <c r="L85" s="8">
        <v>0</v>
      </c>
      <c r="M85" s="8">
        <v>0</v>
      </c>
      <c r="N85" s="8">
        <v>1</v>
      </c>
      <c r="O85" s="8">
        <v>2</v>
      </c>
      <c r="P85" s="7">
        <v>638</v>
      </c>
      <c r="Q85" s="7">
        <v>0</v>
      </c>
      <c r="R85" s="7">
        <v>1</v>
      </c>
      <c r="S85" s="8">
        <v>639</v>
      </c>
      <c r="T85" s="7">
        <v>0</v>
      </c>
      <c r="U85" s="7">
        <v>83</v>
      </c>
      <c r="V85" s="8" t="s">
        <v>142</v>
      </c>
      <c r="W85" s="8" t="s">
        <v>144</v>
      </c>
      <c r="X85" s="4">
        <v>922</v>
      </c>
      <c r="Y85" s="3">
        <v>491</v>
      </c>
      <c r="Z85" s="3">
        <v>429</v>
      </c>
      <c r="AA85" s="3">
        <f t="shared" si="2"/>
        <v>146</v>
      </c>
      <c r="AB85" s="11">
        <f t="shared" si="3"/>
        <v>69.197396963123651</v>
      </c>
    </row>
    <row r="86" spans="1:28" ht="49.5" customHeight="1" x14ac:dyDescent="0.25">
      <c r="A86" s="7">
        <v>84</v>
      </c>
      <c r="B86" s="8">
        <v>59</v>
      </c>
      <c r="C86" s="7">
        <v>464</v>
      </c>
      <c r="D86" s="7">
        <v>44</v>
      </c>
      <c r="E86" s="7">
        <v>3</v>
      </c>
      <c r="F86" s="7">
        <v>1</v>
      </c>
      <c r="G86" s="8">
        <v>0</v>
      </c>
      <c r="H86" s="7">
        <v>0</v>
      </c>
      <c r="I86" s="8">
        <v>1</v>
      </c>
      <c r="J86" s="7">
        <v>0</v>
      </c>
      <c r="K86" s="8">
        <v>1</v>
      </c>
      <c r="L86" s="8">
        <v>1</v>
      </c>
      <c r="M86" s="8">
        <v>0</v>
      </c>
      <c r="N86" s="8">
        <v>1</v>
      </c>
      <c r="O86" s="8">
        <v>3</v>
      </c>
      <c r="P86" s="7">
        <v>578</v>
      </c>
      <c r="Q86" s="7">
        <v>0</v>
      </c>
      <c r="R86" s="7">
        <v>2</v>
      </c>
      <c r="S86" s="8">
        <v>580</v>
      </c>
      <c r="T86" s="7">
        <v>0</v>
      </c>
      <c r="U86" s="7">
        <v>84</v>
      </c>
      <c r="V86" s="8" t="s">
        <v>142</v>
      </c>
      <c r="W86" s="8" t="s">
        <v>145</v>
      </c>
      <c r="X86" s="4">
        <v>762</v>
      </c>
      <c r="Y86" s="3">
        <v>418</v>
      </c>
      <c r="Z86" s="3">
        <v>344</v>
      </c>
      <c r="AA86" s="3">
        <f t="shared" si="2"/>
        <v>15</v>
      </c>
      <c r="AB86" s="11">
        <f t="shared" si="3"/>
        <v>75.853018372703403</v>
      </c>
    </row>
    <row r="87" spans="1:28" ht="49.5" customHeight="1" x14ac:dyDescent="0.25">
      <c r="A87" s="7">
        <v>85</v>
      </c>
      <c r="B87" s="8">
        <v>146</v>
      </c>
      <c r="C87" s="7">
        <v>361</v>
      </c>
      <c r="D87" s="7">
        <v>88</v>
      </c>
      <c r="E87" s="7">
        <v>3</v>
      </c>
      <c r="F87" s="7">
        <v>1</v>
      </c>
      <c r="G87" s="8">
        <v>0</v>
      </c>
      <c r="H87" s="7">
        <v>0</v>
      </c>
      <c r="I87" s="8">
        <v>0</v>
      </c>
      <c r="J87" s="7">
        <v>1</v>
      </c>
      <c r="K87" s="8">
        <v>1</v>
      </c>
      <c r="L87" s="8">
        <v>0</v>
      </c>
      <c r="M87" s="8">
        <v>0</v>
      </c>
      <c r="N87" s="8">
        <v>1</v>
      </c>
      <c r="O87" s="8">
        <v>4</v>
      </c>
      <c r="P87" s="7">
        <v>606</v>
      </c>
      <c r="Q87" s="7">
        <v>0</v>
      </c>
      <c r="R87" s="7">
        <v>8</v>
      </c>
      <c r="S87" s="8">
        <v>614</v>
      </c>
      <c r="T87" s="7">
        <v>0</v>
      </c>
      <c r="U87" s="7">
        <v>85</v>
      </c>
      <c r="V87" s="8" t="s">
        <v>142</v>
      </c>
      <c r="W87" s="8" t="s">
        <v>146</v>
      </c>
      <c r="X87" s="4">
        <v>897</v>
      </c>
      <c r="Y87" s="3">
        <v>487</v>
      </c>
      <c r="Z87" s="3">
        <v>409</v>
      </c>
      <c r="AA87" s="3">
        <f t="shared" si="2"/>
        <v>58</v>
      </c>
      <c r="AB87" s="11">
        <f t="shared" si="3"/>
        <v>67.558528428093638</v>
      </c>
    </row>
    <row r="88" spans="1:28" ht="49.5" customHeight="1" x14ac:dyDescent="0.25">
      <c r="A88" s="7">
        <v>86</v>
      </c>
      <c r="B88" s="8">
        <v>192</v>
      </c>
      <c r="C88" s="7">
        <v>464</v>
      </c>
      <c r="D88" s="7">
        <v>78</v>
      </c>
      <c r="E88" s="7">
        <v>1</v>
      </c>
      <c r="F88" s="7">
        <v>1</v>
      </c>
      <c r="G88" s="8">
        <v>0</v>
      </c>
      <c r="H88" s="7">
        <v>1</v>
      </c>
      <c r="I88" s="8">
        <v>1</v>
      </c>
      <c r="J88" s="7">
        <v>0</v>
      </c>
      <c r="K88" s="8">
        <v>2</v>
      </c>
      <c r="L88" s="8">
        <v>0</v>
      </c>
      <c r="M88" s="8">
        <v>0</v>
      </c>
      <c r="N88" s="8">
        <v>2</v>
      </c>
      <c r="O88" s="8">
        <v>3</v>
      </c>
      <c r="P88" s="7">
        <v>745</v>
      </c>
      <c r="Q88" s="7">
        <v>0</v>
      </c>
      <c r="R88" s="7">
        <v>4</v>
      </c>
      <c r="S88" s="8">
        <v>749</v>
      </c>
      <c r="T88" s="7">
        <v>0</v>
      </c>
      <c r="U88" s="7">
        <v>86</v>
      </c>
      <c r="V88" s="8" t="s">
        <v>147</v>
      </c>
      <c r="W88" s="8" t="s">
        <v>148</v>
      </c>
      <c r="X88" s="4">
        <v>1098</v>
      </c>
      <c r="Y88" s="3">
        <v>574</v>
      </c>
      <c r="Z88" s="3">
        <v>520</v>
      </c>
      <c r="AA88" s="3">
        <f t="shared" si="2"/>
        <v>114</v>
      </c>
      <c r="AB88" s="11">
        <f t="shared" si="3"/>
        <v>67.850637522768679</v>
      </c>
    </row>
    <row r="89" spans="1:28" ht="49.5" customHeight="1" x14ac:dyDescent="0.25">
      <c r="A89" s="7">
        <v>87</v>
      </c>
      <c r="B89" s="8">
        <v>161</v>
      </c>
      <c r="C89" s="7">
        <v>238</v>
      </c>
      <c r="D89" s="7">
        <v>109</v>
      </c>
      <c r="E89" s="7">
        <v>2</v>
      </c>
      <c r="F89" s="7">
        <v>0</v>
      </c>
      <c r="G89" s="8">
        <v>0</v>
      </c>
      <c r="H89" s="7">
        <v>0</v>
      </c>
      <c r="I89" s="8">
        <v>0</v>
      </c>
      <c r="J89" s="7">
        <v>0</v>
      </c>
      <c r="K89" s="8">
        <v>0</v>
      </c>
      <c r="L89" s="8">
        <v>0</v>
      </c>
      <c r="M89" s="8">
        <v>0</v>
      </c>
      <c r="N89" s="8">
        <v>5</v>
      </c>
      <c r="O89" s="8">
        <v>3</v>
      </c>
      <c r="P89" s="7">
        <v>518</v>
      </c>
      <c r="Q89" s="7">
        <v>0</v>
      </c>
      <c r="R89" s="7">
        <v>4</v>
      </c>
      <c r="S89" s="8">
        <v>522</v>
      </c>
      <c r="T89" s="7">
        <v>0</v>
      </c>
      <c r="U89" s="7">
        <v>87</v>
      </c>
      <c r="V89" s="8" t="s">
        <v>147</v>
      </c>
      <c r="W89" s="8" t="s">
        <v>149</v>
      </c>
      <c r="X89" s="4">
        <v>880</v>
      </c>
      <c r="Y89" s="3">
        <v>472</v>
      </c>
      <c r="Z89" s="3">
        <v>404</v>
      </c>
      <c r="AA89" s="3">
        <f t="shared" si="2"/>
        <v>52</v>
      </c>
      <c r="AB89" s="11">
        <f t="shared" si="3"/>
        <v>58.86363636363636</v>
      </c>
    </row>
    <row r="90" spans="1:28" ht="49.5" customHeight="1" x14ac:dyDescent="0.25">
      <c r="A90" s="7">
        <v>88</v>
      </c>
      <c r="B90" s="8">
        <v>205</v>
      </c>
      <c r="C90" s="7">
        <v>231</v>
      </c>
      <c r="D90" s="7">
        <v>64</v>
      </c>
      <c r="E90" s="7">
        <v>0</v>
      </c>
      <c r="F90" s="7">
        <v>2</v>
      </c>
      <c r="G90" s="8">
        <v>1</v>
      </c>
      <c r="H90" s="7">
        <v>0</v>
      </c>
      <c r="I90" s="8">
        <v>1</v>
      </c>
      <c r="J90" s="7">
        <v>0</v>
      </c>
      <c r="K90" s="8">
        <v>0</v>
      </c>
      <c r="L90" s="8">
        <v>0</v>
      </c>
      <c r="M90" s="8">
        <v>1</v>
      </c>
      <c r="N90" s="8">
        <v>2</v>
      </c>
      <c r="O90" s="8">
        <v>2</v>
      </c>
      <c r="P90" s="7">
        <v>509</v>
      </c>
      <c r="Q90" s="7">
        <v>0</v>
      </c>
      <c r="R90" s="7">
        <v>2</v>
      </c>
      <c r="S90" s="8">
        <v>511</v>
      </c>
      <c r="T90" s="7">
        <v>0</v>
      </c>
      <c r="U90" s="7">
        <v>88</v>
      </c>
      <c r="V90" s="8" t="s">
        <v>147</v>
      </c>
      <c r="W90" s="8" t="s">
        <v>150</v>
      </c>
      <c r="X90" s="4">
        <v>816</v>
      </c>
      <c r="Y90" s="3">
        <v>426</v>
      </c>
      <c r="Z90" s="3">
        <v>387</v>
      </c>
      <c r="AA90" s="3">
        <f t="shared" si="2"/>
        <v>141</v>
      </c>
      <c r="AB90" s="11">
        <f t="shared" si="3"/>
        <v>62.377450980392155</v>
      </c>
    </row>
    <row r="91" spans="1:28" ht="49.5" customHeight="1" x14ac:dyDescent="0.25">
      <c r="A91" s="9">
        <v>89</v>
      </c>
      <c r="B91" s="10">
        <v>184</v>
      </c>
      <c r="C91" s="9">
        <v>333</v>
      </c>
      <c r="D91" s="9">
        <v>201</v>
      </c>
      <c r="E91" s="9">
        <v>2</v>
      </c>
      <c r="F91" s="9">
        <v>1</v>
      </c>
      <c r="G91" s="10">
        <v>0</v>
      </c>
      <c r="H91" s="9">
        <v>0</v>
      </c>
      <c r="I91" s="10">
        <v>1</v>
      </c>
      <c r="J91" s="9">
        <v>1</v>
      </c>
      <c r="K91" s="10">
        <v>1</v>
      </c>
      <c r="L91" s="10">
        <v>0</v>
      </c>
      <c r="M91" s="10">
        <v>2</v>
      </c>
      <c r="N91" s="10">
        <v>0</v>
      </c>
      <c r="O91" s="10">
        <v>5</v>
      </c>
      <c r="P91" s="9">
        <v>731</v>
      </c>
      <c r="Q91" s="9">
        <v>0</v>
      </c>
      <c r="R91" s="9">
        <v>5</v>
      </c>
      <c r="S91" s="10">
        <v>736</v>
      </c>
      <c r="T91" s="9">
        <v>0</v>
      </c>
      <c r="U91" s="9">
        <v>89</v>
      </c>
      <c r="V91" s="10" t="s">
        <v>147</v>
      </c>
      <c r="W91" s="10" t="s">
        <v>151</v>
      </c>
      <c r="X91" s="4">
        <v>1154</v>
      </c>
      <c r="Y91" s="3">
        <v>619</v>
      </c>
      <c r="Z91" s="3">
        <v>532</v>
      </c>
      <c r="AA91" s="3">
        <f t="shared" si="2"/>
        <v>17</v>
      </c>
      <c r="AB91" s="11">
        <f t="shared" si="3"/>
        <v>63.344887348353552</v>
      </c>
    </row>
    <row r="92" spans="1:28" ht="49.5" customHeight="1" x14ac:dyDescent="0.25">
      <c r="A92" s="7">
        <v>90</v>
      </c>
      <c r="B92" s="8">
        <v>256</v>
      </c>
      <c r="C92" s="7">
        <v>294</v>
      </c>
      <c r="D92" s="7">
        <v>100</v>
      </c>
      <c r="E92" s="7">
        <v>3</v>
      </c>
      <c r="F92" s="7">
        <v>0</v>
      </c>
      <c r="G92" s="8">
        <v>5</v>
      </c>
      <c r="H92" s="7">
        <v>0</v>
      </c>
      <c r="I92" s="8">
        <v>0</v>
      </c>
      <c r="J92" s="7">
        <v>0</v>
      </c>
      <c r="K92" s="8">
        <v>0</v>
      </c>
      <c r="L92" s="8">
        <v>0</v>
      </c>
      <c r="M92" s="8">
        <v>1</v>
      </c>
      <c r="N92" s="8">
        <v>1</v>
      </c>
      <c r="O92" s="8">
        <v>5</v>
      </c>
      <c r="P92" s="7">
        <v>665</v>
      </c>
      <c r="Q92" s="7">
        <v>0</v>
      </c>
      <c r="R92" s="7">
        <v>1</v>
      </c>
      <c r="S92" s="8">
        <v>666</v>
      </c>
      <c r="T92" s="7">
        <v>0</v>
      </c>
      <c r="U92" s="7">
        <v>90</v>
      </c>
      <c r="V92" s="8" t="s">
        <v>147</v>
      </c>
      <c r="W92" s="8" t="s">
        <v>152</v>
      </c>
      <c r="X92" s="4">
        <v>1344</v>
      </c>
      <c r="Y92" s="3">
        <v>744</v>
      </c>
      <c r="Z92" s="3">
        <v>595</v>
      </c>
      <c r="AA92" s="3">
        <f t="shared" si="2"/>
        <v>156</v>
      </c>
      <c r="AB92" s="11">
        <f t="shared" si="3"/>
        <v>49.479166666666671</v>
      </c>
    </row>
    <row r="93" spans="1:28" ht="49.5" customHeight="1" x14ac:dyDescent="0.25">
      <c r="A93" s="7">
        <v>91</v>
      </c>
      <c r="B93" s="8">
        <v>170</v>
      </c>
      <c r="C93" s="7">
        <v>272</v>
      </c>
      <c r="D93" s="7">
        <v>87</v>
      </c>
      <c r="E93" s="7">
        <v>2</v>
      </c>
      <c r="F93" s="7">
        <v>1</v>
      </c>
      <c r="G93" s="8">
        <v>1</v>
      </c>
      <c r="H93" s="7">
        <v>0</v>
      </c>
      <c r="I93" s="8">
        <v>0</v>
      </c>
      <c r="J93" s="7">
        <v>1</v>
      </c>
      <c r="K93" s="8">
        <v>1</v>
      </c>
      <c r="L93" s="8">
        <v>1</v>
      </c>
      <c r="M93" s="8">
        <v>3</v>
      </c>
      <c r="N93" s="8">
        <v>0</v>
      </c>
      <c r="O93" s="8">
        <v>2</v>
      </c>
      <c r="P93" s="7">
        <v>541</v>
      </c>
      <c r="Q93" s="7">
        <v>0</v>
      </c>
      <c r="R93" s="7">
        <v>3</v>
      </c>
      <c r="S93" s="8">
        <v>544</v>
      </c>
      <c r="T93" s="7">
        <v>0</v>
      </c>
      <c r="U93" s="7">
        <v>91</v>
      </c>
      <c r="V93" s="8" t="s">
        <v>147</v>
      </c>
      <c r="W93" s="8" t="s">
        <v>153</v>
      </c>
      <c r="X93" s="4">
        <v>935</v>
      </c>
      <c r="Y93" s="3">
        <v>481</v>
      </c>
      <c r="Z93" s="3">
        <v>454</v>
      </c>
      <c r="AA93" s="3">
        <f t="shared" si="2"/>
        <v>83</v>
      </c>
      <c r="AB93" s="11">
        <f t="shared" si="3"/>
        <v>57.860962566844918</v>
      </c>
    </row>
    <row r="94" spans="1:28" ht="49.5" customHeight="1" x14ac:dyDescent="0.25">
      <c r="A94" s="7">
        <v>92</v>
      </c>
      <c r="B94" s="8">
        <v>326</v>
      </c>
      <c r="C94" s="7">
        <v>310</v>
      </c>
      <c r="D94" s="7">
        <v>75</v>
      </c>
      <c r="E94" s="7">
        <v>3</v>
      </c>
      <c r="F94" s="7">
        <v>1</v>
      </c>
      <c r="G94" s="8">
        <v>5</v>
      </c>
      <c r="H94" s="7">
        <v>0</v>
      </c>
      <c r="I94" s="8">
        <v>0</v>
      </c>
      <c r="J94" s="7">
        <v>0</v>
      </c>
      <c r="K94" s="8">
        <v>1</v>
      </c>
      <c r="L94" s="8">
        <v>2</v>
      </c>
      <c r="M94" s="8">
        <v>0</v>
      </c>
      <c r="N94" s="8">
        <v>1</v>
      </c>
      <c r="O94" s="8">
        <v>3</v>
      </c>
      <c r="P94" s="7">
        <v>727</v>
      </c>
      <c r="Q94" s="7">
        <v>0</v>
      </c>
      <c r="R94" s="7">
        <v>7</v>
      </c>
      <c r="S94" s="8">
        <v>734</v>
      </c>
      <c r="T94" s="7">
        <v>0</v>
      </c>
      <c r="U94" s="7">
        <v>92</v>
      </c>
      <c r="V94" s="8" t="s">
        <v>147</v>
      </c>
      <c r="W94" s="8" t="s">
        <v>154</v>
      </c>
      <c r="X94" s="4">
        <v>1412</v>
      </c>
      <c r="Y94" s="3">
        <v>767</v>
      </c>
      <c r="Z94" s="3">
        <v>640</v>
      </c>
      <c r="AA94" s="3">
        <f t="shared" si="2"/>
        <v>251</v>
      </c>
      <c r="AB94" s="11">
        <f t="shared" si="3"/>
        <v>51.487252124645892</v>
      </c>
    </row>
    <row r="95" spans="1:28" ht="49.5" customHeight="1" x14ac:dyDescent="0.25">
      <c r="A95" s="7">
        <v>93</v>
      </c>
      <c r="B95" s="8">
        <v>253</v>
      </c>
      <c r="C95" s="7">
        <v>165</v>
      </c>
      <c r="D95" s="7">
        <v>73</v>
      </c>
      <c r="E95" s="7">
        <v>0</v>
      </c>
      <c r="F95" s="7">
        <v>0</v>
      </c>
      <c r="G95" s="8">
        <v>2</v>
      </c>
      <c r="H95" s="7">
        <v>0</v>
      </c>
      <c r="I95" s="8">
        <v>0</v>
      </c>
      <c r="J95" s="7">
        <v>0</v>
      </c>
      <c r="K95" s="8">
        <v>0</v>
      </c>
      <c r="L95" s="8">
        <v>0</v>
      </c>
      <c r="M95" s="8">
        <v>0</v>
      </c>
      <c r="N95" s="8">
        <v>2</v>
      </c>
      <c r="O95" s="8">
        <v>0</v>
      </c>
      <c r="P95" s="7">
        <v>495</v>
      </c>
      <c r="Q95" s="7">
        <v>0</v>
      </c>
      <c r="R95" s="7">
        <v>1</v>
      </c>
      <c r="S95" s="8">
        <v>496</v>
      </c>
      <c r="T95" s="7">
        <v>0</v>
      </c>
      <c r="U95" s="7">
        <v>93</v>
      </c>
      <c r="V95" s="8" t="s">
        <v>147</v>
      </c>
      <c r="W95" s="8" t="s">
        <v>155</v>
      </c>
      <c r="X95" s="4">
        <v>692</v>
      </c>
      <c r="Y95" s="3">
        <v>358</v>
      </c>
      <c r="Z95" s="3">
        <v>334</v>
      </c>
      <c r="AA95" s="3">
        <f t="shared" si="2"/>
        <v>180</v>
      </c>
      <c r="AB95" s="11">
        <f t="shared" si="3"/>
        <v>71.531791907514446</v>
      </c>
    </row>
    <row r="96" spans="1:28" ht="49.5" customHeight="1" x14ac:dyDescent="0.25">
      <c r="A96" s="7">
        <v>94</v>
      </c>
      <c r="B96" s="8">
        <v>141</v>
      </c>
      <c r="C96" s="7">
        <v>583</v>
      </c>
      <c r="D96" s="7">
        <v>121</v>
      </c>
      <c r="E96" s="7">
        <v>2</v>
      </c>
      <c r="F96" s="7">
        <v>0</v>
      </c>
      <c r="G96" s="8">
        <v>0</v>
      </c>
      <c r="H96" s="7">
        <v>0</v>
      </c>
      <c r="I96" s="8">
        <v>2</v>
      </c>
      <c r="J96" s="7">
        <v>0</v>
      </c>
      <c r="K96" s="8">
        <v>0</v>
      </c>
      <c r="L96" s="8">
        <v>0</v>
      </c>
      <c r="M96" s="8">
        <v>2</v>
      </c>
      <c r="N96" s="8">
        <v>0</v>
      </c>
      <c r="O96" s="8">
        <v>4</v>
      </c>
      <c r="P96" s="7">
        <v>855</v>
      </c>
      <c r="Q96" s="7">
        <v>0</v>
      </c>
      <c r="R96" s="7">
        <v>6</v>
      </c>
      <c r="S96" s="8">
        <v>861</v>
      </c>
      <c r="T96" s="7">
        <v>0</v>
      </c>
      <c r="U96" s="7">
        <v>94</v>
      </c>
      <c r="V96" s="8" t="s">
        <v>156</v>
      </c>
      <c r="W96" s="8" t="s">
        <v>157</v>
      </c>
      <c r="X96" s="4">
        <v>1177</v>
      </c>
      <c r="Y96" s="3">
        <v>639</v>
      </c>
      <c r="Z96" s="3">
        <v>536</v>
      </c>
      <c r="AA96" s="3">
        <f t="shared" si="2"/>
        <v>20</v>
      </c>
      <c r="AB96" s="11">
        <f t="shared" si="3"/>
        <v>72.642310960067974</v>
      </c>
    </row>
    <row r="97" spans="1:28" ht="49.5" customHeight="1" x14ac:dyDescent="0.25">
      <c r="A97" s="9">
        <v>95</v>
      </c>
      <c r="B97" s="10">
        <v>118</v>
      </c>
      <c r="C97" s="9">
        <v>109</v>
      </c>
      <c r="D97" s="9">
        <v>168</v>
      </c>
      <c r="E97" s="9">
        <v>2</v>
      </c>
      <c r="F97" s="9">
        <v>0</v>
      </c>
      <c r="G97" s="10">
        <v>1</v>
      </c>
      <c r="H97" s="9">
        <v>3</v>
      </c>
      <c r="I97" s="10">
        <v>1</v>
      </c>
      <c r="J97" s="9">
        <v>0</v>
      </c>
      <c r="K97" s="10">
        <v>0</v>
      </c>
      <c r="L97" s="10">
        <v>0</v>
      </c>
      <c r="M97" s="10">
        <v>0</v>
      </c>
      <c r="N97" s="10">
        <v>1</v>
      </c>
      <c r="O97" s="10">
        <v>0</v>
      </c>
      <c r="P97" s="9">
        <v>403</v>
      </c>
      <c r="Q97" s="9">
        <v>0</v>
      </c>
      <c r="R97" s="9">
        <v>3</v>
      </c>
      <c r="S97" s="10">
        <v>406</v>
      </c>
      <c r="T97" s="9">
        <v>0</v>
      </c>
      <c r="U97" s="9">
        <v>95</v>
      </c>
      <c r="V97" s="10" t="s">
        <v>156</v>
      </c>
      <c r="W97" s="10" t="s">
        <v>158</v>
      </c>
      <c r="X97" s="4">
        <v>577</v>
      </c>
      <c r="Y97" s="3">
        <v>314</v>
      </c>
      <c r="Z97" s="3">
        <v>263</v>
      </c>
      <c r="AA97" s="3">
        <f t="shared" si="2"/>
        <v>50</v>
      </c>
      <c r="AB97" s="11">
        <f t="shared" si="3"/>
        <v>69.844020797227031</v>
      </c>
    </row>
    <row r="98" spans="1:28" ht="49.5" customHeight="1" x14ac:dyDescent="0.25">
      <c r="A98" s="7">
        <v>96</v>
      </c>
      <c r="B98" s="8">
        <v>203</v>
      </c>
      <c r="C98" s="7">
        <v>309</v>
      </c>
      <c r="D98" s="7">
        <v>74</v>
      </c>
      <c r="E98" s="7">
        <v>2</v>
      </c>
      <c r="F98" s="7">
        <v>0</v>
      </c>
      <c r="G98" s="8">
        <v>1</v>
      </c>
      <c r="H98" s="7">
        <v>0</v>
      </c>
      <c r="I98" s="8">
        <v>1</v>
      </c>
      <c r="J98" s="7">
        <v>0</v>
      </c>
      <c r="K98" s="8">
        <v>0</v>
      </c>
      <c r="L98" s="8">
        <v>0</v>
      </c>
      <c r="M98" s="8">
        <v>1</v>
      </c>
      <c r="N98" s="8">
        <v>2</v>
      </c>
      <c r="O98" s="8">
        <v>2</v>
      </c>
      <c r="P98" s="7">
        <v>595</v>
      </c>
      <c r="Q98" s="7">
        <v>0</v>
      </c>
      <c r="R98" s="7">
        <v>3</v>
      </c>
      <c r="S98" s="8">
        <v>598</v>
      </c>
      <c r="T98" s="7">
        <v>0</v>
      </c>
      <c r="U98" s="7">
        <v>96</v>
      </c>
      <c r="V98" s="8" t="s">
        <v>159</v>
      </c>
      <c r="W98" s="8" t="s">
        <v>160</v>
      </c>
      <c r="X98" s="4">
        <v>866</v>
      </c>
      <c r="Y98" s="3">
        <v>468</v>
      </c>
      <c r="Z98" s="3">
        <v>388</v>
      </c>
      <c r="AA98" s="3">
        <f t="shared" si="2"/>
        <v>129</v>
      </c>
      <c r="AB98" s="11">
        <f t="shared" si="3"/>
        <v>68.706697459584305</v>
      </c>
    </row>
    <row r="99" spans="1:28" ht="49.5" customHeight="1" x14ac:dyDescent="0.25">
      <c r="A99" s="7">
        <v>97</v>
      </c>
      <c r="B99" s="8">
        <v>333</v>
      </c>
      <c r="C99" s="7">
        <v>171</v>
      </c>
      <c r="D99" s="7">
        <v>20</v>
      </c>
      <c r="E99" s="7">
        <v>0</v>
      </c>
      <c r="F99" s="7">
        <v>1</v>
      </c>
      <c r="G99" s="8">
        <v>3</v>
      </c>
      <c r="H99" s="7">
        <v>0</v>
      </c>
      <c r="I99" s="8">
        <v>1</v>
      </c>
      <c r="J99" s="7">
        <v>1</v>
      </c>
      <c r="K99" s="8">
        <v>0</v>
      </c>
      <c r="L99" s="8">
        <v>1</v>
      </c>
      <c r="M99" s="8">
        <v>2</v>
      </c>
      <c r="N99" s="8">
        <v>0</v>
      </c>
      <c r="O99" s="8">
        <v>4</v>
      </c>
      <c r="P99" s="7">
        <v>537</v>
      </c>
      <c r="Q99" s="7">
        <v>0</v>
      </c>
      <c r="R99" s="7">
        <v>8</v>
      </c>
      <c r="S99" s="8">
        <v>545</v>
      </c>
      <c r="T99" s="7">
        <v>0</v>
      </c>
      <c r="U99" s="7">
        <v>97</v>
      </c>
      <c r="V99" s="8" t="s">
        <v>159</v>
      </c>
      <c r="W99" s="8" t="s">
        <v>161</v>
      </c>
      <c r="X99" s="4">
        <v>757</v>
      </c>
      <c r="Y99" s="3">
        <v>423</v>
      </c>
      <c r="Z99" s="3">
        <v>332</v>
      </c>
      <c r="AA99" s="3">
        <f t="shared" si="2"/>
        <v>313</v>
      </c>
      <c r="AB99" s="11">
        <f t="shared" si="3"/>
        <v>70.93791281373845</v>
      </c>
    </row>
    <row r="100" spans="1:28" ht="49.5" customHeight="1" x14ac:dyDescent="0.25">
      <c r="A100" s="7">
        <v>98</v>
      </c>
      <c r="B100" s="8">
        <v>323</v>
      </c>
      <c r="C100" s="7">
        <v>162</v>
      </c>
      <c r="D100" s="7">
        <v>135</v>
      </c>
      <c r="E100" s="7">
        <v>2</v>
      </c>
      <c r="F100" s="7">
        <v>0</v>
      </c>
      <c r="G100" s="8">
        <v>0</v>
      </c>
      <c r="H100" s="7">
        <v>1</v>
      </c>
      <c r="I100" s="8">
        <v>1</v>
      </c>
      <c r="J100" s="7">
        <v>1</v>
      </c>
      <c r="K100" s="8">
        <v>0</v>
      </c>
      <c r="L100" s="8">
        <v>1</v>
      </c>
      <c r="M100" s="8">
        <v>1</v>
      </c>
      <c r="N100" s="8">
        <v>3</v>
      </c>
      <c r="O100" s="8">
        <v>4</v>
      </c>
      <c r="P100" s="7">
        <v>634</v>
      </c>
      <c r="Q100" s="7">
        <v>0</v>
      </c>
      <c r="R100" s="7">
        <v>5</v>
      </c>
      <c r="S100" s="8">
        <v>639</v>
      </c>
      <c r="T100" s="7">
        <v>0</v>
      </c>
      <c r="U100" s="7">
        <v>98</v>
      </c>
      <c r="V100" s="8" t="s">
        <v>162</v>
      </c>
      <c r="W100" s="8" t="s">
        <v>163</v>
      </c>
      <c r="X100" s="4">
        <v>1020</v>
      </c>
      <c r="Y100" s="3">
        <v>568</v>
      </c>
      <c r="Z100" s="3">
        <v>451</v>
      </c>
      <c r="AA100" s="3">
        <f t="shared" si="2"/>
        <v>188</v>
      </c>
      <c r="AB100" s="11">
        <f t="shared" si="3"/>
        <v>62.156862745098039</v>
      </c>
    </row>
    <row r="101" spans="1:28" ht="49.5" customHeight="1" x14ac:dyDescent="0.25">
      <c r="A101" s="9">
        <v>99</v>
      </c>
      <c r="B101" s="10">
        <v>208</v>
      </c>
      <c r="C101" s="9">
        <v>216</v>
      </c>
      <c r="D101" s="9">
        <v>309</v>
      </c>
      <c r="E101" s="9">
        <v>4</v>
      </c>
      <c r="F101" s="9">
        <v>2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1</v>
      </c>
      <c r="N101" s="9">
        <v>0</v>
      </c>
      <c r="O101" s="9">
        <v>2</v>
      </c>
      <c r="P101" s="9">
        <v>742</v>
      </c>
      <c r="Q101" s="9">
        <v>0</v>
      </c>
      <c r="R101" s="9">
        <v>5</v>
      </c>
      <c r="S101" s="10">
        <v>747</v>
      </c>
      <c r="T101" s="9">
        <v>0</v>
      </c>
      <c r="U101" s="9">
        <v>99</v>
      </c>
      <c r="V101" s="10" t="s">
        <v>162</v>
      </c>
      <c r="W101" s="10" t="s">
        <v>164</v>
      </c>
      <c r="X101" s="4">
        <v>1046</v>
      </c>
      <c r="Y101" s="3">
        <v>568</v>
      </c>
      <c r="Z101" s="3">
        <v>478</v>
      </c>
      <c r="AA101" s="3">
        <f t="shared" si="2"/>
        <v>101</v>
      </c>
      <c r="AB101" s="11">
        <f t="shared" si="3"/>
        <v>70.936902485659658</v>
      </c>
    </row>
    <row r="102" spans="1:28" ht="49.5" customHeight="1" x14ac:dyDescent="0.25">
      <c r="A102" s="7">
        <v>100</v>
      </c>
      <c r="B102" s="8">
        <v>262</v>
      </c>
      <c r="C102" s="7">
        <v>432</v>
      </c>
      <c r="D102" s="7">
        <v>77</v>
      </c>
      <c r="E102" s="7">
        <v>2</v>
      </c>
      <c r="F102" s="7">
        <v>0</v>
      </c>
      <c r="G102" s="8">
        <v>0</v>
      </c>
      <c r="H102" s="7">
        <v>1</v>
      </c>
      <c r="I102" s="8">
        <v>1</v>
      </c>
      <c r="J102" s="7">
        <v>1</v>
      </c>
      <c r="K102" s="8">
        <v>1</v>
      </c>
      <c r="L102" s="8">
        <v>0</v>
      </c>
      <c r="M102" s="8">
        <v>1</v>
      </c>
      <c r="N102" s="8">
        <v>2</v>
      </c>
      <c r="O102" s="8">
        <v>2</v>
      </c>
      <c r="P102" s="7">
        <v>782</v>
      </c>
      <c r="Q102" s="7">
        <v>0</v>
      </c>
      <c r="R102" s="7">
        <v>2</v>
      </c>
      <c r="S102" s="8">
        <v>784</v>
      </c>
      <c r="T102" s="7">
        <v>0</v>
      </c>
      <c r="U102" s="7">
        <v>100</v>
      </c>
      <c r="V102" s="8" t="s">
        <v>162</v>
      </c>
      <c r="W102" s="8" t="s">
        <v>165</v>
      </c>
      <c r="X102" s="4">
        <v>1218</v>
      </c>
      <c r="Y102" s="3">
        <v>648</v>
      </c>
      <c r="Z102" s="3">
        <v>568</v>
      </c>
      <c r="AA102" s="3">
        <f t="shared" si="2"/>
        <v>185</v>
      </c>
      <c r="AB102" s="11">
        <f t="shared" si="3"/>
        <v>64.203612479474543</v>
      </c>
    </row>
    <row r="103" spans="1:28" ht="49.5" customHeight="1" x14ac:dyDescent="0.25">
      <c r="A103" s="7">
        <v>101</v>
      </c>
      <c r="B103" s="8">
        <v>160</v>
      </c>
      <c r="C103" s="7">
        <v>356</v>
      </c>
      <c r="D103" s="7">
        <v>45</v>
      </c>
      <c r="E103" s="7">
        <v>0</v>
      </c>
      <c r="F103" s="7">
        <v>1</v>
      </c>
      <c r="G103" s="7">
        <v>1</v>
      </c>
      <c r="H103" s="7">
        <v>2</v>
      </c>
      <c r="I103" s="8">
        <v>2</v>
      </c>
      <c r="J103" s="7">
        <v>1</v>
      </c>
      <c r="K103" s="8">
        <v>0</v>
      </c>
      <c r="L103" s="7">
        <v>0</v>
      </c>
      <c r="M103" s="8">
        <v>2</v>
      </c>
      <c r="N103" s="7">
        <v>3</v>
      </c>
      <c r="O103" s="8">
        <v>8</v>
      </c>
      <c r="P103" s="7">
        <v>581</v>
      </c>
      <c r="Q103" s="7">
        <v>0</v>
      </c>
      <c r="R103" s="7">
        <v>10</v>
      </c>
      <c r="S103" s="8">
        <v>591</v>
      </c>
      <c r="T103" s="7">
        <v>0</v>
      </c>
      <c r="U103" s="7">
        <v>101</v>
      </c>
      <c r="V103" s="8" t="s">
        <v>166</v>
      </c>
      <c r="W103" s="8" t="s">
        <v>167</v>
      </c>
      <c r="X103" s="4">
        <v>959</v>
      </c>
      <c r="Y103" s="3">
        <v>544</v>
      </c>
      <c r="Z103" s="3">
        <v>401</v>
      </c>
      <c r="AA103" s="3">
        <f t="shared" si="2"/>
        <v>115</v>
      </c>
      <c r="AB103" s="11">
        <f t="shared" si="3"/>
        <v>60.583941605839421</v>
      </c>
    </row>
    <row r="104" spans="1:28" ht="49.5" customHeight="1" x14ac:dyDescent="0.25">
      <c r="A104" s="7">
        <v>102</v>
      </c>
      <c r="B104" s="8">
        <v>105</v>
      </c>
      <c r="C104" s="7">
        <v>303</v>
      </c>
      <c r="D104" s="7">
        <v>14</v>
      </c>
      <c r="E104" s="7">
        <v>2</v>
      </c>
      <c r="F104" s="7">
        <v>1</v>
      </c>
      <c r="G104" s="7">
        <v>1</v>
      </c>
      <c r="H104" s="7">
        <v>0</v>
      </c>
      <c r="I104" s="8">
        <v>0</v>
      </c>
      <c r="J104" s="7">
        <v>1</v>
      </c>
      <c r="K104" s="8">
        <v>0</v>
      </c>
      <c r="L104" s="7">
        <v>1</v>
      </c>
      <c r="M104" s="8">
        <v>1</v>
      </c>
      <c r="N104" s="7">
        <v>1</v>
      </c>
      <c r="O104" s="8">
        <v>3</v>
      </c>
      <c r="P104" s="7">
        <v>433</v>
      </c>
      <c r="Q104" s="7">
        <v>0</v>
      </c>
      <c r="R104" s="7">
        <v>7</v>
      </c>
      <c r="S104" s="8">
        <v>440</v>
      </c>
      <c r="T104" s="7">
        <v>0</v>
      </c>
      <c r="U104" s="7">
        <v>102</v>
      </c>
      <c r="V104" s="8" t="s">
        <v>166</v>
      </c>
      <c r="W104" s="8" t="s">
        <v>168</v>
      </c>
      <c r="AA104" s="3">
        <f t="shared" si="2"/>
        <v>91</v>
      </c>
      <c r="AB104" s="11" t="e">
        <f t="shared" si="3"/>
        <v>#DIV/0!</v>
      </c>
    </row>
    <row r="105" spans="1:28" ht="49.5" customHeight="1" x14ac:dyDescent="0.25">
      <c r="A105" s="9">
        <v>103</v>
      </c>
      <c r="B105" s="10">
        <v>186</v>
      </c>
      <c r="C105" s="9">
        <v>40</v>
      </c>
      <c r="D105" s="9">
        <v>499</v>
      </c>
      <c r="E105" s="9">
        <v>5</v>
      </c>
      <c r="F105" s="9">
        <v>1</v>
      </c>
      <c r="G105" s="9">
        <v>2</v>
      </c>
      <c r="H105" s="9">
        <v>2</v>
      </c>
      <c r="I105" s="9">
        <v>0</v>
      </c>
      <c r="J105" s="9">
        <v>0</v>
      </c>
      <c r="K105" s="10">
        <v>0</v>
      </c>
      <c r="L105" s="9">
        <v>0</v>
      </c>
      <c r="M105" s="10">
        <v>0</v>
      </c>
      <c r="N105" s="9">
        <v>2</v>
      </c>
      <c r="O105" s="10">
        <v>1</v>
      </c>
      <c r="P105" s="9">
        <v>738</v>
      </c>
      <c r="Q105" s="9">
        <v>0</v>
      </c>
      <c r="R105" s="9">
        <v>2</v>
      </c>
      <c r="S105" s="10">
        <v>740</v>
      </c>
      <c r="T105" s="9">
        <v>0</v>
      </c>
      <c r="U105" s="9">
        <v>103</v>
      </c>
      <c r="V105" s="10" t="s">
        <v>169</v>
      </c>
      <c r="W105" s="10" t="s">
        <v>170</v>
      </c>
      <c r="X105" s="4">
        <v>1139</v>
      </c>
      <c r="Y105" s="3">
        <v>615</v>
      </c>
      <c r="Z105" s="3">
        <v>521</v>
      </c>
      <c r="AA105" s="3">
        <f t="shared" si="2"/>
        <v>313</v>
      </c>
      <c r="AB105" s="11">
        <f t="shared" si="3"/>
        <v>64.793678665496046</v>
      </c>
    </row>
    <row r="106" spans="1:28" ht="49.5" customHeight="1" x14ac:dyDescent="0.25">
      <c r="A106" s="9">
        <v>104</v>
      </c>
      <c r="B106" s="10">
        <v>181</v>
      </c>
      <c r="C106" s="9">
        <v>88</v>
      </c>
      <c r="D106" s="9">
        <v>505</v>
      </c>
      <c r="E106" s="9">
        <v>2</v>
      </c>
      <c r="F106" s="9">
        <v>0</v>
      </c>
      <c r="G106" s="9">
        <v>0</v>
      </c>
      <c r="H106" s="9">
        <v>0</v>
      </c>
      <c r="I106" s="9">
        <v>1</v>
      </c>
      <c r="J106" s="9">
        <v>0</v>
      </c>
      <c r="K106" s="10">
        <v>0</v>
      </c>
      <c r="L106" s="9">
        <v>1</v>
      </c>
      <c r="M106" s="10">
        <v>1</v>
      </c>
      <c r="N106" s="9">
        <v>1</v>
      </c>
      <c r="O106" s="10">
        <v>1</v>
      </c>
      <c r="P106" s="9">
        <v>781</v>
      </c>
      <c r="Q106" s="9">
        <v>0</v>
      </c>
      <c r="R106" s="9">
        <v>5</v>
      </c>
      <c r="S106" s="10">
        <v>786</v>
      </c>
      <c r="T106" s="9">
        <v>0</v>
      </c>
      <c r="U106" s="9">
        <v>104</v>
      </c>
      <c r="V106" s="10" t="s">
        <v>169</v>
      </c>
      <c r="W106" s="10" t="s">
        <v>171</v>
      </c>
      <c r="X106" s="4">
        <v>1296</v>
      </c>
      <c r="Y106" s="3">
        <v>704</v>
      </c>
      <c r="Z106" s="3">
        <v>588</v>
      </c>
      <c r="AA106" s="3">
        <f t="shared" si="2"/>
        <v>324</v>
      </c>
      <c r="AB106" s="11">
        <f t="shared" si="3"/>
        <v>60.262345679012341</v>
      </c>
    </row>
    <row r="107" spans="1:28" ht="49.5" customHeight="1" x14ac:dyDescent="0.25">
      <c r="A107" s="7">
        <v>105</v>
      </c>
      <c r="B107" s="8">
        <v>184</v>
      </c>
      <c r="C107" s="7">
        <v>369</v>
      </c>
      <c r="D107" s="7">
        <v>75</v>
      </c>
      <c r="E107" s="7">
        <v>1</v>
      </c>
      <c r="F107" s="7">
        <v>0</v>
      </c>
      <c r="G107" s="7">
        <v>1</v>
      </c>
      <c r="H107" s="7">
        <v>0</v>
      </c>
      <c r="I107" s="7">
        <v>1</v>
      </c>
      <c r="J107" s="7">
        <v>0</v>
      </c>
      <c r="K107" s="7">
        <v>2</v>
      </c>
      <c r="L107" s="7">
        <v>0</v>
      </c>
      <c r="M107" s="8">
        <v>0</v>
      </c>
      <c r="N107" s="7">
        <v>2</v>
      </c>
      <c r="O107" s="8">
        <v>2</v>
      </c>
      <c r="P107" s="7">
        <v>637</v>
      </c>
      <c r="Q107" s="7">
        <v>0</v>
      </c>
      <c r="R107" s="7">
        <v>3</v>
      </c>
      <c r="S107" s="8">
        <v>640</v>
      </c>
      <c r="T107" s="7">
        <v>0</v>
      </c>
      <c r="U107" s="7">
        <v>105</v>
      </c>
      <c r="V107" s="8" t="s">
        <v>172</v>
      </c>
      <c r="W107" s="8" t="s">
        <v>173</v>
      </c>
      <c r="X107" s="4">
        <v>912</v>
      </c>
      <c r="Y107" s="3">
        <v>541</v>
      </c>
      <c r="Z107" s="3">
        <v>371</v>
      </c>
      <c r="AA107" s="3">
        <f t="shared" si="2"/>
        <v>109</v>
      </c>
      <c r="AB107" s="11">
        <f t="shared" si="3"/>
        <v>69.846491228070178</v>
      </c>
    </row>
    <row r="108" spans="1:28" ht="49.5" customHeight="1" x14ac:dyDescent="0.25">
      <c r="A108" s="7">
        <v>106</v>
      </c>
      <c r="B108" s="8">
        <v>344</v>
      </c>
      <c r="C108" s="7">
        <v>238</v>
      </c>
      <c r="D108" s="7">
        <v>34</v>
      </c>
      <c r="E108" s="7">
        <v>3</v>
      </c>
      <c r="F108" s="7">
        <v>1</v>
      </c>
      <c r="G108" s="7">
        <v>2</v>
      </c>
      <c r="H108" s="7">
        <v>0</v>
      </c>
      <c r="I108" s="7">
        <v>0</v>
      </c>
      <c r="J108" s="7">
        <v>0</v>
      </c>
      <c r="K108" s="8">
        <v>0</v>
      </c>
      <c r="L108" s="7">
        <v>2</v>
      </c>
      <c r="M108" s="8">
        <v>1</v>
      </c>
      <c r="N108" s="7">
        <v>0</v>
      </c>
      <c r="O108" s="8">
        <v>3</v>
      </c>
      <c r="P108" s="7">
        <v>628</v>
      </c>
      <c r="Q108" s="7">
        <v>0</v>
      </c>
      <c r="R108" s="7">
        <v>3</v>
      </c>
      <c r="S108" s="8">
        <v>631</v>
      </c>
      <c r="T108" s="7">
        <v>0</v>
      </c>
      <c r="U108" s="7">
        <v>106</v>
      </c>
      <c r="V108" s="8" t="s">
        <v>174</v>
      </c>
      <c r="W108" s="8" t="s">
        <v>175</v>
      </c>
      <c r="X108" s="4">
        <v>958</v>
      </c>
      <c r="Y108" s="3">
        <v>527</v>
      </c>
      <c r="Z108" s="3">
        <v>431</v>
      </c>
      <c r="AA108" s="3">
        <f t="shared" si="2"/>
        <v>310</v>
      </c>
      <c r="AB108" s="11">
        <f t="shared" si="3"/>
        <v>65.553235908141957</v>
      </c>
    </row>
    <row r="109" spans="1:28" ht="49.5" customHeight="1" x14ac:dyDescent="0.25">
      <c r="A109" s="7">
        <v>107</v>
      </c>
      <c r="B109" s="8">
        <v>153</v>
      </c>
      <c r="C109" s="7">
        <v>317</v>
      </c>
      <c r="D109" s="7">
        <v>100</v>
      </c>
      <c r="E109" s="7">
        <v>1</v>
      </c>
      <c r="F109" s="7">
        <v>0</v>
      </c>
      <c r="G109" s="7">
        <v>4</v>
      </c>
      <c r="H109" s="7">
        <v>0</v>
      </c>
      <c r="I109" s="7">
        <v>0</v>
      </c>
      <c r="J109" s="7">
        <v>1</v>
      </c>
      <c r="K109" s="7">
        <v>1</v>
      </c>
      <c r="L109" s="7">
        <v>0</v>
      </c>
      <c r="M109" s="8">
        <v>0</v>
      </c>
      <c r="N109" s="7">
        <v>1</v>
      </c>
      <c r="O109" s="8">
        <v>6</v>
      </c>
      <c r="P109" s="7">
        <v>584</v>
      </c>
      <c r="Q109" s="7">
        <v>0</v>
      </c>
      <c r="R109" s="7">
        <v>1</v>
      </c>
      <c r="S109" s="8">
        <v>585</v>
      </c>
      <c r="T109" s="7">
        <v>0</v>
      </c>
      <c r="U109" s="7">
        <v>107</v>
      </c>
      <c r="V109" s="8" t="s">
        <v>174</v>
      </c>
      <c r="W109" s="8" t="s">
        <v>176</v>
      </c>
      <c r="X109" s="4">
        <v>867</v>
      </c>
      <c r="Y109" s="3">
        <v>490</v>
      </c>
      <c r="Z109" s="3">
        <v>373</v>
      </c>
      <c r="AA109" s="3">
        <f t="shared" si="2"/>
        <v>53</v>
      </c>
      <c r="AB109" s="11">
        <f t="shared" si="3"/>
        <v>67.358708189158008</v>
      </c>
    </row>
    <row r="110" spans="1:28" ht="49.5" customHeight="1" x14ac:dyDescent="0.25">
      <c r="A110" s="7">
        <v>108</v>
      </c>
      <c r="B110" s="8">
        <v>110</v>
      </c>
      <c r="C110" s="7">
        <v>437</v>
      </c>
      <c r="D110" s="7">
        <v>82</v>
      </c>
      <c r="E110" s="7">
        <v>0</v>
      </c>
      <c r="F110" s="7">
        <v>0</v>
      </c>
      <c r="G110" s="7">
        <v>3</v>
      </c>
      <c r="H110" s="7">
        <v>0</v>
      </c>
      <c r="I110" s="7">
        <v>0</v>
      </c>
      <c r="J110" s="7">
        <v>0</v>
      </c>
      <c r="K110" s="8">
        <v>0</v>
      </c>
      <c r="L110" s="7">
        <v>0</v>
      </c>
      <c r="M110" s="8">
        <v>0</v>
      </c>
      <c r="N110" s="7">
        <v>0</v>
      </c>
      <c r="O110" s="8">
        <v>3</v>
      </c>
      <c r="P110" s="7">
        <v>635</v>
      </c>
      <c r="Q110" s="7">
        <v>0</v>
      </c>
      <c r="R110" s="7">
        <v>2</v>
      </c>
      <c r="S110" s="8">
        <v>637</v>
      </c>
      <c r="T110" s="7">
        <v>0</v>
      </c>
      <c r="U110" s="7">
        <v>108</v>
      </c>
      <c r="V110" s="8" t="s">
        <v>177</v>
      </c>
      <c r="W110" s="8" t="s">
        <v>178</v>
      </c>
      <c r="X110" s="4">
        <v>860</v>
      </c>
      <c r="Y110" s="3">
        <v>488</v>
      </c>
      <c r="Z110" s="3">
        <v>369</v>
      </c>
      <c r="AA110" s="3">
        <f t="shared" si="2"/>
        <v>28</v>
      </c>
      <c r="AB110" s="11">
        <f t="shared" si="3"/>
        <v>73.837209302325576</v>
      </c>
    </row>
    <row r="111" spans="1:28" ht="49.5" customHeight="1" x14ac:dyDescent="0.25">
      <c r="A111" s="9">
        <v>109</v>
      </c>
      <c r="B111" s="10">
        <v>24</v>
      </c>
      <c r="C111" s="9">
        <v>372</v>
      </c>
      <c r="D111" s="9">
        <v>38</v>
      </c>
      <c r="E111" s="9">
        <v>1</v>
      </c>
      <c r="F111" s="9">
        <v>0</v>
      </c>
      <c r="G111" s="9">
        <v>0</v>
      </c>
      <c r="H111" s="9">
        <v>0</v>
      </c>
      <c r="I111" s="9">
        <v>1</v>
      </c>
      <c r="J111" s="9">
        <v>0</v>
      </c>
      <c r="K111" s="9">
        <v>0</v>
      </c>
      <c r="L111" s="9">
        <v>0</v>
      </c>
      <c r="M111" s="10">
        <v>0</v>
      </c>
      <c r="N111" s="9">
        <v>1</v>
      </c>
      <c r="O111" s="10">
        <v>1</v>
      </c>
      <c r="P111" s="9">
        <v>438</v>
      </c>
      <c r="Q111" s="9">
        <v>0</v>
      </c>
      <c r="R111" s="9">
        <v>1</v>
      </c>
      <c r="S111" s="10">
        <v>439</v>
      </c>
      <c r="T111" s="9">
        <v>0</v>
      </c>
      <c r="U111" s="9">
        <v>109</v>
      </c>
      <c r="V111" s="10" t="s">
        <v>177</v>
      </c>
      <c r="W111" s="10" t="s">
        <v>179</v>
      </c>
      <c r="X111" s="4">
        <v>558</v>
      </c>
      <c r="Y111" s="3">
        <v>303</v>
      </c>
      <c r="Z111" s="3">
        <v>253</v>
      </c>
      <c r="AA111" s="3">
        <f t="shared" si="2"/>
        <v>14</v>
      </c>
      <c r="AB111" s="11">
        <f t="shared" si="3"/>
        <v>78.494623655913969</v>
      </c>
    </row>
    <row r="112" spans="1:28" ht="49.5" customHeight="1" x14ac:dyDescent="0.25">
      <c r="A112" s="7">
        <v>110</v>
      </c>
      <c r="B112" s="8">
        <v>56</v>
      </c>
      <c r="C112" s="7">
        <v>599</v>
      </c>
      <c r="D112" s="7">
        <v>9</v>
      </c>
      <c r="E112" s="7">
        <v>2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8">
        <v>0</v>
      </c>
      <c r="L112" s="7">
        <v>0</v>
      </c>
      <c r="M112" s="8">
        <v>0</v>
      </c>
      <c r="N112" s="7">
        <v>1</v>
      </c>
      <c r="O112" s="8">
        <v>5</v>
      </c>
      <c r="P112" s="7">
        <v>672</v>
      </c>
      <c r="Q112" s="7">
        <v>0</v>
      </c>
      <c r="R112" s="7">
        <v>2</v>
      </c>
      <c r="S112" s="8">
        <v>674</v>
      </c>
      <c r="T112" s="7">
        <v>0</v>
      </c>
      <c r="U112" s="7">
        <v>110</v>
      </c>
      <c r="V112" s="8" t="s">
        <v>180</v>
      </c>
      <c r="W112" s="8" t="s">
        <v>181</v>
      </c>
      <c r="X112" s="4">
        <v>911</v>
      </c>
      <c r="Y112" s="3">
        <v>488</v>
      </c>
      <c r="Z112" s="3">
        <v>418</v>
      </c>
      <c r="AA112" s="3">
        <f t="shared" si="2"/>
        <v>47</v>
      </c>
      <c r="AB112" s="11">
        <f t="shared" si="3"/>
        <v>73.765093304061466</v>
      </c>
    </row>
    <row r="113" spans="1:28" ht="49.5" customHeight="1" x14ac:dyDescent="0.25">
      <c r="A113" s="7">
        <v>111</v>
      </c>
      <c r="B113" s="8">
        <v>56</v>
      </c>
      <c r="C113" s="7">
        <v>517</v>
      </c>
      <c r="D113" s="7">
        <v>28</v>
      </c>
      <c r="E113" s="7">
        <v>1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8">
        <v>0</v>
      </c>
      <c r="N113" s="7">
        <v>0</v>
      </c>
      <c r="O113" s="8">
        <v>5</v>
      </c>
      <c r="P113" s="7">
        <v>607</v>
      </c>
      <c r="Q113" s="7">
        <v>0</v>
      </c>
      <c r="R113" s="7" t="e">
        <f>#REF!-P113</f>
        <v>#REF!</v>
      </c>
      <c r="S113" s="8">
        <v>607</v>
      </c>
      <c r="T113" s="7">
        <v>0</v>
      </c>
      <c r="U113" s="7">
        <v>111</v>
      </c>
      <c r="V113" s="8" t="s">
        <v>180</v>
      </c>
      <c r="W113" s="8" t="s">
        <v>182</v>
      </c>
      <c r="X113" s="4">
        <v>792</v>
      </c>
      <c r="Y113" s="3">
        <v>433</v>
      </c>
      <c r="Z113" s="3">
        <v>354</v>
      </c>
      <c r="AA113" s="3">
        <f t="shared" si="2"/>
        <v>28</v>
      </c>
      <c r="AB113" s="11">
        <f t="shared" si="3"/>
        <v>76.641414141414145</v>
      </c>
    </row>
    <row r="114" spans="1:28" ht="49.5" customHeight="1" x14ac:dyDescent="0.25">
      <c r="A114" s="7">
        <v>112</v>
      </c>
      <c r="B114" s="8">
        <v>265</v>
      </c>
      <c r="C114" s="7">
        <v>312</v>
      </c>
      <c r="D114" s="7">
        <v>51</v>
      </c>
      <c r="E114" s="7">
        <v>1</v>
      </c>
      <c r="F114" s="7">
        <v>0</v>
      </c>
      <c r="G114" s="7">
        <v>8</v>
      </c>
      <c r="H114" s="7">
        <v>0</v>
      </c>
      <c r="I114" s="7">
        <v>0</v>
      </c>
      <c r="J114" s="7">
        <v>0</v>
      </c>
      <c r="K114" s="7">
        <v>1</v>
      </c>
      <c r="L114" s="7">
        <v>3</v>
      </c>
      <c r="M114" s="8">
        <v>4</v>
      </c>
      <c r="N114" s="7">
        <v>2</v>
      </c>
      <c r="O114" s="8">
        <v>6</v>
      </c>
      <c r="P114" s="7">
        <v>653</v>
      </c>
      <c r="Q114" s="7">
        <v>0</v>
      </c>
      <c r="R114" s="7">
        <v>7</v>
      </c>
      <c r="S114" s="8">
        <v>660</v>
      </c>
      <c r="T114" s="7">
        <v>0</v>
      </c>
      <c r="U114" s="7">
        <v>112</v>
      </c>
      <c r="V114" s="8" t="s">
        <v>183</v>
      </c>
      <c r="W114" s="8" t="s">
        <v>184</v>
      </c>
      <c r="X114" s="4">
        <v>954</v>
      </c>
      <c r="Y114" s="3">
        <v>518</v>
      </c>
      <c r="Z114" s="3">
        <v>424</v>
      </c>
      <c r="AA114" s="3">
        <f t="shared" si="2"/>
        <v>214</v>
      </c>
      <c r="AB114" s="11">
        <f t="shared" si="3"/>
        <v>68.448637316561843</v>
      </c>
    </row>
    <row r="115" spans="1:28" ht="49.5" customHeight="1" x14ac:dyDescent="0.25">
      <c r="A115" s="7">
        <v>113</v>
      </c>
      <c r="B115" s="8">
        <v>192</v>
      </c>
      <c r="C115" s="7">
        <v>143</v>
      </c>
      <c r="D115" s="7">
        <v>58</v>
      </c>
      <c r="E115" s="7">
        <v>1</v>
      </c>
      <c r="F115" s="7">
        <v>0</v>
      </c>
      <c r="G115" s="7">
        <v>3</v>
      </c>
      <c r="H115" s="7">
        <v>0</v>
      </c>
      <c r="I115" s="7">
        <v>0</v>
      </c>
      <c r="J115" s="7">
        <v>0</v>
      </c>
      <c r="K115" s="7">
        <v>0</v>
      </c>
      <c r="L115" s="7">
        <v>2</v>
      </c>
      <c r="M115" s="8">
        <v>0</v>
      </c>
      <c r="N115" s="7">
        <v>0</v>
      </c>
      <c r="O115" s="8">
        <v>3</v>
      </c>
      <c r="P115" s="7">
        <v>402</v>
      </c>
      <c r="Q115" s="7">
        <v>0</v>
      </c>
      <c r="R115" s="7">
        <v>2</v>
      </c>
      <c r="S115" s="8">
        <v>404</v>
      </c>
      <c r="T115" s="7">
        <v>0</v>
      </c>
      <c r="U115" s="7">
        <v>113</v>
      </c>
      <c r="V115" s="8" t="s">
        <v>183</v>
      </c>
      <c r="W115" s="8" t="s">
        <v>185</v>
      </c>
      <c r="X115" s="4">
        <v>645</v>
      </c>
      <c r="Y115" s="3">
        <v>348</v>
      </c>
      <c r="Z115" s="3">
        <v>292</v>
      </c>
      <c r="AA115" s="3">
        <f t="shared" si="2"/>
        <v>134</v>
      </c>
      <c r="AB115" s="11">
        <f t="shared" si="3"/>
        <v>62.325581395348841</v>
      </c>
    </row>
    <row r="116" spans="1:28" ht="49.5" customHeight="1" x14ac:dyDescent="0.25">
      <c r="A116" s="7">
        <v>114</v>
      </c>
      <c r="B116" s="8">
        <v>245</v>
      </c>
      <c r="C116" s="7">
        <v>129</v>
      </c>
      <c r="D116" s="7">
        <v>61</v>
      </c>
      <c r="E116" s="7">
        <v>0</v>
      </c>
      <c r="F116" s="7">
        <v>0</v>
      </c>
      <c r="G116" s="7">
        <v>4</v>
      </c>
      <c r="H116" s="7">
        <v>0</v>
      </c>
      <c r="I116" s="7">
        <v>0</v>
      </c>
      <c r="J116" s="7">
        <v>0</v>
      </c>
      <c r="K116" s="7">
        <v>1</v>
      </c>
      <c r="L116" s="7">
        <v>0</v>
      </c>
      <c r="M116" s="8">
        <v>0</v>
      </c>
      <c r="N116" s="7">
        <v>0</v>
      </c>
      <c r="O116" s="8">
        <v>1</v>
      </c>
      <c r="P116" s="7">
        <v>441</v>
      </c>
      <c r="Q116" s="7">
        <v>0</v>
      </c>
      <c r="R116" s="7">
        <v>5</v>
      </c>
      <c r="S116" s="8">
        <v>446</v>
      </c>
      <c r="T116" s="7">
        <v>0</v>
      </c>
      <c r="U116" s="7">
        <v>114</v>
      </c>
      <c r="V116" s="8" t="s">
        <v>183</v>
      </c>
      <c r="W116" s="8" t="s">
        <v>186</v>
      </c>
      <c r="X116" s="4">
        <v>719</v>
      </c>
      <c r="Y116" s="3">
        <v>385</v>
      </c>
      <c r="Z116" s="3">
        <v>333</v>
      </c>
      <c r="AA116" s="3">
        <f t="shared" si="2"/>
        <v>184</v>
      </c>
      <c r="AB116" s="11">
        <f t="shared" si="3"/>
        <v>61.335187760778865</v>
      </c>
    </row>
    <row r="117" spans="1:28" ht="49.5" customHeight="1" x14ac:dyDescent="0.25">
      <c r="A117" s="7">
        <v>115</v>
      </c>
      <c r="B117" s="8">
        <v>174</v>
      </c>
      <c r="C117" s="7">
        <v>134</v>
      </c>
      <c r="D117" s="7">
        <v>108</v>
      </c>
      <c r="E117" s="7">
        <v>4</v>
      </c>
      <c r="F117" s="7">
        <v>0</v>
      </c>
      <c r="G117" s="7">
        <v>3</v>
      </c>
      <c r="H117" s="7">
        <v>0</v>
      </c>
      <c r="I117" s="7">
        <v>0</v>
      </c>
      <c r="J117" s="7">
        <v>1</v>
      </c>
      <c r="K117" s="7">
        <v>1</v>
      </c>
      <c r="L117" s="7">
        <v>1</v>
      </c>
      <c r="M117" s="8">
        <v>0</v>
      </c>
      <c r="N117" s="7">
        <v>2</v>
      </c>
      <c r="O117" s="8">
        <v>0</v>
      </c>
      <c r="P117" s="7">
        <v>428</v>
      </c>
      <c r="Q117" s="7">
        <v>0</v>
      </c>
      <c r="R117" s="7">
        <v>10</v>
      </c>
      <c r="S117" s="8">
        <v>438</v>
      </c>
      <c r="T117" s="7">
        <v>0</v>
      </c>
      <c r="U117" s="7">
        <v>115</v>
      </c>
      <c r="V117" s="8" t="s">
        <v>183</v>
      </c>
      <c r="W117" s="8" t="s">
        <v>187</v>
      </c>
      <c r="X117" s="4">
        <v>619</v>
      </c>
      <c r="Y117" s="3">
        <v>324</v>
      </c>
      <c r="Z117" s="3">
        <v>283</v>
      </c>
      <c r="AA117" s="3">
        <f t="shared" si="2"/>
        <v>66</v>
      </c>
      <c r="AB117" s="11">
        <f t="shared" si="3"/>
        <v>69.143780290791597</v>
      </c>
    </row>
    <row r="118" spans="1:28" ht="49.5" customHeight="1" x14ac:dyDescent="0.25">
      <c r="A118" s="7">
        <v>116</v>
      </c>
      <c r="B118" s="8">
        <v>182</v>
      </c>
      <c r="C118" s="7">
        <v>185</v>
      </c>
      <c r="D118" s="7">
        <v>97</v>
      </c>
      <c r="E118" s="7">
        <v>0</v>
      </c>
      <c r="F118" s="7">
        <v>2</v>
      </c>
      <c r="G118" s="7">
        <v>10</v>
      </c>
      <c r="H118" s="7">
        <v>1</v>
      </c>
      <c r="I118" s="7">
        <v>1</v>
      </c>
      <c r="J118" s="7">
        <v>0</v>
      </c>
      <c r="K118" s="7">
        <v>0</v>
      </c>
      <c r="L118" s="7">
        <v>0</v>
      </c>
      <c r="M118" s="8">
        <v>1</v>
      </c>
      <c r="N118" s="7">
        <v>5</v>
      </c>
      <c r="O118" s="8">
        <v>1</v>
      </c>
      <c r="P118" s="7">
        <v>485</v>
      </c>
      <c r="Q118" s="7">
        <v>0</v>
      </c>
      <c r="R118" s="7">
        <v>4</v>
      </c>
      <c r="S118" s="8">
        <v>489</v>
      </c>
      <c r="T118" s="7">
        <v>0</v>
      </c>
      <c r="U118" s="7">
        <v>116</v>
      </c>
      <c r="V118" s="8" t="s">
        <v>188</v>
      </c>
      <c r="W118" s="8" t="s">
        <v>189</v>
      </c>
      <c r="X118" s="4">
        <v>828</v>
      </c>
      <c r="Y118" s="3">
        <v>449</v>
      </c>
      <c r="Z118" s="3">
        <v>379</v>
      </c>
      <c r="AA118" s="3">
        <f t="shared" si="2"/>
        <v>85</v>
      </c>
      <c r="AB118" s="11">
        <f t="shared" si="3"/>
        <v>58.574879227053145</v>
      </c>
    </row>
    <row r="119" spans="1:28" ht="49.5" customHeight="1" x14ac:dyDescent="0.25">
      <c r="A119" s="7">
        <v>117</v>
      </c>
      <c r="B119" s="8">
        <v>151</v>
      </c>
      <c r="C119" s="7">
        <v>233</v>
      </c>
      <c r="D119" s="7">
        <v>36</v>
      </c>
      <c r="E119" s="7">
        <v>2</v>
      </c>
      <c r="F119" s="7">
        <v>1</v>
      </c>
      <c r="G119" s="7">
        <v>4</v>
      </c>
      <c r="H119" s="7">
        <v>1</v>
      </c>
      <c r="I119" s="7">
        <v>0</v>
      </c>
      <c r="J119" s="7">
        <v>0</v>
      </c>
      <c r="K119" s="7">
        <v>0</v>
      </c>
      <c r="L119" s="7">
        <v>1</v>
      </c>
      <c r="M119" s="8">
        <v>1</v>
      </c>
      <c r="N119" s="7">
        <v>3</v>
      </c>
      <c r="O119" s="8">
        <v>5</v>
      </c>
      <c r="P119" s="7">
        <v>438</v>
      </c>
      <c r="Q119" s="7">
        <v>0</v>
      </c>
      <c r="R119" s="7">
        <v>5</v>
      </c>
      <c r="S119" s="8">
        <v>443</v>
      </c>
      <c r="T119" s="7">
        <v>0</v>
      </c>
      <c r="U119" s="7">
        <v>117</v>
      </c>
      <c r="V119" s="8" t="s">
        <v>188</v>
      </c>
      <c r="W119" s="8" t="s">
        <v>190</v>
      </c>
      <c r="X119" s="4">
        <v>900</v>
      </c>
      <c r="AA119" s="3">
        <f t="shared" si="2"/>
        <v>115</v>
      </c>
      <c r="AB119" s="11">
        <f t="shared" si="3"/>
        <v>48.666666666666671</v>
      </c>
    </row>
    <row r="120" spans="1:28" ht="49.5" customHeight="1" x14ac:dyDescent="0.25">
      <c r="A120" s="9">
        <v>118</v>
      </c>
      <c r="B120" s="10">
        <v>148</v>
      </c>
      <c r="C120" s="9">
        <v>269</v>
      </c>
      <c r="D120" s="9">
        <v>327</v>
      </c>
      <c r="E120" s="9">
        <v>3</v>
      </c>
      <c r="F120" s="9">
        <v>0</v>
      </c>
      <c r="G120" s="9">
        <v>53</v>
      </c>
      <c r="H120" s="9">
        <v>1</v>
      </c>
      <c r="I120" s="9">
        <v>0</v>
      </c>
      <c r="J120" s="9">
        <v>0</v>
      </c>
      <c r="K120" s="9">
        <v>0</v>
      </c>
      <c r="L120" s="9">
        <v>1</v>
      </c>
      <c r="M120" s="10">
        <v>2</v>
      </c>
      <c r="N120" s="9">
        <v>2</v>
      </c>
      <c r="O120" s="10">
        <v>4</v>
      </c>
      <c r="P120" s="9">
        <v>810</v>
      </c>
      <c r="Q120" s="9">
        <v>0</v>
      </c>
      <c r="R120" s="9">
        <v>2</v>
      </c>
      <c r="S120" s="10">
        <v>812</v>
      </c>
      <c r="T120" s="9">
        <v>0</v>
      </c>
      <c r="U120" s="9">
        <v>118</v>
      </c>
      <c r="V120" s="10" t="s">
        <v>191</v>
      </c>
      <c r="W120" s="10" t="s">
        <v>192</v>
      </c>
      <c r="X120" s="4">
        <v>1165</v>
      </c>
      <c r="Y120" s="3">
        <v>622</v>
      </c>
      <c r="Z120" s="3">
        <v>540</v>
      </c>
      <c r="AA120" s="3">
        <f t="shared" si="2"/>
        <v>179</v>
      </c>
      <c r="AB120" s="11">
        <f t="shared" si="3"/>
        <v>69.527896995708147</v>
      </c>
    </row>
    <row r="121" spans="1:28" ht="49.5" customHeight="1" x14ac:dyDescent="0.25">
      <c r="A121" s="7">
        <v>119</v>
      </c>
      <c r="B121" s="8">
        <v>375</v>
      </c>
      <c r="C121" s="7">
        <v>134</v>
      </c>
      <c r="D121" s="7">
        <v>156</v>
      </c>
      <c r="E121" s="7">
        <v>3</v>
      </c>
      <c r="F121" s="7">
        <v>0</v>
      </c>
      <c r="G121" s="7">
        <v>47</v>
      </c>
      <c r="H121" s="7">
        <v>0</v>
      </c>
      <c r="I121" s="7">
        <v>0</v>
      </c>
      <c r="J121" s="7">
        <v>1</v>
      </c>
      <c r="K121" s="7">
        <v>0</v>
      </c>
      <c r="L121" s="7">
        <v>2</v>
      </c>
      <c r="M121" s="8">
        <v>0</v>
      </c>
      <c r="N121" s="7">
        <v>1</v>
      </c>
      <c r="O121" s="8">
        <v>3</v>
      </c>
      <c r="P121" s="7">
        <v>722</v>
      </c>
      <c r="Q121" s="7">
        <v>0</v>
      </c>
      <c r="R121" s="7">
        <v>2</v>
      </c>
      <c r="S121" s="8">
        <v>724</v>
      </c>
      <c r="T121" s="7">
        <v>0</v>
      </c>
      <c r="U121" s="7">
        <v>119</v>
      </c>
      <c r="V121" s="8" t="s">
        <v>191</v>
      </c>
      <c r="W121" s="8" t="s">
        <v>193</v>
      </c>
      <c r="X121" s="4">
        <v>1126</v>
      </c>
      <c r="Y121" s="3">
        <v>608</v>
      </c>
      <c r="Z121" s="3">
        <v>515</v>
      </c>
      <c r="AA121" s="3">
        <f t="shared" si="2"/>
        <v>219</v>
      </c>
      <c r="AB121" s="11">
        <f t="shared" si="3"/>
        <v>64.120781527531079</v>
      </c>
    </row>
    <row r="122" spans="1:28" ht="49.5" customHeight="1" x14ac:dyDescent="0.25">
      <c r="A122" s="9">
        <v>120</v>
      </c>
      <c r="B122" s="10">
        <v>222</v>
      </c>
      <c r="C122" s="9">
        <v>122</v>
      </c>
      <c r="D122" s="9">
        <v>361</v>
      </c>
      <c r="E122" s="9">
        <v>0</v>
      </c>
      <c r="F122" s="9">
        <v>2</v>
      </c>
      <c r="G122" s="9">
        <v>14</v>
      </c>
      <c r="H122" s="9">
        <v>0</v>
      </c>
      <c r="I122" s="9">
        <v>0</v>
      </c>
      <c r="J122" s="9">
        <v>2</v>
      </c>
      <c r="K122" s="9">
        <v>2</v>
      </c>
      <c r="L122" s="9">
        <v>2</v>
      </c>
      <c r="M122" s="10">
        <v>1</v>
      </c>
      <c r="N122" s="9">
        <v>2</v>
      </c>
      <c r="O122" s="10">
        <v>4</v>
      </c>
      <c r="P122" s="9">
        <v>734</v>
      </c>
      <c r="Q122" s="9">
        <v>0</v>
      </c>
      <c r="R122" s="9">
        <v>4</v>
      </c>
      <c r="S122" s="10">
        <v>738</v>
      </c>
      <c r="T122" s="9">
        <v>0</v>
      </c>
      <c r="U122" s="9">
        <v>120</v>
      </c>
      <c r="V122" s="10" t="s">
        <v>191</v>
      </c>
      <c r="W122" s="10" t="s">
        <v>194</v>
      </c>
      <c r="X122" s="4">
        <v>1079</v>
      </c>
      <c r="Y122" s="3">
        <v>599</v>
      </c>
      <c r="Z122" s="3">
        <v>480</v>
      </c>
      <c r="AA122" s="3">
        <f t="shared" si="2"/>
        <v>139</v>
      </c>
      <c r="AB122" s="11">
        <f t="shared" si="3"/>
        <v>68.025949953660799</v>
      </c>
    </row>
    <row r="123" spans="1:28" ht="49.5" customHeight="1" x14ac:dyDescent="0.25">
      <c r="A123" s="9">
        <v>121</v>
      </c>
      <c r="B123" s="10">
        <v>9</v>
      </c>
      <c r="C123" s="9">
        <v>504</v>
      </c>
      <c r="D123" s="9">
        <v>36</v>
      </c>
      <c r="E123" s="9">
        <v>1</v>
      </c>
      <c r="F123" s="9">
        <v>1</v>
      </c>
      <c r="G123" s="9">
        <v>1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10">
        <v>0</v>
      </c>
      <c r="N123" s="9">
        <v>1</v>
      </c>
      <c r="O123" s="10">
        <v>3</v>
      </c>
      <c r="P123" s="9">
        <v>556</v>
      </c>
      <c r="Q123" s="9">
        <v>0</v>
      </c>
      <c r="R123" s="9">
        <v>2</v>
      </c>
      <c r="S123" s="10">
        <v>558</v>
      </c>
      <c r="T123" s="9">
        <v>0</v>
      </c>
      <c r="U123" s="9">
        <v>121</v>
      </c>
      <c r="V123" s="10" t="s">
        <v>191</v>
      </c>
      <c r="W123" s="10" t="s">
        <v>195</v>
      </c>
      <c r="X123" s="4">
        <v>698</v>
      </c>
      <c r="Y123" s="3">
        <v>366</v>
      </c>
      <c r="Z123" s="3">
        <v>332</v>
      </c>
      <c r="AA123" s="3">
        <f t="shared" si="2"/>
        <v>27</v>
      </c>
      <c r="AB123" s="11">
        <f t="shared" si="3"/>
        <v>79.656160458452717</v>
      </c>
    </row>
    <row r="124" spans="1:28" ht="49.5" customHeight="1" x14ac:dyDescent="0.25">
      <c r="A124" s="7">
        <v>122</v>
      </c>
      <c r="B124" s="8">
        <v>97</v>
      </c>
      <c r="C124" s="7">
        <v>420</v>
      </c>
      <c r="D124" s="7">
        <v>63</v>
      </c>
      <c r="E124" s="7">
        <v>4</v>
      </c>
      <c r="F124" s="7">
        <v>0</v>
      </c>
      <c r="G124" s="7">
        <v>4</v>
      </c>
      <c r="H124" s="7">
        <v>0</v>
      </c>
      <c r="I124" s="7">
        <v>0</v>
      </c>
      <c r="J124" s="7">
        <v>0</v>
      </c>
      <c r="K124" s="7">
        <v>1</v>
      </c>
      <c r="L124" s="7">
        <v>0</v>
      </c>
      <c r="M124" s="8">
        <v>1</v>
      </c>
      <c r="N124" s="7">
        <v>1</v>
      </c>
      <c r="O124" s="8">
        <v>11</v>
      </c>
      <c r="P124" s="7">
        <v>602</v>
      </c>
      <c r="Q124" s="7">
        <v>0</v>
      </c>
      <c r="R124" s="7" t="e">
        <f>#REF!-P124</f>
        <v>#REF!</v>
      </c>
      <c r="S124" s="8">
        <v>602</v>
      </c>
      <c r="T124" s="7">
        <v>0</v>
      </c>
      <c r="U124" s="7">
        <v>122</v>
      </c>
      <c r="V124" s="8" t="s">
        <v>191</v>
      </c>
      <c r="W124" s="8" t="s">
        <v>196</v>
      </c>
      <c r="X124" s="4">
        <v>758</v>
      </c>
      <c r="Y124" s="3">
        <v>406</v>
      </c>
      <c r="Z124" s="3">
        <v>350</v>
      </c>
      <c r="AA124" s="3">
        <f t="shared" si="2"/>
        <v>34</v>
      </c>
      <c r="AB124" s="11">
        <f t="shared" si="3"/>
        <v>79.419525065963057</v>
      </c>
    </row>
    <row r="125" spans="1:28" ht="49.5" customHeight="1" x14ac:dyDescent="0.25">
      <c r="A125" s="7">
        <v>123</v>
      </c>
      <c r="B125" s="8">
        <v>232</v>
      </c>
      <c r="C125" s="7">
        <v>307</v>
      </c>
      <c r="D125" s="7">
        <v>59</v>
      </c>
      <c r="E125" s="7">
        <v>1</v>
      </c>
      <c r="F125" s="7">
        <v>1</v>
      </c>
      <c r="G125" s="7">
        <v>0</v>
      </c>
      <c r="H125" s="7">
        <v>0</v>
      </c>
      <c r="I125" s="7">
        <v>0</v>
      </c>
      <c r="J125" s="7">
        <v>0</v>
      </c>
      <c r="K125" s="7">
        <v>1</v>
      </c>
      <c r="L125" s="7">
        <v>0</v>
      </c>
      <c r="M125" s="8">
        <v>0</v>
      </c>
      <c r="N125" s="7">
        <v>0</v>
      </c>
      <c r="O125" s="8">
        <v>4</v>
      </c>
      <c r="P125" s="7">
        <v>605</v>
      </c>
      <c r="Q125" s="7">
        <v>0</v>
      </c>
      <c r="R125" s="7">
        <v>5</v>
      </c>
      <c r="S125" s="8">
        <v>610</v>
      </c>
      <c r="T125" s="7">
        <v>0</v>
      </c>
      <c r="U125" s="7">
        <v>123</v>
      </c>
      <c r="V125" s="8" t="s">
        <v>197</v>
      </c>
      <c r="W125" s="8" t="s">
        <v>198</v>
      </c>
      <c r="X125" s="4">
        <v>1092</v>
      </c>
      <c r="Y125" s="3">
        <v>595</v>
      </c>
      <c r="Z125" s="3">
        <v>495</v>
      </c>
      <c r="AA125" s="3">
        <f t="shared" si="2"/>
        <v>173</v>
      </c>
      <c r="AB125" s="11">
        <f t="shared" si="3"/>
        <v>55.402930402930409</v>
      </c>
    </row>
    <row r="126" spans="1:28" ht="49.5" customHeight="1" x14ac:dyDescent="0.25">
      <c r="A126" s="7">
        <v>124</v>
      </c>
      <c r="B126" s="8">
        <v>196</v>
      </c>
      <c r="C126" s="7">
        <v>257</v>
      </c>
      <c r="D126" s="7">
        <v>62</v>
      </c>
      <c r="E126" s="7">
        <v>0</v>
      </c>
      <c r="F126" s="7">
        <v>0</v>
      </c>
      <c r="G126" s="7">
        <v>1</v>
      </c>
      <c r="H126" s="7">
        <v>0</v>
      </c>
      <c r="I126" s="7">
        <v>1</v>
      </c>
      <c r="J126" s="7">
        <v>0</v>
      </c>
      <c r="K126" s="7">
        <v>0</v>
      </c>
      <c r="L126" s="7">
        <v>0</v>
      </c>
      <c r="M126" s="8">
        <v>1</v>
      </c>
      <c r="N126" s="7">
        <v>0</v>
      </c>
      <c r="O126" s="8">
        <v>3</v>
      </c>
      <c r="P126" s="7">
        <v>521</v>
      </c>
      <c r="Q126" s="7">
        <v>0</v>
      </c>
      <c r="R126" s="7">
        <v>7</v>
      </c>
      <c r="S126" s="8">
        <v>528</v>
      </c>
      <c r="T126" s="7">
        <v>0</v>
      </c>
      <c r="U126" s="7">
        <v>124</v>
      </c>
      <c r="V126" s="8" t="s">
        <v>197</v>
      </c>
      <c r="W126" s="8" t="s">
        <v>199</v>
      </c>
      <c r="X126" s="4">
        <v>901</v>
      </c>
      <c r="Y126" s="3">
        <v>507</v>
      </c>
      <c r="Z126" s="3">
        <v>394</v>
      </c>
      <c r="AA126" s="3">
        <f t="shared" si="2"/>
        <v>134</v>
      </c>
      <c r="AB126" s="11">
        <f t="shared" si="3"/>
        <v>57.824639289678139</v>
      </c>
    </row>
    <row r="127" spans="1:28" ht="49.5" customHeight="1" x14ac:dyDescent="0.25">
      <c r="A127" s="7">
        <v>125</v>
      </c>
      <c r="B127" s="8">
        <v>223</v>
      </c>
      <c r="C127" s="7">
        <v>202</v>
      </c>
      <c r="D127" s="7">
        <v>195</v>
      </c>
      <c r="E127" s="7">
        <v>3</v>
      </c>
      <c r="F127" s="7">
        <v>1</v>
      </c>
      <c r="G127" s="7">
        <v>5</v>
      </c>
      <c r="H127" s="7">
        <v>1</v>
      </c>
      <c r="I127" s="7">
        <v>0</v>
      </c>
      <c r="J127" s="7">
        <v>1</v>
      </c>
      <c r="K127" s="7">
        <v>0</v>
      </c>
      <c r="L127" s="7">
        <v>2</v>
      </c>
      <c r="M127" s="8">
        <v>1</v>
      </c>
      <c r="N127" s="7">
        <v>4</v>
      </c>
      <c r="O127" s="8">
        <v>3</v>
      </c>
      <c r="P127" s="7">
        <v>641</v>
      </c>
      <c r="Q127" s="7">
        <v>0</v>
      </c>
      <c r="R127" s="7">
        <v>6</v>
      </c>
      <c r="S127" s="8">
        <v>647</v>
      </c>
      <c r="T127" s="7">
        <v>0</v>
      </c>
      <c r="U127" s="7">
        <v>125</v>
      </c>
      <c r="V127" s="8" t="s">
        <v>200</v>
      </c>
      <c r="W127" s="8" t="s">
        <v>201</v>
      </c>
      <c r="X127" s="4">
        <v>942</v>
      </c>
      <c r="Y127" s="3">
        <v>510</v>
      </c>
      <c r="Z127" s="3">
        <v>432</v>
      </c>
      <c r="AA127" s="3">
        <f t="shared" si="2"/>
        <v>28</v>
      </c>
      <c r="AB127" s="11">
        <f t="shared" si="3"/>
        <v>68.046709129511669</v>
      </c>
    </row>
    <row r="128" spans="1:28" ht="49.5" customHeight="1" x14ac:dyDescent="0.25">
      <c r="A128" s="7">
        <v>126</v>
      </c>
      <c r="B128" s="8">
        <v>227</v>
      </c>
      <c r="C128" s="7">
        <v>369</v>
      </c>
      <c r="D128" s="7">
        <v>65</v>
      </c>
      <c r="E128" s="7">
        <v>2</v>
      </c>
      <c r="F128" s="7">
        <v>0</v>
      </c>
      <c r="G128" s="7">
        <v>0</v>
      </c>
      <c r="H128" s="7">
        <v>0</v>
      </c>
      <c r="I128" s="7">
        <v>1</v>
      </c>
      <c r="J128" s="7">
        <v>0</v>
      </c>
      <c r="K128" s="7">
        <v>1</v>
      </c>
      <c r="L128" s="7">
        <v>1</v>
      </c>
      <c r="M128" s="7">
        <v>0</v>
      </c>
      <c r="N128" s="7">
        <v>0</v>
      </c>
      <c r="O128" s="7">
        <v>7</v>
      </c>
      <c r="P128" s="7">
        <v>673</v>
      </c>
      <c r="Q128" s="7">
        <v>0</v>
      </c>
      <c r="R128" s="7">
        <v>5</v>
      </c>
      <c r="S128" s="8">
        <v>678</v>
      </c>
      <c r="T128" s="7">
        <v>0</v>
      </c>
      <c r="U128" s="7">
        <v>126</v>
      </c>
      <c r="V128" s="8" t="s">
        <v>202</v>
      </c>
      <c r="W128" s="8" t="s">
        <v>203</v>
      </c>
      <c r="X128" s="4">
        <v>1225</v>
      </c>
      <c r="Y128" s="3">
        <v>644</v>
      </c>
      <c r="Z128" s="3">
        <v>580</v>
      </c>
      <c r="AA128" s="3">
        <f t="shared" si="2"/>
        <v>162</v>
      </c>
      <c r="AB128" s="11">
        <f t="shared" si="3"/>
        <v>54.938775510204088</v>
      </c>
    </row>
    <row r="129" spans="1:28" ht="49.5" customHeight="1" x14ac:dyDescent="0.25">
      <c r="A129" s="7">
        <v>127</v>
      </c>
      <c r="B129" s="8">
        <v>186</v>
      </c>
      <c r="C129" s="7">
        <v>432</v>
      </c>
      <c r="D129" s="7">
        <v>65</v>
      </c>
      <c r="E129" s="7">
        <v>1</v>
      </c>
      <c r="F129" s="7">
        <v>0</v>
      </c>
      <c r="G129" s="7">
        <v>0</v>
      </c>
      <c r="H129" s="7">
        <v>0</v>
      </c>
      <c r="I129" s="7">
        <v>0</v>
      </c>
      <c r="J129" s="7">
        <v>1</v>
      </c>
      <c r="K129" s="7">
        <v>0</v>
      </c>
      <c r="L129" s="7">
        <v>1</v>
      </c>
      <c r="M129" s="8">
        <v>0</v>
      </c>
      <c r="N129" s="7">
        <v>1</v>
      </c>
      <c r="O129" s="8">
        <v>9</v>
      </c>
      <c r="P129" s="7">
        <v>696</v>
      </c>
      <c r="Q129" s="7">
        <v>0</v>
      </c>
      <c r="R129" s="7">
        <v>3</v>
      </c>
      <c r="S129" s="8">
        <v>699</v>
      </c>
      <c r="T129" s="7">
        <v>0</v>
      </c>
      <c r="U129" s="7">
        <v>127</v>
      </c>
      <c r="V129" s="8" t="s">
        <v>202</v>
      </c>
      <c r="W129" s="8" t="s">
        <v>204</v>
      </c>
      <c r="X129" s="4">
        <v>1038</v>
      </c>
      <c r="Y129" s="3">
        <v>589</v>
      </c>
      <c r="Z129" s="3">
        <v>445</v>
      </c>
      <c r="AA129" s="3">
        <f t="shared" si="2"/>
        <v>121</v>
      </c>
      <c r="AB129" s="11">
        <f t="shared" si="3"/>
        <v>67.052023121387279</v>
      </c>
    </row>
    <row r="130" spans="1:28" ht="49.5" customHeight="1" x14ac:dyDescent="0.25">
      <c r="A130" s="7">
        <v>128</v>
      </c>
      <c r="B130" s="8">
        <v>541</v>
      </c>
      <c r="C130" s="7">
        <v>54</v>
      </c>
      <c r="D130" s="7">
        <v>25</v>
      </c>
      <c r="E130" s="7">
        <v>2</v>
      </c>
      <c r="F130" s="7">
        <v>0</v>
      </c>
      <c r="G130" s="7">
        <v>0</v>
      </c>
      <c r="H130" s="7">
        <v>0</v>
      </c>
      <c r="I130" s="7">
        <v>1</v>
      </c>
      <c r="J130" s="7">
        <v>0</v>
      </c>
      <c r="K130" s="7">
        <v>0</v>
      </c>
      <c r="L130" s="7">
        <v>0</v>
      </c>
      <c r="M130" s="7">
        <v>0</v>
      </c>
      <c r="N130" s="7">
        <v>1</v>
      </c>
      <c r="O130" s="7">
        <v>0</v>
      </c>
      <c r="P130" s="7">
        <v>624</v>
      </c>
      <c r="Q130" s="7">
        <v>0</v>
      </c>
      <c r="R130" s="7">
        <v>1</v>
      </c>
      <c r="S130" s="8">
        <v>625</v>
      </c>
      <c r="T130" s="7">
        <v>0</v>
      </c>
      <c r="U130" s="7">
        <v>128</v>
      </c>
      <c r="V130" s="8" t="s">
        <v>205</v>
      </c>
      <c r="W130" s="8" t="s">
        <v>206</v>
      </c>
      <c r="X130" s="4">
        <v>711</v>
      </c>
      <c r="Y130" s="3">
        <v>380</v>
      </c>
      <c r="Z130" s="3">
        <v>324</v>
      </c>
      <c r="AA130" s="3">
        <f t="shared" si="2"/>
        <v>516</v>
      </c>
      <c r="AB130" s="11">
        <f t="shared" si="3"/>
        <v>87.763713080168785</v>
      </c>
    </row>
    <row r="131" spans="1:28" ht="49.5" customHeight="1" x14ac:dyDescent="0.25">
      <c r="A131" s="7">
        <v>129</v>
      </c>
      <c r="B131" s="8">
        <v>396</v>
      </c>
      <c r="C131" s="7">
        <v>198</v>
      </c>
      <c r="D131" s="7">
        <v>46</v>
      </c>
      <c r="E131" s="7">
        <v>2</v>
      </c>
      <c r="F131" s="7">
        <v>0</v>
      </c>
      <c r="G131" s="7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2</v>
      </c>
      <c r="O131" s="7">
        <v>1</v>
      </c>
      <c r="P131" s="7">
        <v>646</v>
      </c>
      <c r="Q131" s="7">
        <v>0</v>
      </c>
      <c r="R131" s="7">
        <v>3</v>
      </c>
      <c r="S131" s="8">
        <v>649</v>
      </c>
      <c r="T131" s="7">
        <v>0</v>
      </c>
      <c r="U131" s="7">
        <v>129</v>
      </c>
      <c r="V131" s="8" t="s">
        <v>205</v>
      </c>
      <c r="W131" s="8" t="s">
        <v>207</v>
      </c>
      <c r="X131" s="4">
        <v>850</v>
      </c>
      <c r="Y131" s="3">
        <v>457</v>
      </c>
      <c r="Z131" s="3">
        <v>387</v>
      </c>
      <c r="AA131" s="3">
        <f t="shared" si="2"/>
        <v>350</v>
      </c>
      <c r="AB131" s="11">
        <f t="shared" si="3"/>
        <v>76</v>
      </c>
    </row>
    <row r="132" spans="1:28" ht="49.5" customHeight="1" x14ac:dyDescent="0.25">
      <c r="A132" s="7">
        <v>130</v>
      </c>
      <c r="B132" s="8">
        <v>80</v>
      </c>
      <c r="C132" s="7">
        <v>376</v>
      </c>
      <c r="D132" s="7">
        <v>47</v>
      </c>
      <c r="E132" s="7">
        <v>0</v>
      </c>
      <c r="F132" s="7">
        <v>0</v>
      </c>
      <c r="G132" s="7">
        <v>0</v>
      </c>
      <c r="H132" s="7">
        <v>0</v>
      </c>
      <c r="I132" s="7">
        <v>1</v>
      </c>
      <c r="J132" s="7">
        <v>0</v>
      </c>
      <c r="K132" s="7">
        <v>0</v>
      </c>
      <c r="L132" s="7">
        <v>1</v>
      </c>
      <c r="M132" s="7">
        <v>0</v>
      </c>
      <c r="N132" s="7">
        <v>3</v>
      </c>
      <c r="O132" s="7">
        <v>1</v>
      </c>
      <c r="P132" s="7">
        <v>509</v>
      </c>
      <c r="Q132" s="7">
        <v>0</v>
      </c>
      <c r="R132" s="7">
        <v>5</v>
      </c>
      <c r="S132" s="8">
        <v>514</v>
      </c>
      <c r="T132" s="7">
        <v>0</v>
      </c>
      <c r="U132" s="7">
        <v>130</v>
      </c>
      <c r="V132" s="8" t="s">
        <v>205</v>
      </c>
      <c r="W132" s="8" t="s">
        <v>208</v>
      </c>
      <c r="X132" s="4">
        <v>862</v>
      </c>
      <c r="Y132" s="3">
        <v>461</v>
      </c>
      <c r="Z132" s="3">
        <v>398</v>
      </c>
      <c r="AA132" s="3">
        <f t="shared" ref="AA132:AA195" si="4">MAX(B132,D132)-MIN(B132,D132)</f>
        <v>33</v>
      </c>
      <c r="AB132" s="11">
        <f t="shared" ref="AB132:AB195" si="5">(P132/X132)*100</f>
        <v>59.048723897911835</v>
      </c>
    </row>
    <row r="133" spans="1:28" ht="49.5" customHeight="1" x14ac:dyDescent="0.25">
      <c r="A133" s="7">
        <v>131</v>
      </c>
      <c r="B133" s="8">
        <v>183</v>
      </c>
      <c r="C133" s="7">
        <v>226</v>
      </c>
      <c r="D133" s="7">
        <v>69</v>
      </c>
      <c r="E133" s="7">
        <v>1</v>
      </c>
      <c r="F133" s="7">
        <v>1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1</v>
      </c>
      <c r="O133" s="7">
        <v>1</v>
      </c>
      <c r="P133" s="7">
        <v>482</v>
      </c>
      <c r="Q133" s="7">
        <v>0</v>
      </c>
      <c r="R133" s="7">
        <v>2</v>
      </c>
      <c r="S133" s="8">
        <v>484</v>
      </c>
      <c r="T133" s="7">
        <v>0</v>
      </c>
      <c r="U133" s="7">
        <v>131</v>
      </c>
      <c r="V133" s="8" t="s">
        <v>205</v>
      </c>
      <c r="W133" s="8" t="s">
        <v>209</v>
      </c>
      <c r="X133" s="4">
        <v>858</v>
      </c>
      <c r="Y133" s="3">
        <v>470</v>
      </c>
      <c r="Z133" s="3">
        <v>384</v>
      </c>
      <c r="AA133" s="3">
        <f t="shared" si="4"/>
        <v>114</v>
      </c>
      <c r="AB133" s="11">
        <f t="shared" si="5"/>
        <v>56.177156177156171</v>
      </c>
    </row>
    <row r="134" spans="1:28" ht="49.5" customHeight="1" x14ac:dyDescent="0.25">
      <c r="A134" s="7">
        <v>132</v>
      </c>
      <c r="B134" s="8">
        <v>151</v>
      </c>
      <c r="C134" s="7">
        <v>394</v>
      </c>
      <c r="D134" s="7">
        <v>128</v>
      </c>
      <c r="E134" s="7">
        <v>1</v>
      </c>
      <c r="F134" s="7">
        <v>0</v>
      </c>
      <c r="G134" s="7">
        <v>1</v>
      </c>
      <c r="H134" s="7">
        <v>1</v>
      </c>
      <c r="I134" s="7">
        <v>1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3</v>
      </c>
      <c r="P134" s="7">
        <v>680</v>
      </c>
      <c r="Q134" s="7">
        <v>0</v>
      </c>
      <c r="R134" s="7">
        <v>2</v>
      </c>
      <c r="S134" s="8">
        <v>682</v>
      </c>
      <c r="T134" s="7">
        <v>0</v>
      </c>
      <c r="U134" s="7">
        <v>132</v>
      </c>
      <c r="V134" s="8" t="s">
        <v>210</v>
      </c>
      <c r="W134" s="8" t="s">
        <v>211</v>
      </c>
      <c r="X134" s="4">
        <v>985</v>
      </c>
      <c r="Y134" s="3">
        <v>534</v>
      </c>
      <c r="Z134" s="3">
        <v>451</v>
      </c>
      <c r="AA134" s="3">
        <f t="shared" si="4"/>
        <v>23</v>
      </c>
      <c r="AB134" s="11">
        <f t="shared" si="5"/>
        <v>69.035532994923855</v>
      </c>
    </row>
    <row r="135" spans="1:28" ht="49.5" customHeight="1" x14ac:dyDescent="0.25">
      <c r="A135" s="7">
        <v>133</v>
      </c>
      <c r="B135" s="8">
        <v>505</v>
      </c>
      <c r="C135" s="7">
        <v>114</v>
      </c>
      <c r="D135" s="7">
        <v>64</v>
      </c>
      <c r="E135" s="7">
        <v>1</v>
      </c>
      <c r="F135" s="7">
        <v>0</v>
      </c>
      <c r="G135" s="7">
        <v>0</v>
      </c>
      <c r="H135" s="7">
        <v>0</v>
      </c>
      <c r="I135" s="7">
        <v>2</v>
      </c>
      <c r="J135" s="7">
        <v>0</v>
      </c>
      <c r="K135" s="7">
        <v>1</v>
      </c>
      <c r="L135" s="7">
        <v>1</v>
      </c>
      <c r="M135" s="7">
        <v>0</v>
      </c>
      <c r="N135" s="7">
        <v>0</v>
      </c>
      <c r="O135" s="7">
        <v>1</v>
      </c>
      <c r="P135" s="7">
        <v>689</v>
      </c>
      <c r="Q135" s="7">
        <v>0</v>
      </c>
      <c r="R135" s="7">
        <v>1</v>
      </c>
      <c r="S135" s="8">
        <v>690</v>
      </c>
      <c r="T135" s="7">
        <v>0</v>
      </c>
      <c r="U135" s="7">
        <v>133</v>
      </c>
      <c r="V135" s="8" t="s">
        <v>210</v>
      </c>
      <c r="W135" s="8" t="s">
        <v>212</v>
      </c>
      <c r="X135" s="4">
        <v>892</v>
      </c>
      <c r="Y135" s="3">
        <v>482</v>
      </c>
      <c r="Z135" s="3">
        <v>410</v>
      </c>
      <c r="AA135" s="3">
        <f t="shared" si="4"/>
        <v>441</v>
      </c>
      <c r="AB135" s="11">
        <f t="shared" si="5"/>
        <v>77.242152466367713</v>
      </c>
    </row>
    <row r="136" spans="1:28" ht="49.5" customHeight="1" x14ac:dyDescent="0.25">
      <c r="A136" s="7">
        <v>134</v>
      </c>
      <c r="B136" s="8">
        <v>326</v>
      </c>
      <c r="C136" s="7">
        <v>164</v>
      </c>
      <c r="D136" s="7">
        <v>34</v>
      </c>
      <c r="E136" s="7">
        <v>3</v>
      </c>
      <c r="F136" s="7">
        <v>0</v>
      </c>
      <c r="G136" s="7">
        <v>3</v>
      </c>
      <c r="H136" s="7">
        <v>0</v>
      </c>
      <c r="I136" s="7">
        <v>11</v>
      </c>
      <c r="J136" s="7">
        <v>1</v>
      </c>
      <c r="K136" s="7">
        <v>0</v>
      </c>
      <c r="L136" s="7">
        <v>0</v>
      </c>
      <c r="M136" s="7">
        <v>0</v>
      </c>
      <c r="N136" s="7">
        <v>0</v>
      </c>
      <c r="O136" s="7">
        <v>1</v>
      </c>
      <c r="P136" s="7">
        <v>543</v>
      </c>
      <c r="Q136" s="7">
        <v>0</v>
      </c>
      <c r="R136" s="7">
        <v>6</v>
      </c>
      <c r="S136" s="8">
        <v>549</v>
      </c>
      <c r="T136" s="7">
        <v>0</v>
      </c>
      <c r="U136" s="7">
        <v>134</v>
      </c>
      <c r="V136" s="8" t="s">
        <v>213</v>
      </c>
      <c r="W136" s="8" t="s">
        <v>214</v>
      </c>
      <c r="X136" s="4">
        <v>802</v>
      </c>
      <c r="Y136" s="3">
        <v>424</v>
      </c>
      <c r="Z136" s="3">
        <v>375</v>
      </c>
      <c r="AA136" s="3">
        <f t="shared" si="4"/>
        <v>292</v>
      </c>
      <c r="AB136" s="11">
        <f t="shared" si="5"/>
        <v>67.705735660847878</v>
      </c>
    </row>
    <row r="137" spans="1:28" ht="49.5" customHeight="1" x14ac:dyDescent="0.25">
      <c r="A137" s="7">
        <v>135</v>
      </c>
      <c r="B137" s="8">
        <v>275</v>
      </c>
      <c r="C137" s="7">
        <v>100</v>
      </c>
      <c r="D137" s="7">
        <v>90</v>
      </c>
      <c r="E137" s="7">
        <v>2</v>
      </c>
      <c r="F137" s="7">
        <v>1</v>
      </c>
      <c r="G137" s="7">
        <v>3</v>
      </c>
      <c r="H137" s="7">
        <v>0</v>
      </c>
      <c r="I137" s="7">
        <v>22</v>
      </c>
      <c r="J137" s="7">
        <v>0</v>
      </c>
      <c r="K137" s="7">
        <v>0</v>
      </c>
      <c r="L137" s="7">
        <v>1</v>
      </c>
      <c r="M137" s="7">
        <v>0</v>
      </c>
      <c r="N137" s="7">
        <v>0</v>
      </c>
      <c r="O137" s="7">
        <v>0</v>
      </c>
      <c r="P137" s="7">
        <v>494</v>
      </c>
      <c r="Q137" s="7">
        <v>0</v>
      </c>
      <c r="R137" s="7" t="e">
        <f>#REF!-P137</f>
        <v>#REF!</v>
      </c>
      <c r="S137" s="8">
        <v>494</v>
      </c>
      <c r="T137" s="7">
        <v>0</v>
      </c>
      <c r="U137" s="7">
        <v>135</v>
      </c>
      <c r="V137" s="8" t="s">
        <v>215</v>
      </c>
      <c r="W137" s="8" t="s">
        <v>216</v>
      </c>
      <c r="X137" s="4">
        <v>747</v>
      </c>
      <c r="Y137" s="3">
        <v>401</v>
      </c>
      <c r="Z137" s="3">
        <v>346</v>
      </c>
      <c r="AA137" s="3">
        <f t="shared" si="4"/>
        <v>185</v>
      </c>
      <c r="AB137" s="11">
        <f t="shared" si="5"/>
        <v>66.13119143239625</v>
      </c>
    </row>
    <row r="138" spans="1:28" ht="49.5" customHeight="1" x14ac:dyDescent="0.25">
      <c r="A138" s="7">
        <v>136</v>
      </c>
      <c r="B138" s="8">
        <v>288</v>
      </c>
      <c r="C138" s="7">
        <v>73</v>
      </c>
      <c r="D138" s="7">
        <v>219</v>
      </c>
      <c r="E138" s="7">
        <v>0</v>
      </c>
      <c r="F138" s="7">
        <v>0</v>
      </c>
      <c r="G138" s="7">
        <v>2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1</v>
      </c>
      <c r="N138" s="7">
        <v>1</v>
      </c>
      <c r="O138" s="7">
        <v>1</v>
      </c>
      <c r="P138" s="7">
        <v>585</v>
      </c>
      <c r="Q138" s="7">
        <v>0</v>
      </c>
      <c r="R138" s="7">
        <v>2</v>
      </c>
      <c r="S138" s="8">
        <v>587</v>
      </c>
      <c r="T138" s="7">
        <v>0</v>
      </c>
      <c r="U138" s="7">
        <v>136</v>
      </c>
      <c r="V138" s="8" t="s">
        <v>217</v>
      </c>
      <c r="W138" s="8" t="s">
        <v>218</v>
      </c>
      <c r="X138" s="4">
        <v>841</v>
      </c>
      <c r="Y138" s="3">
        <v>455</v>
      </c>
      <c r="Z138" s="3">
        <v>382</v>
      </c>
      <c r="AA138" s="3">
        <f t="shared" si="4"/>
        <v>69</v>
      </c>
      <c r="AB138" s="11">
        <f t="shared" si="5"/>
        <v>69.56004756242568</v>
      </c>
    </row>
    <row r="139" spans="1:28" ht="49.5" customHeight="1" x14ac:dyDescent="0.25">
      <c r="A139" s="7">
        <v>137</v>
      </c>
      <c r="B139" s="8">
        <v>193</v>
      </c>
      <c r="C139" s="7">
        <v>124</v>
      </c>
      <c r="D139" s="7">
        <v>145</v>
      </c>
      <c r="E139" s="7">
        <v>2</v>
      </c>
      <c r="F139" s="7">
        <v>0</v>
      </c>
      <c r="G139" s="7">
        <v>4</v>
      </c>
      <c r="H139" s="7">
        <v>0</v>
      </c>
      <c r="I139" s="7">
        <v>0</v>
      </c>
      <c r="J139" s="7">
        <v>0</v>
      </c>
      <c r="K139" s="7">
        <v>0</v>
      </c>
      <c r="L139" s="7">
        <v>1</v>
      </c>
      <c r="M139" s="7">
        <v>0</v>
      </c>
      <c r="N139" s="7">
        <v>0</v>
      </c>
      <c r="O139" s="7">
        <v>0</v>
      </c>
      <c r="P139" s="7">
        <v>469</v>
      </c>
      <c r="Q139" s="7">
        <v>0</v>
      </c>
      <c r="R139" s="7">
        <v>1</v>
      </c>
      <c r="S139" s="8">
        <v>470</v>
      </c>
      <c r="T139" s="7">
        <v>0</v>
      </c>
      <c r="U139" s="7">
        <v>137</v>
      </c>
      <c r="V139" s="8" t="s">
        <v>217</v>
      </c>
      <c r="W139" s="8" t="s">
        <v>219</v>
      </c>
      <c r="X139" s="4">
        <v>782</v>
      </c>
      <c r="Y139" s="3">
        <v>417</v>
      </c>
      <c r="Z139" s="3">
        <v>365</v>
      </c>
      <c r="AA139" s="3">
        <f t="shared" si="4"/>
        <v>48</v>
      </c>
      <c r="AB139" s="11">
        <f t="shared" si="5"/>
        <v>59.974424552429674</v>
      </c>
    </row>
    <row r="140" spans="1:28" ht="49.5" customHeight="1" x14ac:dyDescent="0.25">
      <c r="A140" s="7">
        <v>138</v>
      </c>
      <c r="B140" s="8">
        <v>213</v>
      </c>
      <c r="C140" s="7">
        <v>178</v>
      </c>
      <c r="D140" s="7">
        <v>121</v>
      </c>
      <c r="E140" s="7">
        <v>1</v>
      </c>
      <c r="F140" s="7">
        <v>0</v>
      </c>
      <c r="G140" s="7">
        <v>2</v>
      </c>
      <c r="H140" s="7">
        <v>0</v>
      </c>
      <c r="I140" s="7">
        <v>0</v>
      </c>
      <c r="J140" s="7">
        <v>1</v>
      </c>
      <c r="K140" s="7">
        <v>0</v>
      </c>
      <c r="L140" s="7">
        <v>1</v>
      </c>
      <c r="M140" s="7">
        <v>0</v>
      </c>
      <c r="N140" s="7">
        <v>2</v>
      </c>
      <c r="O140" s="7">
        <v>1</v>
      </c>
      <c r="P140" s="7">
        <v>520</v>
      </c>
      <c r="Q140" s="7">
        <v>0</v>
      </c>
      <c r="R140" s="7">
        <v>3</v>
      </c>
      <c r="S140" s="8">
        <v>523</v>
      </c>
      <c r="T140" s="7">
        <v>0</v>
      </c>
      <c r="U140" s="7">
        <v>138</v>
      </c>
      <c r="V140" s="8" t="s">
        <v>220</v>
      </c>
      <c r="W140" s="8" t="s">
        <v>221</v>
      </c>
      <c r="X140" s="4">
        <v>774</v>
      </c>
      <c r="Y140" s="3">
        <v>413</v>
      </c>
      <c r="Z140" s="3">
        <v>359</v>
      </c>
      <c r="AA140" s="3">
        <f t="shared" si="4"/>
        <v>92</v>
      </c>
      <c r="AB140" s="11">
        <f t="shared" si="5"/>
        <v>67.183462532299743</v>
      </c>
    </row>
    <row r="141" spans="1:28" ht="49.5" customHeight="1" x14ac:dyDescent="0.25">
      <c r="A141" s="7">
        <v>139</v>
      </c>
      <c r="B141" s="8">
        <v>195</v>
      </c>
      <c r="C141" s="7">
        <v>193</v>
      </c>
      <c r="D141" s="7">
        <v>154</v>
      </c>
      <c r="E141" s="7">
        <v>0</v>
      </c>
      <c r="F141" s="7">
        <v>0</v>
      </c>
      <c r="G141" s="7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1</v>
      </c>
      <c r="P141" s="7">
        <v>544</v>
      </c>
      <c r="Q141" s="7">
        <v>0</v>
      </c>
      <c r="R141" s="7">
        <v>3</v>
      </c>
      <c r="S141" s="8">
        <v>547</v>
      </c>
      <c r="T141" s="7">
        <v>0</v>
      </c>
      <c r="U141" s="7">
        <v>139</v>
      </c>
      <c r="V141" s="8" t="s">
        <v>220</v>
      </c>
      <c r="W141" s="8" t="s">
        <v>222</v>
      </c>
      <c r="X141" s="4">
        <v>854</v>
      </c>
      <c r="Y141" s="3">
        <v>452</v>
      </c>
      <c r="Z141" s="3">
        <v>396</v>
      </c>
      <c r="AA141" s="3">
        <f t="shared" si="4"/>
        <v>41</v>
      </c>
      <c r="AB141" s="11">
        <f t="shared" si="5"/>
        <v>63.700234192037477</v>
      </c>
    </row>
    <row r="142" spans="1:28" ht="49.5" customHeight="1" x14ac:dyDescent="0.25">
      <c r="A142" s="7">
        <v>140</v>
      </c>
      <c r="B142" s="8">
        <v>771</v>
      </c>
      <c r="C142" s="7">
        <v>45</v>
      </c>
      <c r="D142" s="7">
        <v>101</v>
      </c>
      <c r="E142" s="7">
        <v>1</v>
      </c>
      <c r="F142" s="7">
        <v>1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1</v>
      </c>
      <c r="N142" s="7">
        <v>0</v>
      </c>
      <c r="O142" s="7">
        <v>1</v>
      </c>
      <c r="P142" s="7">
        <v>921</v>
      </c>
      <c r="Q142" s="7">
        <v>0</v>
      </c>
      <c r="R142" s="7">
        <v>2</v>
      </c>
      <c r="S142" s="8">
        <v>923</v>
      </c>
      <c r="T142" s="7">
        <v>0</v>
      </c>
      <c r="U142" s="7">
        <v>140</v>
      </c>
      <c r="V142" s="8" t="s">
        <v>223</v>
      </c>
      <c r="W142" s="8" t="s">
        <v>224</v>
      </c>
      <c r="X142" s="4">
        <v>1072</v>
      </c>
      <c r="Y142" s="3">
        <v>584</v>
      </c>
      <c r="Z142" s="3">
        <v>482</v>
      </c>
      <c r="AA142" s="3">
        <f t="shared" si="4"/>
        <v>670</v>
      </c>
      <c r="AB142" s="11">
        <f t="shared" si="5"/>
        <v>85.914179104477611</v>
      </c>
    </row>
    <row r="143" spans="1:28" ht="49.5" customHeight="1" x14ac:dyDescent="0.25">
      <c r="A143" s="7">
        <v>141</v>
      </c>
      <c r="B143" s="8">
        <v>574</v>
      </c>
      <c r="C143" s="7">
        <v>75</v>
      </c>
      <c r="D143" s="7">
        <v>16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665</v>
      </c>
      <c r="Q143" s="7">
        <v>0</v>
      </c>
      <c r="R143" s="7">
        <v>3</v>
      </c>
      <c r="S143" s="8">
        <v>668</v>
      </c>
      <c r="T143" s="7">
        <v>0</v>
      </c>
      <c r="U143" s="7">
        <v>141</v>
      </c>
      <c r="V143" s="8" t="s">
        <v>223</v>
      </c>
      <c r="W143" s="8" t="s">
        <v>225</v>
      </c>
      <c r="X143" s="4">
        <v>883</v>
      </c>
      <c r="Y143" s="3">
        <v>476</v>
      </c>
      <c r="Z143" s="3">
        <v>398</v>
      </c>
      <c r="AA143" s="3">
        <f t="shared" si="4"/>
        <v>558</v>
      </c>
      <c r="AB143" s="11">
        <f t="shared" si="5"/>
        <v>75.311438278595702</v>
      </c>
    </row>
    <row r="144" spans="1:28" ht="49.5" customHeight="1" x14ac:dyDescent="0.25">
      <c r="A144" s="9">
        <v>142</v>
      </c>
      <c r="B144" s="10">
        <v>209</v>
      </c>
      <c r="C144" s="9">
        <v>133</v>
      </c>
      <c r="D144" s="9">
        <v>219</v>
      </c>
      <c r="E144" s="9">
        <v>0</v>
      </c>
      <c r="F144" s="9">
        <v>0</v>
      </c>
      <c r="G144" s="9">
        <v>1</v>
      </c>
      <c r="H144" s="9">
        <v>2</v>
      </c>
      <c r="I144" s="9">
        <v>0</v>
      </c>
      <c r="J144" s="9">
        <v>1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565</v>
      </c>
      <c r="Q144" s="9">
        <v>0</v>
      </c>
      <c r="R144" s="9">
        <v>1</v>
      </c>
      <c r="S144" s="10">
        <v>566</v>
      </c>
      <c r="T144" s="9">
        <v>0</v>
      </c>
      <c r="U144" s="9">
        <v>142</v>
      </c>
      <c r="V144" s="10" t="s">
        <v>226</v>
      </c>
      <c r="W144" s="10" t="s">
        <v>227</v>
      </c>
      <c r="X144" s="4">
        <v>773</v>
      </c>
      <c r="Y144" s="3">
        <v>407</v>
      </c>
      <c r="Z144" s="3">
        <v>366</v>
      </c>
      <c r="AA144" s="3">
        <f t="shared" si="4"/>
        <v>10</v>
      </c>
      <c r="AB144" s="11">
        <f t="shared" si="5"/>
        <v>73.091849935316944</v>
      </c>
    </row>
    <row r="145" spans="1:28" ht="49.5" customHeight="1" x14ac:dyDescent="0.25">
      <c r="A145" s="7">
        <v>143</v>
      </c>
      <c r="B145" s="8">
        <v>167</v>
      </c>
      <c r="C145" s="7">
        <v>294</v>
      </c>
      <c r="D145" s="7">
        <v>50</v>
      </c>
      <c r="E145" s="7">
        <v>0</v>
      </c>
      <c r="F145" s="7">
        <v>1</v>
      </c>
      <c r="G145" s="7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1</v>
      </c>
      <c r="N145" s="7">
        <v>1</v>
      </c>
      <c r="O145" s="7">
        <v>7</v>
      </c>
      <c r="P145" s="7">
        <v>522</v>
      </c>
      <c r="Q145" s="7">
        <v>0</v>
      </c>
      <c r="R145" s="7">
        <v>2</v>
      </c>
      <c r="S145" s="8">
        <v>524</v>
      </c>
      <c r="T145" s="7">
        <v>0</v>
      </c>
      <c r="U145" s="7">
        <v>143</v>
      </c>
      <c r="V145" s="8" t="s">
        <v>226</v>
      </c>
      <c r="W145" s="8" t="s">
        <v>228</v>
      </c>
      <c r="X145" s="4">
        <v>781</v>
      </c>
      <c r="Y145" s="3">
        <v>434</v>
      </c>
      <c r="Z145" s="3">
        <v>344</v>
      </c>
      <c r="AA145" s="3">
        <f t="shared" si="4"/>
        <v>117</v>
      </c>
      <c r="AB145" s="11">
        <f t="shared" si="5"/>
        <v>66.837387964148533</v>
      </c>
    </row>
    <row r="146" spans="1:28" ht="49.5" customHeight="1" x14ac:dyDescent="0.25">
      <c r="A146" s="7">
        <v>144</v>
      </c>
      <c r="B146" s="8">
        <v>324</v>
      </c>
      <c r="C146" s="7">
        <v>171</v>
      </c>
      <c r="D146" s="7">
        <v>23</v>
      </c>
      <c r="E146" s="7">
        <v>0</v>
      </c>
      <c r="F146" s="7">
        <v>1</v>
      </c>
      <c r="G146" s="7">
        <v>0</v>
      </c>
      <c r="H146" s="7">
        <v>0</v>
      </c>
      <c r="I146" s="7">
        <v>0</v>
      </c>
      <c r="J146" s="7">
        <v>1</v>
      </c>
      <c r="K146" s="7">
        <v>0</v>
      </c>
      <c r="L146" s="7">
        <v>0</v>
      </c>
      <c r="M146" s="7">
        <v>1</v>
      </c>
      <c r="N146" s="7">
        <v>0</v>
      </c>
      <c r="O146" s="7">
        <v>3</v>
      </c>
      <c r="P146" s="7">
        <v>524</v>
      </c>
      <c r="Q146" s="7">
        <v>0</v>
      </c>
      <c r="R146" s="7">
        <v>3</v>
      </c>
      <c r="S146" s="8">
        <v>527</v>
      </c>
      <c r="T146" s="7">
        <v>0</v>
      </c>
      <c r="U146" s="7">
        <v>144</v>
      </c>
      <c r="V146" s="8" t="s">
        <v>229</v>
      </c>
      <c r="W146" s="8" t="s">
        <v>230</v>
      </c>
      <c r="X146" s="4">
        <v>882</v>
      </c>
      <c r="Y146" s="3">
        <v>481</v>
      </c>
      <c r="Z146" s="3">
        <v>399</v>
      </c>
      <c r="AA146" s="3">
        <f t="shared" si="4"/>
        <v>301</v>
      </c>
      <c r="AB146" s="11">
        <f t="shared" si="5"/>
        <v>59.410430839002274</v>
      </c>
    </row>
    <row r="147" spans="1:28" ht="49.5" customHeight="1" x14ac:dyDescent="0.25">
      <c r="A147" s="7">
        <v>145</v>
      </c>
      <c r="B147" s="8">
        <v>163</v>
      </c>
      <c r="C147" s="7">
        <v>217</v>
      </c>
      <c r="D147" s="7">
        <v>34</v>
      </c>
      <c r="E147" s="7">
        <v>1</v>
      </c>
      <c r="F147" s="7">
        <v>0</v>
      </c>
      <c r="G147" s="7">
        <v>3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1</v>
      </c>
      <c r="N147" s="7">
        <v>0</v>
      </c>
      <c r="O147" s="7">
        <v>1</v>
      </c>
      <c r="P147" s="7">
        <v>420</v>
      </c>
      <c r="Q147" s="7">
        <v>0</v>
      </c>
      <c r="R147" s="7">
        <v>1</v>
      </c>
      <c r="S147" s="8">
        <v>421</v>
      </c>
      <c r="T147" s="7">
        <v>0</v>
      </c>
      <c r="U147" s="7">
        <v>145</v>
      </c>
      <c r="V147" s="8" t="s">
        <v>229</v>
      </c>
      <c r="W147" s="8" t="s">
        <v>231</v>
      </c>
      <c r="X147" s="4">
        <v>713</v>
      </c>
      <c r="Y147" s="3">
        <v>382</v>
      </c>
      <c r="Z147" s="3">
        <v>331</v>
      </c>
      <c r="AA147" s="3">
        <f t="shared" si="4"/>
        <v>129</v>
      </c>
      <c r="AB147" s="11">
        <f t="shared" si="5"/>
        <v>58.906030855539967</v>
      </c>
    </row>
    <row r="148" spans="1:28" ht="49.5" customHeight="1" x14ac:dyDescent="0.25">
      <c r="A148" s="7">
        <v>146</v>
      </c>
      <c r="B148" s="8">
        <v>412</v>
      </c>
      <c r="C148" s="7">
        <v>211</v>
      </c>
      <c r="D148" s="7">
        <v>11</v>
      </c>
      <c r="E148" s="7">
        <v>0</v>
      </c>
      <c r="F148" s="7">
        <v>0</v>
      </c>
      <c r="G148" s="7">
        <v>2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4</v>
      </c>
      <c r="P148" s="7">
        <v>640</v>
      </c>
      <c r="Q148" s="7">
        <v>0</v>
      </c>
      <c r="R148" s="7" t="e">
        <f>#REF!-P148</f>
        <v>#REF!</v>
      </c>
      <c r="S148" s="8">
        <v>640</v>
      </c>
      <c r="T148" s="7">
        <v>0</v>
      </c>
      <c r="U148" s="7">
        <v>146</v>
      </c>
      <c r="V148" s="8" t="s">
        <v>232</v>
      </c>
      <c r="W148" s="8" t="s">
        <v>233</v>
      </c>
      <c r="X148" s="4">
        <v>1104</v>
      </c>
      <c r="Y148" s="3">
        <v>619</v>
      </c>
      <c r="Z148" s="3">
        <v>474</v>
      </c>
      <c r="AA148" s="3">
        <f t="shared" si="4"/>
        <v>401</v>
      </c>
      <c r="AB148" s="11">
        <f t="shared" si="5"/>
        <v>57.971014492753625</v>
      </c>
    </row>
    <row r="149" spans="1:28" ht="49.5" customHeight="1" x14ac:dyDescent="0.25">
      <c r="A149" s="7">
        <v>147</v>
      </c>
      <c r="B149" s="8">
        <v>391</v>
      </c>
      <c r="C149" s="7">
        <v>215</v>
      </c>
      <c r="D149" s="7">
        <v>38</v>
      </c>
      <c r="E149" s="7">
        <v>0</v>
      </c>
      <c r="F149" s="7">
        <v>0</v>
      </c>
      <c r="G149" s="7">
        <v>7</v>
      </c>
      <c r="H149" s="7">
        <v>3</v>
      </c>
      <c r="I149" s="7">
        <v>1</v>
      </c>
      <c r="J149" s="7">
        <v>0</v>
      </c>
      <c r="K149" s="7">
        <v>0</v>
      </c>
      <c r="L149" s="7">
        <v>1</v>
      </c>
      <c r="M149" s="7">
        <v>0</v>
      </c>
      <c r="N149" s="7">
        <v>0</v>
      </c>
      <c r="O149" s="7">
        <v>2</v>
      </c>
      <c r="P149" s="7">
        <v>658</v>
      </c>
      <c r="Q149" s="7">
        <v>0</v>
      </c>
      <c r="R149" s="7" t="e">
        <f>#REF!-P149</f>
        <v>#REF!</v>
      </c>
      <c r="S149" s="8">
        <v>658</v>
      </c>
      <c r="T149" s="7">
        <v>0</v>
      </c>
      <c r="U149" s="7">
        <v>147</v>
      </c>
      <c r="V149" s="8" t="s">
        <v>232</v>
      </c>
      <c r="W149" s="8" t="s">
        <v>234</v>
      </c>
      <c r="X149" s="4">
        <v>1131</v>
      </c>
      <c r="Y149" s="3">
        <v>627</v>
      </c>
      <c r="Z149" s="3">
        <v>501</v>
      </c>
      <c r="AA149" s="3">
        <f t="shared" si="4"/>
        <v>353</v>
      </c>
      <c r="AB149" s="11">
        <f t="shared" si="5"/>
        <v>58.178603006189213</v>
      </c>
    </row>
    <row r="150" spans="1:28" ht="49.5" customHeight="1" x14ac:dyDescent="0.25">
      <c r="A150" s="7">
        <v>148</v>
      </c>
      <c r="B150" s="8">
        <v>606</v>
      </c>
      <c r="C150" s="7">
        <v>40</v>
      </c>
      <c r="D150" s="7">
        <v>13</v>
      </c>
      <c r="E150" s="7">
        <v>0</v>
      </c>
      <c r="F150" s="7">
        <v>1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1</v>
      </c>
      <c r="N150" s="7">
        <v>0</v>
      </c>
      <c r="O150" s="7">
        <v>1</v>
      </c>
      <c r="P150" s="7">
        <v>662</v>
      </c>
      <c r="Q150" s="7">
        <v>0</v>
      </c>
      <c r="R150" s="7" t="e">
        <f>#REF!-P150</f>
        <v>#REF!</v>
      </c>
      <c r="S150" s="8">
        <v>662</v>
      </c>
      <c r="T150" s="7">
        <v>0</v>
      </c>
      <c r="U150" s="7">
        <v>148</v>
      </c>
      <c r="V150" s="8" t="s">
        <v>232</v>
      </c>
      <c r="W150" s="8" t="s">
        <v>235</v>
      </c>
      <c r="X150" s="4">
        <v>805</v>
      </c>
      <c r="Y150" s="3">
        <v>439</v>
      </c>
      <c r="Z150" s="3">
        <v>365</v>
      </c>
      <c r="AA150" s="3">
        <f t="shared" si="4"/>
        <v>593</v>
      </c>
      <c r="AB150" s="11">
        <f t="shared" si="5"/>
        <v>82.236024844720504</v>
      </c>
    </row>
    <row r="151" spans="1:28" ht="49.5" customHeight="1" x14ac:dyDescent="0.25">
      <c r="A151" s="7">
        <v>149</v>
      </c>
      <c r="B151" s="8">
        <v>274</v>
      </c>
      <c r="C151" s="7">
        <v>219</v>
      </c>
      <c r="D151" s="7">
        <v>20</v>
      </c>
      <c r="E151" s="7">
        <v>1</v>
      </c>
      <c r="F151" s="7">
        <v>0</v>
      </c>
      <c r="G151" s="7">
        <v>0</v>
      </c>
      <c r="H151" s="7">
        <v>0</v>
      </c>
      <c r="I151" s="7">
        <v>0</v>
      </c>
      <c r="J151" s="7">
        <v>1</v>
      </c>
      <c r="K151" s="7">
        <v>0</v>
      </c>
      <c r="L151" s="7">
        <v>1</v>
      </c>
      <c r="M151" s="7">
        <v>1</v>
      </c>
      <c r="N151" s="7">
        <v>0</v>
      </c>
      <c r="O151" s="7">
        <v>2</v>
      </c>
      <c r="P151" s="7">
        <v>519</v>
      </c>
      <c r="Q151" s="7">
        <v>0</v>
      </c>
      <c r="R151" s="7">
        <v>4</v>
      </c>
      <c r="S151" s="8">
        <v>523</v>
      </c>
      <c r="T151" s="7">
        <v>0</v>
      </c>
      <c r="U151" s="7">
        <v>149</v>
      </c>
      <c r="V151" s="8" t="s">
        <v>232</v>
      </c>
      <c r="W151" s="8" t="s">
        <v>236</v>
      </c>
      <c r="X151" s="4">
        <v>773</v>
      </c>
      <c r="Y151" s="3">
        <v>405</v>
      </c>
      <c r="Z151" s="3">
        <v>367</v>
      </c>
      <c r="AA151" s="3">
        <f t="shared" si="4"/>
        <v>254</v>
      </c>
      <c r="AB151" s="11">
        <f t="shared" si="5"/>
        <v>67.141009055627421</v>
      </c>
    </row>
    <row r="152" spans="1:28" ht="49.5" customHeight="1" x14ac:dyDescent="0.25">
      <c r="A152" s="7">
        <v>150</v>
      </c>
      <c r="B152" s="8">
        <v>183</v>
      </c>
      <c r="C152" s="7">
        <v>491</v>
      </c>
      <c r="D152" s="7">
        <v>13</v>
      </c>
      <c r="E152" s="7">
        <v>0</v>
      </c>
      <c r="F152" s="7">
        <v>0</v>
      </c>
      <c r="G152" s="7">
        <v>1</v>
      </c>
      <c r="H152" s="7">
        <v>0</v>
      </c>
      <c r="I152" s="7">
        <v>2</v>
      </c>
      <c r="J152" s="7">
        <v>0</v>
      </c>
      <c r="K152" s="7">
        <v>0</v>
      </c>
      <c r="L152" s="7">
        <v>1</v>
      </c>
      <c r="M152" s="7">
        <v>0</v>
      </c>
      <c r="N152" s="7">
        <v>0</v>
      </c>
      <c r="O152" s="7">
        <v>1</v>
      </c>
      <c r="P152" s="7">
        <v>692</v>
      </c>
      <c r="Q152" s="7">
        <v>0</v>
      </c>
      <c r="R152" s="7">
        <v>0</v>
      </c>
      <c r="S152" s="8">
        <v>692</v>
      </c>
      <c r="T152" s="7">
        <v>0</v>
      </c>
      <c r="U152" s="7">
        <v>150</v>
      </c>
      <c r="V152" s="8" t="s">
        <v>237</v>
      </c>
      <c r="W152" s="8" t="s">
        <v>238</v>
      </c>
      <c r="X152" s="4">
        <v>1130</v>
      </c>
      <c r="Y152" s="3">
        <v>634</v>
      </c>
      <c r="Z152" s="3">
        <v>494</v>
      </c>
      <c r="AA152" s="3">
        <f t="shared" si="4"/>
        <v>170</v>
      </c>
      <c r="AB152" s="11">
        <f t="shared" si="5"/>
        <v>61.23893805309735</v>
      </c>
    </row>
    <row r="153" spans="1:28" ht="49.5" customHeight="1" x14ac:dyDescent="0.25">
      <c r="A153" s="7">
        <v>151</v>
      </c>
      <c r="B153" s="8">
        <v>316</v>
      </c>
      <c r="C153" s="7">
        <v>61</v>
      </c>
      <c r="D153" s="7">
        <v>19</v>
      </c>
      <c r="E153" s="7">
        <v>0</v>
      </c>
      <c r="F153" s="7">
        <v>1</v>
      </c>
      <c r="G153" s="7">
        <v>1</v>
      </c>
      <c r="H153" s="7">
        <v>0</v>
      </c>
      <c r="I153" s="7">
        <v>0</v>
      </c>
      <c r="J153" s="7">
        <v>1</v>
      </c>
      <c r="K153" s="7">
        <v>2</v>
      </c>
      <c r="L153" s="7">
        <v>0</v>
      </c>
      <c r="M153" s="7">
        <v>0</v>
      </c>
      <c r="N153" s="7">
        <v>0</v>
      </c>
      <c r="O153" s="7">
        <v>4</v>
      </c>
      <c r="P153" s="7">
        <v>405</v>
      </c>
      <c r="Q153" s="7">
        <v>0</v>
      </c>
      <c r="R153" s="7">
        <v>5</v>
      </c>
      <c r="S153" s="8">
        <v>410</v>
      </c>
      <c r="T153" s="7">
        <v>0</v>
      </c>
      <c r="U153" s="7">
        <v>151</v>
      </c>
      <c r="V153" s="8" t="s">
        <v>237</v>
      </c>
      <c r="W153" s="8" t="s">
        <v>239</v>
      </c>
      <c r="X153" s="4">
        <v>532</v>
      </c>
      <c r="Y153" s="3">
        <v>282</v>
      </c>
      <c r="Z153" s="3">
        <v>250</v>
      </c>
      <c r="AA153" s="3">
        <f t="shared" si="4"/>
        <v>297</v>
      </c>
      <c r="AB153" s="11">
        <f t="shared" si="5"/>
        <v>76.127819548872182</v>
      </c>
    </row>
    <row r="154" spans="1:28" ht="49.5" customHeight="1" x14ac:dyDescent="0.25">
      <c r="A154" s="7">
        <v>152</v>
      </c>
      <c r="B154" s="8">
        <v>413</v>
      </c>
      <c r="C154" s="7">
        <v>178</v>
      </c>
      <c r="D154" s="7">
        <v>54</v>
      </c>
      <c r="E154" s="7">
        <v>0</v>
      </c>
      <c r="F154" s="7">
        <v>1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1</v>
      </c>
      <c r="N154" s="7">
        <v>2</v>
      </c>
      <c r="O154" s="7">
        <v>3</v>
      </c>
      <c r="P154" s="7">
        <v>652</v>
      </c>
      <c r="Q154" s="7">
        <v>0</v>
      </c>
      <c r="R154" s="7">
        <v>2</v>
      </c>
      <c r="S154" s="8">
        <v>654</v>
      </c>
      <c r="T154" s="7">
        <v>0</v>
      </c>
      <c r="U154" s="7">
        <v>152</v>
      </c>
      <c r="V154" s="8" t="s">
        <v>240</v>
      </c>
      <c r="W154" s="8" t="s">
        <v>241</v>
      </c>
      <c r="X154" s="4">
        <v>1004</v>
      </c>
      <c r="Y154" s="3">
        <v>542</v>
      </c>
      <c r="Z154" s="3">
        <v>461</v>
      </c>
      <c r="AA154" s="3">
        <f t="shared" si="4"/>
        <v>359</v>
      </c>
      <c r="AB154" s="11">
        <f t="shared" si="5"/>
        <v>64.940239043824704</v>
      </c>
    </row>
    <row r="155" spans="1:28" ht="49.5" customHeight="1" x14ac:dyDescent="0.25">
      <c r="A155" s="7">
        <v>153</v>
      </c>
      <c r="B155" s="8">
        <v>434</v>
      </c>
      <c r="C155" s="7">
        <v>115</v>
      </c>
      <c r="D155" s="7">
        <v>46</v>
      </c>
      <c r="E155" s="7">
        <v>1</v>
      </c>
      <c r="F155" s="7">
        <v>0</v>
      </c>
      <c r="G155" s="7">
        <v>2</v>
      </c>
      <c r="H155" s="7">
        <v>0</v>
      </c>
      <c r="I155" s="7">
        <v>0</v>
      </c>
      <c r="J155" s="7">
        <v>1</v>
      </c>
      <c r="K155" s="7">
        <v>0</v>
      </c>
      <c r="L155" s="7">
        <v>1</v>
      </c>
      <c r="M155" s="7">
        <v>0</v>
      </c>
      <c r="N155" s="7">
        <v>0</v>
      </c>
      <c r="O155" s="7">
        <v>3</v>
      </c>
      <c r="P155" s="7">
        <v>603</v>
      </c>
      <c r="Q155" s="7">
        <v>0</v>
      </c>
      <c r="R155" s="7">
        <v>3</v>
      </c>
      <c r="S155" s="8">
        <v>606</v>
      </c>
      <c r="T155" s="7">
        <v>0</v>
      </c>
      <c r="U155" s="7">
        <v>153</v>
      </c>
      <c r="V155" s="8" t="s">
        <v>240</v>
      </c>
      <c r="W155" s="8" t="s">
        <v>242</v>
      </c>
      <c r="X155" s="4">
        <v>827</v>
      </c>
      <c r="Y155" s="3">
        <v>452</v>
      </c>
      <c r="Z155" s="3">
        <v>374</v>
      </c>
      <c r="AA155" s="3">
        <f t="shared" si="4"/>
        <v>388</v>
      </c>
      <c r="AB155" s="11">
        <f t="shared" si="5"/>
        <v>72.914147521160828</v>
      </c>
    </row>
    <row r="156" spans="1:28" ht="49.5" customHeight="1" x14ac:dyDescent="0.25">
      <c r="A156" s="7">
        <v>154</v>
      </c>
      <c r="B156" s="8">
        <v>222</v>
      </c>
      <c r="C156" s="7">
        <v>303</v>
      </c>
      <c r="D156" s="7">
        <v>19</v>
      </c>
      <c r="E156" s="7">
        <v>0</v>
      </c>
      <c r="F156" s="7">
        <v>0</v>
      </c>
      <c r="G156" s="7">
        <v>0</v>
      </c>
      <c r="H156" s="7">
        <v>0</v>
      </c>
      <c r="I156" s="7">
        <v>1</v>
      </c>
      <c r="J156" s="7">
        <v>0</v>
      </c>
      <c r="K156" s="7">
        <v>0</v>
      </c>
      <c r="L156" s="7">
        <v>0</v>
      </c>
      <c r="M156" s="7">
        <v>0</v>
      </c>
      <c r="N156" s="7">
        <v>1</v>
      </c>
      <c r="O156" s="7">
        <v>3</v>
      </c>
      <c r="P156" s="7">
        <v>549</v>
      </c>
      <c r="Q156" s="7">
        <v>0</v>
      </c>
      <c r="R156" s="7">
        <v>1</v>
      </c>
      <c r="S156" s="8">
        <v>550</v>
      </c>
      <c r="T156" s="7">
        <v>0</v>
      </c>
      <c r="U156" s="7">
        <v>154</v>
      </c>
      <c r="V156" s="8" t="s">
        <v>243</v>
      </c>
      <c r="W156" s="8" t="s">
        <v>244</v>
      </c>
      <c r="X156" s="4">
        <v>783</v>
      </c>
      <c r="Y156" s="3">
        <v>434</v>
      </c>
      <c r="Z156" s="3">
        <v>348</v>
      </c>
      <c r="AA156" s="3">
        <f t="shared" si="4"/>
        <v>203</v>
      </c>
      <c r="AB156" s="11">
        <f t="shared" si="5"/>
        <v>70.114942528735639</v>
      </c>
    </row>
    <row r="157" spans="1:28" ht="49.5" customHeight="1" x14ac:dyDescent="0.25">
      <c r="A157" s="7">
        <v>155</v>
      </c>
      <c r="B157" s="8">
        <v>491</v>
      </c>
      <c r="C157" s="7">
        <v>134</v>
      </c>
      <c r="D157" s="7">
        <v>73</v>
      </c>
      <c r="E157" s="7">
        <v>11</v>
      </c>
      <c r="F157" s="7">
        <v>1</v>
      </c>
      <c r="G157" s="7">
        <v>4</v>
      </c>
      <c r="H157" s="7">
        <v>0</v>
      </c>
      <c r="I157" s="7">
        <v>0</v>
      </c>
      <c r="J157" s="7">
        <v>0</v>
      </c>
      <c r="K157" s="7">
        <v>1</v>
      </c>
      <c r="L157" s="7">
        <v>1</v>
      </c>
      <c r="M157" s="7">
        <v>1</v>
      </c>
      <c r="N157" s="7">
        <v>0</v>
      </c>
      <c r="O157" s="7">
        <v>3</v>
      </c>
      <c r="P157" s="7">
        <v>720</v>
      </c>
      <c r="Q157" s="7">
        <v>0</v>
      </c>
      <c r="R157" s="7">
        <v>5</v>
      </c>
      <c r="S157" s="8">
        <v>725</v>
      </c>
      <c r="T157" s="7">
        <v>0</v>
      </c>
      <c r="U157" s="7">
        <v>155</v>
      </c>
      <c r="V157" s="8" t="s">
        <v>245</v>
      </c>
      <c r="W157" s="8" t="s">
        <v>246</v>
      </c>
      <c r="X157" s="4">
        <v>1145</v>
      </c>
      <c r="Y157" s="3">
        <v>619</v>
      </c>
      <c r="Z157" s="3">
        <v>524</v>
      </c>
      <c r="AA157" s="3">
        <f t="shared" si="4"/>
        <v>418</v>
      </c>
      <c r="AB157" s="11">
        <f t="shared" si="5"/>
        <v>62.882096069869</v>
      </c>
    </row>
    <row r="158" spans="1:28" ht="49.5" customHeight="1" x14ac:dyDescent="0.25">
      <c r="A158" s="7">
        <v>156</v>
      </c>
      <c r="B158" s="8">
        <v>577</v>
      </c>
      <c r="C158" s="7">
        <v>323</v>
      </c>
      <c r="D158" s="7">
        <v>12</v>
      </c>
      <c r="E158" s="7">
        <v>1</v>
      </c>
      <c r="F158" s="7">
        <v>1</v>
      </c>
      <c r="G158" s="7">
        <v>2</v>
      </c>
      <c r="H158" s="7">
        <v>0</v>
      </c>
      <c r="I158" s="7">
        <v>0</v>
      </c>
      <c r="J158" s="7">
        <v>0</v>
      </c>
      <c r="K158" s="7">
        <v>2</v>
      </c>
      <c r="L158" s="7">
        <v>1</v>
      </c>
      <c r="M158" s="7">
        <v>0</v>
      </c>
      <c r="N158" s="7">
        <v>2</v>
      </c>
      <c r="O158" s="7">
        <v>8</v>
      </c>
      <c r="P158" s="7">
        <v>929</v>
      </c>
      <c r="Q158" s="7">
        <v>0</v>
      </c>
      <c r="R158" s="7">
        <v>8</v>
      </c>
      <c r="S158" s="8">
        <v>937</v>
      </c>
      <c r="T158" s="7">
        <v>0</v>
      </c>
      <c r="U158" s="7">
        <v>156</v>
      </c>
      <c r="V158" s="8" t="s">
        <v>245</v>
      </c>
      <c r="W158" s="8" t="s">
        <v>247</v>
      </c>
      <c r="X158" s="4">
        <v>1238</v>
      </c>
      <c r="Y158" s="3">
        <v>661</v>
      </c>
      <c r="Z158" s="3">
        <v>568</v>
      </c>
      <c r="AA158" s="3">
        <f t="shared" si="4"/>
        <v>565</v>
      </c>
      <c r="AB158" s="11">
        <f t="shared" si="5"/>
        <v>75.040387722132479</v>
      </c>
    </row>
    <row r="159" spans="1:28" ht="49.5" customHeight="1" x14ac:dyDescent="0.25">
      <c r="A159" s="7">
        <v>157</v>
      </c>
      <c r="B159" s="8">
        <v>168</v>
      </c>
      <c r="C159" s="7">
        <v>410</v>
      </c>
      <c r="D159" s="7">
        <v>39</v>
      </c>
      <c r="E159" s="7">
        <v>8</v>
      </c>
      <c r="F159" s="7">
        <v>0</v>
      </c>
      <c r="G159" s="7">
        <v>1</v>
      </c>
      <c r="H159" s="7">
        <v>2</v>
      </c>
      <c r="I159" s="7">
        <v>0</v>
      </c>
      <c r="J159" s="7">
        <v>0</v>
      </c>
      <c r="K159" s="7">
        <v>0</v>
      </c>
      <c r="L159" s="7">
        <v>1</v>
      </c>
      <c r="M159" s="7">
        <v>0</v>
      </c>
      <c r="N159" s="7">
        <v>0</v>
      </c>
      <c r="O159" s="7">
        <v>5</v>
      </c>
      <c r="P159" s="7">
        <v>634</v>
      </c>
      <c r="Q159" s="7">
        <v>0</v>
      </c>
      <c r="R159" s="7">
        <v>4</v>
      </c>
      <c r="S159" s="8">
        <v>638</v>
      </c>
      <c r="T159" s="7">
        <v>0</v>
      </c>
      <c r="U159" s="7">
        <v>157</v>
      </c>
      <c r="V159" s="8" t="s">
        <v>245</v>
      </c>
      <c r="W159" s="8" t="s">
        <v>248</v>
      </c>
      <c r="X159" s="4">
        <v>942</v>
      </c>
      <c r="Y159" s="3">
        <v>509</v>
      </c>
      <c r="Z159" s="3">
        <v>430</v>
      </c>
      <c r="AA159" s="3">
        <f t="shared" si="4"/>
        <v>129</v>
      </c>
      <c r="AB159" s="11">
        <f t="shared" si="5"/>
        <v>67.303609341825904</v>
      </c>
    </row>
    <row r="160" spans="1:28" ht="49.5" customHeight="1" x14ac:dyDescent="0.25">
      <c r="A160" s="7">
        <v>158</v>
      </c>
      <c r="B160" s="8">
        <v>258</v>
      </c>
      <c r="C160" s="7">
        <v>207</v>
      </c>
      <c r="D160" s="7">
        <v>26</v>
      </c>
      <c r="E160" s="7">
        <v>1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1</v>
      </c>
      <c r="N160" s="7">
        <v>0</v>
      </c>
      <c r="O160" s="7">
        <v>1</v>
      </c>
      <c r="P160" s="7">
        <v>494</v>
      </c>
      <c r="Q160" s="7">
        <v>0</v>
      </c>
      <c r="R160" s="7">
        <v>1</v>
      </c>
      <c r="S160" s="8">
        <v>495</v>
      </c>
      <c r="T160" s="7">
        <v>0</v>
      </c>
      <c r="U160" s="7">
        <v>158</v>
      </c>
      <c r="V160" s="8" t="s">
        <v>245</v>
      </c>
      <c r="W160" s="8" t="s">
        <v>249</v>
      </c>
      <c r="X160" s="4">
        <v>618</v>
      </c>
      <c r="Y160" s="3">
        <v>344</v>
      </c>
      <c r="Z160" s="3">
        <v>274</v>
      </c>
      <c r="AA160" s="3">
        <f t="shared" si="4"/>
        <v>232</v>
      </c>
      <c r="AB160" s="11">
        <f t="shared" si="5"/>
        <v>79.935275080906152</v>
      </c>
    </row>
    <row r="161" spans="1:28" ht="49.5" customHeight="1" x14ac:dyDescent="0.25">
      <c r="A161" s="7">
        <v>159</v>
      </c>
      <c r="B161" s="8">
        <v>454</v>
      </c>
      <c r="C161" s="7">
        <v>122</v>
      </c>
      <c r="D161" s="7">
        <v>43</v>
      </c>
      <c r="E161" s="7">
        <v>3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1</v>
      </c>
      <c r="L161" s="7">
        <v>1</v>
      </c>
      <c r="M161" s="7">
        <v>1</v>
      </c>
      <c r="N161" s="7">
        <v>0</v>
      </c>
      <c r="O161" s="7">
        <v>3</v>
      </c>
      <c r="P161" s="7">
        <v>628</v>
      </c>
      <c r="Q161" s="7">
        <v>0</v>
      </c>
      <c r="R161" s="7">
        <v>7</v>
      </c>
      <c r="S161" s="8">
        <v>635</v>
      </c>
      <c r="T161" s="7">
        <v>0</v>
      </c>
      <c r="U161" s="7">
        <v>159</v>
      </c>
      <c r="V161" s="8" t="s">
        <v>245</v>
      </c>
      <c r="W161" s="8" t="s">
        <v>250</v>
      </c>
      <c r="X161" s="4">
        <v>997</v>
      </c>
      <c r="Y161" s="3">
        <v>527</v>
      </c>
      <c r="Z161" s="3">
        <v>470</v>
      </c>
      <c r="AA161" s="3">
        <f t="shared" si="4"/>
        <v>411</v>
      </c>
      <c r="AB161" s="11">
        <f t="shared" si="5"/>
        <v>62.988966900702103</v>
      </c>
    </row>
    <row r="162" spans="1:28" ht="49.5" customHeight="1" x14ac:dyDescent="0.25">
      <c r="A162" s="7">
        <v>160</v>
      </c>
      <c r="B162" s="8">
        <v>262</v>
      </c>
      <c r="C162" s="7">
        <v>184</v>
      </c>
      <c r="D162" s="7">
        <v>28</v>
      </c>
      <c r="E162" s="7">
        <v>3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1</v>
      </c>
      <c r="L162" s="7">
        <v>0</v>
      </c>
      <c r="M162" s="7">
        <v>0</v>
      </c>
      <c r="N162" s="7">
        <v>1</v>
      </c>
      <c r="O162" s="7">
        <v>8</v>
      </c>
      <c r="P162" s="7">
        <v>487</v>
      </c>
      <c r="Q162" s="7">
        <v>0</v>
      </c>
      <c r="R162" s="7">
        <v>2</v>
      </c>
      <c r="S162" s="8">
        <v>489</v>
      </c>
      <c r="T162" s="7">
        <v>0</v>
      </c>
      <c r="U162" s="7">
        <v>160</v>
      </c>
      <c r="V162" s="8" t="s">
        <v>245</v>
      </c>
      <c r="W162" s="8" t="s">
        <v>251</v>
      </c>
      <c r="X162" s="4">
        <v>625</v>
      </c>
      <c r="Y162" s="3">
        <v>329</v>
      </c>
      <c r="Z162" s="3">
        <v>296</v>
      </c>
      <c r="AA162" s="3">
        <f t="shared" si="4"/>
        <v>234</v>
      </c>
      <c r="AB162" s="11">
        <f t="shared" si="5"/>
        <v>77.92</v>
      </c>
    </row>
    <row r="163" spans="1:28" ht="49.5" customHeight="1" x14ac:dyDescent="0.25">
      <c r="A163" s="7">
        <v>161</v>
      </c>
      <c r="B163" s="8">
        <v>586</v>
      </c>
      <c r="C163" s="7">
        <v>104</v>
      </c>
      <c r="D163" s="7">
        <v>120</v>
      </c>
      <c r="E163" s="7">
        <v>0</v>
      </c>
      <c r="F163" s="7">
        <v>0</v>
      </c>
      <c r="G163" s="7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1</v>
      </c>
      <c r="O163" s="7">
        <v>2</v>
      </c>
      <c r="P163" s="7">
        <v>815</v>
      </c>
      <c r="Q163" s="7">
        <v>0</v>
      </c>
      <c r="R163" s="7">
        <v>1</v>
      </c>
      <c r="S163" s="8">
        <v>816</v>
      </c>
      <c r="T163" s="7">
        <v>0</v>
      </c>
      <c r="U163" s="7">
        <v>161</v>
      </c>
      <c r="V163" s="8" t="s">
        <v>252</v>
      </c>
      <c r="W163" s="8" t="s">
        <v>253</v>
      </c>
      <c r="X163" s="4">
        <v>1137</v>
      </c>
      <c r="Y163" s="3">
        <v>611</v>
      </c>
      <c r="Z163" s="3">
        <v>526</v>
      </c>
      <c r="AA163" s="3">
        <f t="shared" si="4"/>
        <v>466</v>
      </c>
      <c r="AB163" s="11">
        <f t="shared" si="5"/>
        <v>71.679859278803875</v>
      </c>
    </row>
    <row r="164" spans="1:28" ht="49.5" customHeight="1" x14ac:dyDescent="0.25">
      <c r="A164" s="7">
        <v>162</v>
      </c>
      <c r="B164" s="8">
        <v>184</v>
      </c>
      <c r="C164" s="7">
        <v>318</v>
      </c>
      <c r="D164" s="7">
        <v>78</v>
      </c>
      <c r="E164" s="7">
        <v>1</v>
      </c>
      <c r="F164" s="7">
        <v>1</v>
      </c>
      <c r="G164" s="7">
        <v>10</v>
      </c>
      <c r="H164" s="7">
        <v>0</v>
      </c>
      <c r="I164" s="7">
        <v>0</v>
      </c>
      <c r="J164" s="7">
        <v>1</v>
      </c>
      <c r="K164" s="7">
        <v>1</v>
      </c>
      <c r="L164" s="7">
        <v>0</v>
      </c>
      <c r="M164" s="7">
        <v>1</v>
      </c>
      <c r="N164" s="7">
        <v>1</v>
      </c>
      <c r="O164" s="7">
        <v>2</v>
      </c>
      <c r="P164" s="7">
        <v>598</v>
      </c>
      <c r="Q164" s="7">
        <v>0</v>
      </c>
      <c r="R164" s="7">
        <v>2</v>
      </c>
      <c r="S164" s="8">
        <v>600</v>
      </c>
      <c r="T164" s="7">
        <v>0</v>
      </c>
      <c r="U164" s="7">
        <v>162</v>
      </c>
      <c r="V164" s="8" t="s">
        <v>252</v>
      </c>
      <c r="W164" s="8" t="s">
        <v>254</v>
      </c>
      <c r="X164" s="4">
        <v>1009</v>
      </c>
      <c r="Y164" s="3">
        <v>545</v>
      </c>
      <c r="Z164" s="3">
        <v>464</v>
      </c>
      <c r="AA164" s="3">
        <f t="shared" si="4"/>
        <v>106</v>
      </c>
      <c r="AB164" s="11">
        <f t="shared" si="5"/>
        <v>59.266600594648168</v>
      </c>
    </row>
    <row r="165" spans="1:28" ht="49.5" customHeight="1" x14ac:dyDescent="0.25">
      <c r="A165" s="7">
        <v>163</v>
      </c>
      <c r="B165" s="8">
        <v>306</v>
      </c>
      <c r="C165" s="7">
        <v>250</v>
      </c>
      <c r="D165" s="7">
        <v>114</v>
      </c>
      <c r="E165" s="7">
        <v>1</v>
      </c>
      <c r="F165" s="7">
        <v>0</v>
      </c>
      <c r="G165" s="7">
        <v>48</v>
      </c>
      <c r="H165" s="7">
        <v>0</v>
      </c>
      <c r="I165" s="7">
        <v>0</v>
      </c>
      <c r="J165" s="7">
        <v>0</v>
      </c>
      <c r="K165" s="7">
        <v>0</v>
      </c>
      <c r="L165" s="7">
        <v>1</v>
      </c>
      <c r="M165" s="7">
        <v>0</v>
      </c>
      <c r="N165" s="7">
        <v>1</v>
      </c>
      <c r="O165" s="7">
        <v>4</v>
      </c>
      <c r="P165" s="7">
        <v>725</v>
      </c>
      <c r="Q165" s="7">
        <v>0</v>
      </c>
      <c r="R165" s="7">
        <v>4</v>
      </c>
      <c r="S165" s="8">
        <v>729</v>
      </c>
      <c r="T165" s="7">
        <v>0</v>
      </c>
      <c r="U165" s="7">
        <v>163</v>
      </c>
      <c r="V165" s="8" t="s">
        <v>252</v>
      </c>
      <c r="W165" s="8" t="s">
        <v>255</v>
      </c>
      <c r="X165" s="4">
        <v>1073</v>
      </c>
      <c r="Y165" s="3">
        <v>595</v>
      </c>
      <c r="Z165" s="3">
        <v>478</v>
      </c>
      <c r="AA165" s="3">
        <f t="shared" si="4"/>
        <v>192</v>
      </c>
      <c r="AB165" s="11">
        <f t="shared" si="5"/>
        <v>67.567567567567565</v>
      </c>
    </row>
    <row r="166" spans="1:28" ht="49.5" customHeight="1" x14ac:dyDescent="0.25">
      <c r="A166" s="7">
        <v>164</v>
      </c>
      <c r="B166" s="8">
        <v>199</v>
      </c>
      <c r="C166" s="7">
        <v>258</v>
      </c>
      <c r="D166" s="7">
        <v>145</v>
      </c>
      <c r="E166" s="7">
        <v>0</v>
      </c>
      <c r="F166" s="7">
        <v>0</v>
      </c>
      <c r="G166" s="7">
        <v>43</v>
      </c>
      <c r="H166" s="7">
        <v>1</v>
      </c>
      <c r="I166" s="7">
        <v>1</v>
      </c>
      <c r="J166" s="7">
        <v>0</v>
      </c>
      <c r="K166" s="7">
        <v>0</v>
      </c>
      <c r="L166" s="7">
        <v>1</v>
      </c>
      <c r="M166" s="7">
        <v>1</v>
      </c>
      <c r="N166" s="7">
        <v>0</v>
      </c>
      <c r="O166" s="7">
        <v>1</v>
      </c>
      <c r="P166" s="7">
        <v>650</v>
      </c>
      <c r="Q166" s="7">
        <v>0</v>
      </c>
      <c r="R166" s="7">
        <v>2</v>
      </c>
      <c r="S166" s="8">
        <v>652</v>
      </c>
      <c r="T166" s="7">
        <v>0</v>
      </c>
      <c r="U166" s="7">
        <v>164</v>
      </c>
      <c r="V166" s="8" t="s">
        <v>252</v>
      </c>
      <c r="W166" s="8" t="s">
        <v>256</v>
      </c>
      <c r="X166" s="4">
        <v>971</v>
      </c>
      <c r="Y166" s="3">
        <v>527</v>
      </c>
      <c r="Z166" s="3">
        <v>444</v>
      </c>
      <c r="AA166" s="3">
        <f t="shared" si="4"/>
        <v>54</v>
      </c>
      <c r="AB166" s="11">
        <f t="shared" si="5"/>
        <v>66.941297631307933</v>
      </c>
    </row>
    <row r="167" spans="1:28" ht="49.5" customHeight="1" x14ac:dyDescent="0.25">
      <c r="A167" s="7">
        <v>165</v>
      </c>
      <c r="B167" s="8">
        <v>283</v>
      </c>
      <c r="C167" s="7">
        <v>108</v>
      </c>
      <c r="D167" s="7">
        <v>57</v>
      </c>
      <c r="E167" s="7">
        <v>1</v>
      </c>
      <c r="F167" s="7">
        <v>1</v>
      </c>
      <c r="G167" s="7">
        <v>0</v>
      </c>
      <c r="H167" s="7">
        <v>0</v>
      </c>
      <c r="I167" s="7">
        <v>0</v>
      </c>
      <c r="J167" s="7">
        <v>0</v>
      </c>
      <c r="K167" s="7">
        <v>1</v>
      </c>
      <c r="L167" s="7">
        <v>1</v>
      </c>
      <c r="M167" s="7">
        <v>1</v>
      </c>
      <c r="N167" s="7">
        <v>0</v>
      </c>
      <c r="O167" s="7">
        <v>1</v>
      </c>
      <c r="P167" s="7">
        <v>454</v>
      </c>
      <c r="Q167" s="7">
        <v>0</v>
      </c>
      <c r="R167" s="7">
        <v>4</v>
      </c>
      <c r="S167" s="8">
        <v>458</v>
      </c>
      <c r="T167" s="7">
        <v>0</v>
      </c>
      <c r="U167" s="7">
        <v>165</v>
      </c>
      <c r="V167" s="8" t="s">
        <v>252</v>
      </c>
      <c r="W167" s="8" t="s">
        <v>257</v>
      </c>
      <c r="X167" s="4">
        <v>748</v>
      </c>
      <c r="Y167" s="3">
        <v>417</v>
      </c>
      <c r="Z167" s="3">
        <v>330</v>
      </c>
      <c r="AA167" s="3">
        <f t="shared" si="4"/>
        <v>226</v>
      </c>
      <c r="AB167" s="11">
        <f t="shared" si="5"/>
        <v>60.695187165775401</v>
      </c>
    </row>
    <row r="168" spans="1:28" ht="49.5" customHeight="1" x14ac:dyDescent="0.25">
      <c r="A168" s="9">
        <v>166</v>
      </c>
      <c r="B168" s="10">
        <v>182</v>
      </c>
      <c r="C168" s="9">
        <v>21</v>
      </c>
      <c r="D168" s="9">
        <v>291</v>
      </c>
      <c r="E168" s="9">
        <v>3</v>
      </c>
      <c r="F168" s="9">
        <v>0</v>
      </c>
      <c r="G168" s="9">
        <v>3</v>
      </c>
      <c r="H168" s="9">
        <v>2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2</v>
      </c>
      <c r="O168" s="9">
        <v>2</v>
      </c>
      <c r="P168" s="9">
        <v>506</v>
      </c>
      <c r="Q168" s="9">
        <v>0</v>
      </c>
      <c r="R168" s="9">
        <v>1</v>
      </c>
      <c r="S168" s="10">
        <v>507</v>
      </c>
      <c r="T168" s="9">
        <v>0</v>
      </c>
      <c r="U168" s="9">
        <v>166</v>
      </c>
      <c r="V168" s="10" t="s">
        <v>252</v>
      </c>
      <c r="W168" s="10" t="s">
        <v>258</v>
      </c>
      <c r="X168" s="4">
        <v>745</v>
      </c>
      <c r="Y168" s="3">
        <v>405</v>
      </c>
      <c r="Z168" s="3">
        <v>338</v>
      </c>
      <c r="AA168" s="3">
        <f t="shared" si="4"/>
        <v>109</v>
      </c>
      <c r="AB168" s="11">
        <f t="shared" si="5"/>
        <v>67.919463087248317</v>
      </c>
    </row>
    <row r="169" spans="1:28" ht="49.5" customHeight="1" x14ac:dyDescent="0.25">
      <c r="A169" s="7">
        <v>167</v>
      </c>
      <c r="B169" s="8">
        <v>347</v>
      </c>
      <c r="C169" s="7">
        <v>111</v>
      </c>
      <c r="D169" s="7">
        <v>214</v>
      </c>
      <c r="E169" s="7">
        <v>6</v>
      </c>
      <c r="F169" s="7">
        <v>0</v>
      </c>
      <c r="G169" s="7">
        <v>39</v>
      </c>
      <c r="H169" s="7">
        <v>2</v>
      </c>
      <c r="I169" s="7">
        <v>0</v>
      </c>
      <c r="J169" s="7">
        <v>1</v>
      </c>
      <c r="K169" s="7">
        <v>0</v>
      </c>
      <c r="L169" s="7">
        <v>3</v>
      </c>
      <c r="M169" s="7">
        <v>1</v>
      </c>
      <c r="N169" s="7">
        <v>3</v>
      </c>
      <c r="O169" s="7">
        <v>1</v>
      </c>
      <c r="P169" s="7">
        <v>728</v>
      </c>
      <c r="Q169" s="7">
        <v>0</v>
      </c>
      <c r="R169" s="7">
        <v>2</v>
      </c>
      <c r="S169" s="8">
        <v>730</v>
      </c>
      <c r="T169" s="7">
        <v>0</v>
      </c>
      <c r="U169" s="7">
        <v>167</v>
      </c>
      <c r="V169" s="8" t="s">
        <v>252</v>
      </c>
      <c r="W169" s="8" t="s">
        <v>259</v>
      </c>
      <c r="X169" s="4">
        <v>1168</v>
      </c>
      <c r="Y169" s="3">
        <v>655</v>
      </c>
      <c r="Z169" s="3">
        <v>509</v>
      </c>
      <c r="AA169" s="3">
        <f t="shared" si="4"/>
        <v>133</v>
      </c>
      <c r="AB169" s="11">
        <f t="shared" si="5"/>
        <v>62.328767123287676</v>
      </c>
    </row>
    <row r="170" spans="1:28" ht="49.5" customHeight="1" x14ac:dyDescent="0.25">
      <c r="A170" s="7">
        <v>168</v>
      </c>
      <c r="B170" s="8">
        <v>178</v>
      </c>
      <c r="C170" s="7">
        <v>338</v>
      </c>
      <c r="D170" s="7">
        <v>115</v>
      </c>
      <c r="E170" s="7">
        <v>2</v>
      </c>
      <c r="F170" s="7">
        <v>0</v>
      </c>
      <c r="G170" s="7">
        <v>4</v>
      </c>
      <c r="H170" s="7">
        <v>0</v>
      </c>
      <c r="I170" s="7">
        <v>0</v>
      </c>
      <c r="J170" s="7">
        <v>1</v>
      </c>
      <c r="K170" s="7">
        <v>0</v>
      </c>
      <c r="L170" s="7">
        <v>2</v>
      </c>
      <c r="M170" s="7">
        <v>0</v>
      </c>
      <c r="N170" s="7">
        <v>1</v>
      </c>
      <c r="O170" s="7">
        <v>1</v>
      </c>
      <c r="P170" s="7">
        <v>642</v>
      </c>
      <c r="Q170" s="7">
        <v>0</v>
      </c>
      <c r="R170" s="7">
        <v>1</v>
      </c>
      <c r="S170" s="8">
        <v>643</v>
      </c>
      <c r="T170" s="7">
        <v>0</v>
      </c>
      <c r="U170" s="7">
        <v>168</v>
      </c>
      <c r="V170" s="8" t="s">
        <v>252</v>
      </c>
      <c r="W170" s="8" t="s">
        <v>260</v>
      </c>
      <c r="X170" s="4">
        <v>1060</v>
      </c>
      <c r="Y170" s="3">
        <v>604</v>
      </c>
      <c r="Z170" s="3">
        <v>455</v>
      </c>
      <c r="AA170" s="3">
        <f t="shared" si="4"/>
        <v>63</v>
      </c>
      <c r="AB170" s="11">
        <f t="shared" si="5"/>
        <v>60.566037735849051</v>
      </c>
    </row>
    <row r="171" spans="1:28" ht="49.5" customHeight="1" x14ac:dyDescent="0.25">
      <c r="A171" s="9">
        <v>169</v>
      </c>
      <c r="B171" s="10">
        <v>132</v>
      </c>
      <c r="C171" s="9">
        <v>235</v>
      </c>
      <c r="D171" s="9">
        <v>278</v>
      </c>
      <c r="E171" s="9">
        <v>7</v>
      </c>
      <c r="F171" s="9">
        <v>0</v>
      </c>
      <c r="G171" s="9">
        <v>2</v>
      </c>
      <c r="H171" s="9">
        <v>7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2</v>
      </c>
      <c r="O171" s="9">
        <v>1</v>
      </c>
      <c r="P171" s="9">
        <v>664</v>
      </c>
      <c r="Q171" s="9">
        <v>0</v>
      </c>
      <c r="R171" s="9" t="e">
        <f>#REF!-P171</f>
        <v>#REF!</v>
      </c>
      <c r="S171" s="10">
        <v>664</v>
      </c>
      <c r="T171" s="9">
        <v>0</v>
      </c>
      <c r="U171" s="9">
        <v>169</v>
      </c>
      <c r="V171" s="10" t="s">
        <v>261</v>
      </c>
      <c r="W171" s="10" t="s">
        <v>262</v>
      </c>
      <c r="X171" s="4">
        <v>1035</v>
      </c>
      <c r="Y171" s="3">
        <v>560</v>
      </c>
      <c r="Z171" s="3">
        <v>474</v>
      </c>
      <c r="AA171" s="3">
        <f t="shared" si="4"/>
        <v>146</v>
      </c>
      <c r="AB171" s="11">
        <f t="shared" si="5"/>
        <v>64.154589371980677</v>
      </c>
    </row>
    <row r="172" spans="1:28" ht="49.5" customHeight="1" x14ac:dyDescent="0.25">
      <c r="A172" s="7">
        <v>170</v>
      </c>
      <c r="B172" s="8">
        <v>490</v>
      </c>
      <c r="C172" s="7">
        <v>202</v>
      </c>
      <c r="D172" s="7">
        <v>50</v>
      </c>
      <c r="E172" s="7">
        <v>4</v>
      </c>
      <c r="F172" s="7">
        <v>0</v>
      </c>
      <c r="G172" s="7">
        <v>0</v>
      </c>
      <c r="H172" s="7">
        <v>1</v>
      </c>
      <c r="I172" s="7">
        <v>0</v>
      </c>
      <c r="J172" s="7">
        <v>0</v>
      </c>
      <c r="K172" s="7">
        <v>0</v>
      </c>
      <c r="L172" s="7">
        <v>0</v>
      </c>
      <c r="M172" s="7">
        <v>1</v>
      </c>
      <c r="N172" s="7">
        <v>0</v>
      </c>
      <c r="O172" s="7">
        <v>0</v>
      </c>
      <c r="P172" s="7">
        <v>748</v>
      </c>
      <c r="Q172" s="7">
        <v>0</v>
      </c>
      <c r="R172" s="7">
        <v>2</v>
      </c>
      <c r="S172" s="8">
        <v>750</v>
      </c>
      <c r="T172" s="7">
        <v>0</v>
      </c>
      <c r="U172" s="7">
        <v>170</v>
      </c>
      <c r="V172" s="8" t="s">
        <v>263</v>
      </c>
      <c r="W172" s="8" t="s">
        <v>264</v>
      </c>
      <c r="X172" s="4">
        <v>962</v>
      </c>
      <c r="Y172" s="3">
        <v>517</v>
      </c>
      <c r="Z172" s="3">
        <v>441</v>
      </c>
      <c r="AA172" s="3">
        <f t="shared" si="4"/>
        <v>440</v>
      </c>
      <c r="AB172" s="11">
        <f t="shared" si="5"/>
        <v>77.754677754677758</v>
      </c>
    </row>
    <row r="173" spans="1:28" ht="49.5" customHeight="1" x14ac:dyDescent="0.25">
      <c r="A173" s="7">
        <v>171</v>
      </c>
      <c r="B173" s="8">
        <v>567</v>
      </c>
      <c r="C173" s="7">
        <v>183</v>
      </c>
      <c r="D173" s="7">
        <v>86</v>
      </c>
      <c r="E173" s="7">
        <v>11</v>
      </c>
      <c r="F173" s="7">
        <v>2</v>
      </c>
      <c r="G173" s="7">
        <v>3</v>
      </c>
      <c r="H173" s="7">
        <v>1</v>
      </c>
      <c r="I173" s="7">
        <v>0</v>
      </c>
      <c r="J173" s="7">
        <v>0</v>
      </c>
      <c r="K173" s="7">
        <v>0</v>
      </c>
      <c r="L173" s="7">
        <v>2</v>
      </c>
      <c r="M173" s="7">
        <v>0</v>
      </c>
      <c r="N173" s="7">
        <v>1</v>
      </c>
      <c r="O173" s="7">
        <v>2</v>
      </c>
      <c r="P173" s="7">
        <v>858</v>
      </c>
      <c r="Q173" s="7">
        <v>0</v>
      </c>
      <c r="R173" s="7">
        <v>1</v>
      </c>
      <c r="S173" s="8">
        <v>859</v>
      </c>
      <c r="T173" s="7">
        <v>0</v>
      </c>
      <c r="U173" s="7">
        <v>171</v>
      </c>
      <c r="V173" s="8" t="s">
        <v>263</v>
      </c>
      <c r="W173" s="8" t="s">
        <v>265</v>
      </c>
      <c r="X173" s="4">
        <v>1149</v>
      </c>
      <c r="Y173" s="3">
        <v>615</v>
      </c>
      <c r="Z173" s="3">
        <v>529</v>
      </c>
      <c r="AA173" s="3">
        <f t="shared" si="4"/>
        <v>481</v>
      </c>
      <c r="AB173" s="11">
        <f t="shared" si="5"/>
        <v>74.673629242819842</v>
      </c>
    </row>
    <row r="174" spans="1:28" ht="49.5" customHeight="1" x14ac:dyDescent="0.25">
      <c r="A174" s="7">
        <v>172</v>
      </c>
      <c r="B174" s="8">
        <v>328</v>
      </c>
      <c r="C174" s="7">
        <v>142</v>
      </c>
      <c r="D174" s="7">
        <v>59</v>
      </c>
      <c r="E174" s="7">
        <v>2</v>
      </c>
      <c r="F174" s="7">
        <v>0</v>
      </c>
      <c r="G174" s="7">
        <v>1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1</v>
      </c>
      <c r="P174" s="7">
        <v>533</v>
      </c>
      <c r="Q174" s="7">
        <v>0</v>
      </c>
      <c r="R174" s="7">
        <v>1</v>
      </c>
      <c r="S174" s="8">
        <v>534</v>
      </c>
      <c r="T174" s="7">
        <v>0</v>
      </c>
      <c r="U174" s="7">
        <v>172</v>
      </c>
      <c r="V174" s="8" t="s">
        <v>266</v>
      </c>
      <c r="W174" s="8" t="s">
        <v>267</v>
      </c>
      <c r="X174" s="4">
        <v>817</v>
      </c>
      <c r="Y174" s="3">
        <v>463</v>
      </c>
      <c r="Z174" s="3">
        <v>354</v>
      </c>
      <c r="AA174" s="3">
        <f t="shared" si="4"/>
        <v>269</v>
      </c>
      <c r="AB174" s="11">
        <f t="shared" si="5"/>
        <v>65.238678090575277</v>
      </c>
    </row>
    <row r="175" spans="1:28" ht="49.5" customHeight="1" x14ac:dyDescent="0.25">
      <c r="A175" s="7">
        <v>173</v>
      </c>
      <c r="B175" s="8">
        <v>453</v>
      </c>
      <c r="C175" s="7">
        <v>146</v>
      </c>
      <c r="D175" s="7">
        <v>143</v>
      </c>
      <c r="E175" s="7">
        <v>0</v>
      </c>
      <c r="F175" s="7">
        <v>0</v>
      </c>
      <c r="G175" s="7">
        <v>4</v>
      </c>
      <c r="H175" s="7">
        <v>0</v>
      </c>
      <c r="I175" s="7">
        <v>0</v>
      </c>
      <c r="J175" s="7">
        <v>0</v>
      </c>
      <c r="K175" s="7">
        <v>0</v>
      </c>
      <c r="L175" s="7">
        <v>1</v>
      </c>
      <c r="M175" s="7">
        <v>0</v>
      </c>
      <c r="N175" s="7">
        <v>1</v>
      </c>
      <c r="O175" s="7">
        <v>1</v>
      </c>
      <c r="P175" s="7">
        <v>749</v>
      </c>
      <c r="Q175" s="7">
        <v>0</v>
      </c>
      <c r="R175" s="7">
        <v>1</v>
      </c>
      <c r="S175" s="8">
        <v>750</v>
      </c>
      <c r="T175" s="7">
        <v>0</v>
      </c>
      <c r="U175" s="7">
        <v>173</v>
      </c>
      <c r="V175" s="8" t="s">
        <v>268</v>
      </c>
      <c r="W175" s="8" t="s">
        <v>269</v>
      </c>
      <c r="X175" s="4">
        <v>968</v>
      </c>
      <c r="Y175" s="3">
        <v>524</v>
      </c>
      <c r="Z175" s="3">
        <v>444</v>
      </c>
      <c r="AA175" s="3">
        <f t="shared" si="4"/>
        <v>310</v>
      </c>
      <c r="AB175" s="11">
        <f t="shared" si="5"/>
        <v>77.376033057851231</v>
      </c>
    </row>
    <row r="176" spans="1:28" ht="49.5" customHeight="1" x14ac:dyDescent="0.25">
      <c r="A176" s="7">
        <v>174</v>
      </c>
      <c r="B176" s="8">
        <v>288</v>
      </c>
      <c r="C176" s="7">
        <v>38</v>
      </c>
      <c r="D176" s="7">
        <v>112</v>
      </c>
      <c r="E176" s="7">
        <v>2</v>
      </c>
      <c r="F176" s="7">
        <v>0</v>
      </c>
      <c r="G176" s="7">
        <v>6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1</v>
      </c>
      <c r="O176" s="7">
        <v>0</v>
      </c>
      <c r="P176" s="7">
        <v>447</v>
      </c>
      <c r="Q176" s="7">
        <v>0</v>
      </c>
      <c r="R176" s="7" t="e">
        <f>#REF!-P176</f>
        <v>#REF!</v>
      </c>
      <c r="S176" s="8">
        <v>447</v>
      </c>
      <c r="T176" s="7">
        <v>0</v>
      </c>
      <c r="U176" s="7">
        <v>174</v>
      </c>
      <c r="V176" s="8" t="s">
        <v>270</v>
      </c>
      <c r="W176" s="8" t="s">
        <v>271</v>
      </c>
      <c r="X176" s="4">
        <v>716</v>
      </c>
      <c r="Y176" s="3">
        <v>370</v>
      </c>
      <c r="Z176" s="3">
        <v>340</v>
      </c>
      <c r="AA176" s="3">
        <f t="shared" si="4"/>
        <v>176</v>
      </c>
      <c r="AB176" s="11">
        <f t="shared" si="5"/>
        <v>62.430167597765362</v>
      </c>
    </row>
    <row r="177" spans="1:28" ht="49.5" customHeight="1" x14ac:dyDescent="0.25">
      <c r="A177" s="7">
        <v>175</v>
      </c>
      <c r="B177" s="8">
        <v>326</v>
      </c>
      <c r="C177" s="7">
        <v>3</v>
      </c>
      <c r="D177" s="7">
        <v>209</v>
      </c>
      <c r="E177" s="7">
        <v>3</v>
      </c>
      <c r="F177" s="7">
        <v>0</v>
      </c>
      <c r="G177" s="7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1</v>
      </c>
      <c r="O177" s="7">
        <v>0</v>
      </c>
      <c r="P177" s="7">
        <v>543</v>
      </c>
      <c r="Q177" s="7">
        <v>0</v>
      </c>
      <c r="R177" s="7">
        <v>3</v>
      </c>
      <c r="S177" s="8">
        <v>546</v>
      </c>
      <c r="T177" s="7">
        <v>0</v>
      </c>
      <c r="U177" s="7">
        <v>175</v>
      </c>
      <c r="V177" s="8" t="s">
        <v>272</v>
      </c>
      <c r="W177" s="8" t="s">
        <v>273</v>
      </c>
      <c r="X177" s="4">
        <v>700</v>
      </c>
      <c r="AA177" s="3">
        <f t="shared" si="4"/>
        <v>117</v>
      </c>
      <c r="AB177" s="11">
        <f t="shared" si="5"/>
        <v>77.571428571428569</v>
      </c>
    </row>
    <row r="178" spans="1:28" ht="49.5" customHeight="1" x14ac:dyDescent="0.25">
      <c r="A178" s="7">
        <v>176</v>
      </c>
      <c r="B178" s="8">
        <v>380</v>
      </c>
      <c r="C178" s="7">
        <v>126</v>
      </c>
      <c r="D178" s="7">
        <v>182</v>
      </c>
      <c r="E178" s="7">
        <v>4</v>
      </c>
      <c r="F178" s="7">
        <v>1</v>
      </c>
      <c r="G178" s="7">
        <v>0</v>
      </c>
      <c r="H178" s="7">
        <v>1</v>
      </c>
      <c r="I178" s="7">
        <v>0</v>
      </c>
      <c r="J178" s="7">
        <v>0</v>
      </c>
      <c r="K178" s="7">
        <v>0</v>
      </c>
      <c r="L178" s="7">
        <v>2</v>
      </c>
      <c r="M178" s="7">
        <v>0</v>
      </c>
      <c r="N178" s="7">
        <v>2</v>
      </c>
      <c r="O178" s="7">
        <v>3</v>
      </c>
      <c r="P178" s="7">
        <v>701</v>
      </c>
      <c r="Q178" s="7">
        <v>0</v>
      </c>
      <c r="R178" s="7">
        <v>2</v>
      </c>
      <c r="S178" s="8">
        <v>703</v>
      </c>
      <c r="T178" s="7">
        <v>0</v>
      </c>
      <c r="U178" s="7">
        <v>176</v>
      </c>
      <c r="V178" s="8" t="s">
        <v>270</v>
      </c>
      <c r="W178" s="8" t="s">
        <v>274</v>
      </c>
      <c r="X178" s="4">
        <v>1191</v>
      </c>
      <c r="Y178" s="3">
        <v>630</v>
      </c>
      <c r="Z178" s="3">
        <v>554</v>
      </c>
      <c r="AA178" s="3">
        <f t="shared" si="4"/>
        <v>198</v>
      </c>
      <c r="AB178" s="11">
        <f t="shared" si="5"/>
        <v>58.858102434928625</v>
      </c>
    </row>
    <row r="179" spans="1:28" ht="49.5" customHeight="1" x14ac:dyDescent="0.25">
      <c r="A179" s="7">
        <v>177</v>
      </c>
      <c r="B179" s="8">
        <v>629</v>
      </c>
      <c r="C179" s="7">
        <v>33</v>
      </c>
      <c r="D179" s="7">
        <v>119</v>
      </c>
      <c r="E179" s="7">
        <v>11</v>
      </c>
      <c r="F179" s="7">
        <v>0</v>
      </c>
      <c r="G179" s="7">
        <v>0</v>
      </c>
      <c r="H179" s="7">
        <v>3</v>
      </c>
      <c r="I179" s="7">
        <v>0</v>
      </c>
      <c r="J179" s="7">
        <v>0</v>
      </c>
      <c r="K179" s="7">
        <v>2</v>
      </c>
      <c r="L179" s="7">
        <v>3</v>
      </c>
      <c r="M179" s="7">
        <v>5</v>
      </c>
      <c r="N179" s="7">
        <v>2</v>
      </c>
      <c r="O179" s="7">
        <v>3</v>
      </c>
      <c r="P179" s="7">
        <v>810</v>
      </c>
      <c r="Q179" s="7">
        <v>0</v>
      </c>
      <c r="R179" s="7">
        <v>11</v>
      </c>
      <c r="S179" s="8">
        <v>821</v>
      </c>
      <c r="T179" s="7">
        <v>0</v>
      </c>
      <c r="U179" s="7">
        <v>177</v>
      </c>
      <c r="V179" s="8" t="s">
        <v>270</v>
      </c>
      <c r="W179" s="8" t="s">
        <v>275</v>
      </c>
      <c r="X179" s="4">
        <v>1165</v>
      </c>
      <c r="Y179" s="3">
        <v>607</v>
      </c>
      <c r="Z179" s="3">
        <v>558</v>
      </c>
      <c r="AA179" s="3">
        <f t="shared" si="4"/>
        <v>510</v>
      </c>
      <c r="AB179" s="11">
        <f t="shared" si="5"/>
        <v>69.527896995708147</v>
      </c>
    </row>
    <row r="180" spans="1:28" ht="49.5" customHeight="1" x14ac:dyDescent="0.25">
      <c r="A180" s="7">
        <v>178</v>
      </c>
      <c r="B180" s="8">
        <v>31</v>
      </c>
      <c r="C180" s="7">
        <v>256</v>
      </c>
      <c r="D180" s="7">
        <v>29</v>
      </c>
      <c r="E180" s="7">
        <v>0</v>
      </c>
      <c r="F180" s="7">
        <v>0</v>
      </c>
      <c r="G180" s="7">
        <v>3</v>
      </c>
      <c r="H180" s="7">
        <v>0</v>
      </c>
      <c r="I180" s="7">
        <v>1</v>
      </c>
      <c r="J180" s="7">
        <v>1</v>
      </c>
      <c r="K180" s="7">
        <v>1</v>
      </c>
      <c r="L180" s="7">
        <v>0</v>
      </c>
      <c r="M180" s="7">
        <v>0</v>
      </c>
      <c r="N180" s="7">
        <v>0</v>
      </c>
      <c r="O180" s="7">
        <v>6</v>
      </c>
      <c r="P180" s="7">
        <v>328</v>
      </c>
      <c r="Q180" s="7">
        <v>0</v>
      </c>
      <c r="R180" s="7">
        <v>1</v>
      </c>
      <c r="S180" s="8">
        <v>329</v>
      </c>
      <c r="T180" s="7">
        <v>0</v>
      </c>
      <c r="U180" s="7">
        <v>178</v>
      </c>
      <c r="V180" s="8" t="s">
        <v>272</v>
      </c>
      <c r="W180" s="8" t="s">
        <v>276</v>
      </c>
      <c r="X180" s="4">
        <v>545</v>
      </c>
      <c r="Y180" s="3">
        <v>294</v>
      </c>
      <c r="Z180" s="3">
        <v>247</v>
      </c>
      <c r="AA180" s="3">
        <f t="shared" si="4"/>
        <v>2</v>
      </c>
      <c r="AB180" s="11">
        <f t="shared" si="5"/>
        <v>60.183486238532112</v>
      </c>
    </row>
    <row r="181" spans="1:28" ht="49.5" customHeight="1" x14ac:dyDescent="0.25">
      <c r="A181" s="7">
        <v>179</v>
      </c>
      <c r="B181" s="8">
        <v>154</v>
      </c>
      <c r="C181" s="7">
        <v>411</v>
      </c>
      <c r="D181" s="7">
        <v>21</v>
      </c>
      <c r="E181" s="7">
        <v>1</v>
      </c>
      <c r="F181" s="7">
        <v>1</v>
      </c>
      <c r="G181" s="7">
        <v>0</v>
      </c>
      <c r="H181" s="7">
        <v>0</v>
      </c>
      <c r="I181" s="7">
        <v>0</v>
      </c>
      <c r="J181" s="7">
        <v>1</v>
      </c>
      <c r="K181" s="7">
        <v>0</v>
      </c>
      <c r="L181" s="7">
        <v>0</v>
      </c>
      <c r="M181" s="7">
        <v>0</v>
      </c>
      <c r="N181" s="7">
        <v>0</v>
      </c>
      <c r="O181" s="7">
        <v>4</v>
      </c>
      <c r="P181" s="7">
        <v>593</v>
      </c>
      <c r="Q181" s="7">
        <v>0</v>
      </c>
      <c r="R181" s="7">
        <v>1</v>
      </c>
      <c r="S181" s="8">
        <v>594</v>
      </c>
      <c r="T181" s="7">
        <v>0</v>
      </c>
      <c r="U181" s="7">
        <v>179</v>
      </c>
      <c r="V181" s="8" t="s">
        <v>277</v>
      </c>
      <c r="W181" s="8" t="s">
        <v>278</v>
      </c>
      <c r="X181" s="4">
        <v>964</v>
      </c>
      <c r="Y181" s="3">
        <v>542</v>
      </c>
      <c r="Z181" s="3">
        <v>421</v>
      </c>
      <c r="AA181" s="3">
        <f t="shared" si="4"/>
        <v>133</v>
      </c>
      <c r="AB181" s="11">
        <f t="shared" si="5"/>
        <v>61.514522821576769</v>
      </c>
    </row>
    <row r="182" spans="1:28" ht="49.5" customHeight="1" x14ac:dyDescent="0.25">
      <c r="A182" s="7">
        <v>180</v>
      </c>
      <c r="B182" s="8">
        <v>238</v>
      </c>
      <c r="C182" s="7">
        <v>121</v>
      </c>
      <c r="D182" s="7">
        <v>107</v>
      </c>
      <c r="E182" s="7">
        <v>3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469</v>
      </c>
      <c r="Q182" s="7">
        <v>0</v>
      </c>
      <c r="R182" s="7" t="e">
        <f>#REF!-P182</f>
        <v>#REF!</v>
      </c>
      <c r="S182" s="8">
        <v>469</v>
      </c>
      <c r="T182" s="7">
        <v>0</v>
      </c>
      <c r="U182" s="7">
        <v>180</v>
      </c>
      <c r="V182" s="8" t="s">
        <v>279</v>
      </c>
      <c r="W182" s="8" t="s">
        <v>280</v>
      </c>
      <c r="X182" s="4">
        <v>712</v>
      </c>
      <c r="Y182" s="3">
        <v>384</v>
      </c>
      <c r="Z182" s="3">
        <v>324</v>
      </c>
      <c r="AA182" s="3">
        <f t="shared" si="4"/>
        <v>131</v>
      </c>
      <c r="AB182" s="11">
        <f t="shared" si="5"/>
        <v>65.870786516853926</v>
      </c>
    </row>
    <row r="183" spans="1:28" ht="49.5" customHeight="1" x14ac:dyDescent="0.25">
      <c r="A183" s="7">
        <v>181</v>
      </c>
      <c r="B183" s="8">
        <v>471</v>
      </c>
      <c r="C183" s="7">
        <v>142</v>
      </c>
      <c r="D183" s="7">
        <v>168</v>
      </c>
      <c r="E183" s="7">
        <v>17</v>
      </c>
      <c r="F183" s="7">
        <v>0</v>
      </c>
      <c r="G183" s="7">
        <v>0</v>
      </c>
      <c r="H183" s="7">
        <v>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2</v>
      </c>
      <c r="O183" s="7">
        <v>1</v>
      </c>
      <c r="P183" s="7">
        <v>802</v>
      </c>
      <c r="Q183" s="7">
        <v>0</v>
      </c>
      <c r="R183" s="7">
        <v>8</v>
      </c>
      <c r="S183" s="8">
        <v>810</v>
      </c>
      <c r="T183" s="7">
        <v>0</v>
      </c>
      <c r="U183" s="7">
        <v>181</v>
      </c>
      <c r="V183" s="8" t="s">
        <v>281</v>
      </c>
      <c r="W183" s="8" t="s">
        <v>282</v>
      </c>
      <c r="X183" s="4">
        <v>1115</v>
      </c>
      <c r="Y183" s="3">
        <v>596</v>
      </c>
      <c r="Z183" s="3">
        <v>502</v>
      </c>
      <c r="AA183" s="3">
        <f t="shared" si="4"/>
        <v>303</v>
      </c>
      <c r="AB183" s="11">
        <f t="shared" si="5"/>
        <v>71.928251121076244</v>
      </c>
    </row>
    <row r="184" spans="1:28" ht="49.5" customHeight="1" x14ac:dyDescent="0.25">
      <c r="A184" s="7">
        <v>182</v>
      </c>
      <c r="B184" s="8">
        <v>297</v>
      </c>
      <c r="C184" s="7">
        <v>171</v>
      </c>
      <c r="D184" s="7">
        <v>101</v>
      </c>
      <c r="E184" s="7">
        <v>1</v>
      </c>
      <c r="F184" s="7">
        <v>1</v>
      </c>
      <c r="G184" s="7">
        <v>2</v>
      </c>
      <c r="H184" s="7">
        <v>0</v>
      </c>
      <c r="I184" s="7">
        <v>1</v>
      </c>
      <c r="J184" s="7">
        <v>3</v>
      </c>
      <c r="K184" s="7">
        <v>0</v>
      </c>
      <c r="L184" s="7">
        <v>0</v>
      </c>
      <c r="M184" s="7">
        <v>3</v>
      </c>
      <c r="N184" s="7">
        <v>0</v>
      </c>
      <c r="O184" s="7">
        <v>0</v>
      </c>
      <c r="P184" s="7">
        <v>580</v>
      </c>
      <c r="Q184" s="7">
        <v>0</v>
      </c>
      <c r="R184" s="7">
        <v>6</v>
      </c>
      <c r="S184" s="8">
        <v>586</v>
      </c>
      <c r="T184" s="7">
        <v>0</v>
      </c>
      <c r="U184" s="7">
        <v>182</v>
      </c>
      <c r="V184" s="8" t="s">
        <v>281</v>
      </c>
      <c r="W184" s="8" t="s">
        <v>283</v>
      </c>
      <c r="X184" s="4">
        <v>920</v>
      </c>
      <c r="Y184" s="3">
        <v>483</v>
      </c>
      <c r="Z184" s="3">
        <v>431</v>
      </c>
      <c r="AA184" s="3">
        <f t="shared" si="4"/>
        <v>196</v>
      </c>
      <c r="AB184" s="11">
        <f t="shared" si="5"/>
        <v>63.04347826086957</v>
      </c>
    </row>
    <row r="185" spans="1:28" ht="49.5" customHeight="1" x14ac:dyDescent="0.25">
      <c r="A185" s="7">
        <v>183</v>
      </c>
      <c r="B185" s="8">
        <v>215</v>
      </c>
      <c r="C185" s="7">
        <v>114</v>
      </c>
      <c r="D185" s="7">
        <v>22</v>
      </c>
      <c r="E185" s="7">
        <v>1</v>
      </c>
      <c r="F185" s="7">
        <v>0</v>
      </c>
      <c r="G185" s="7">
        <v>1</v>
      </c>
      <c r="H185" s="7">
        <v>1</v>
      </c>
      <c r="I185" s="7">
        <v>0</v>
      </c>
      <c r="J185" s="7">
        <v>0</v>
      </c>
      <c r="K185" s="7">
        <v>0</v>
      </c>
      <c r="L185" s="7">
        <v>2</v>
      </c>
      <c r="M185" s="7">
        <v>0</v>
      </c>
      <c r="N185" s="7">
        <v>0</v>
      </c>
      <c r="O185" s="7">
        <v>2</v>
      </c>
      <c r="P185" s="7">
        <v>358</v>
      </c>
      <c r="Q185" s="7">
        <v>0</v>
      </c>
      <c r="R185" s="7">
        <v>1</v>
      </c>
      <c r="S185" s="8">
        <v>359</v>
      </c>
      <c r="T185" s="7">
        <v>0</v>
      </c>
      <c r="U185" s="7">
        <v>183</v>
      </c>
      <c r="V185" s="8" t="s">
        <v>284</v>
      </c>
      <c r="W185" s="8" t="s">
        <v>285</v>
      </c>
      <c r="X185" s="4">
        <v>561</v>
      </c>
      <c r="Y185" s="3">
        <v>300</v>
      </c>
      <c r="Z185" s="3">
        <v>261</v>
      </c>
      <c r="AA185" s="3">
        <f t="shared" si="4"/>
        <v>193</v>
      </c>
      <c r="AB185" s="11">
        <f t="shared" si="5"/>
        <v>63.814616755793232</v>
      </c>
    </row>
    <row r="186" spans="1:28" ht="49.5" customHeight="1" x14ac:dyDescent="0.25">
      <c r="A186" s="7">
        <v>184</v>
      </c>
      <c r="B186" s="8">
        <v>202</v>
      </c>
      <c r="C186" s="7">
        <v>117</v>
      </c>
      <c r="D186" s="7">
        <v>64</v>
      </c>
      <c r="E186" s="7">
        <v>1</v>
      </c>
      <c r="F186" s="7">
        <v>33</v>
      </c>
      <c r="G186" s="7">
        <v>3</v>
      </c>
      <c r="H186" s="7">
        <v>0</v>
      </c>
      <c r="I186" s="7">
        <v>0</v>
      </c>
      <c r="J186" s="7">
        <v>0</v>
      </c>
      <c r="K186" s="7">
        <v>1</v>
      </c>
      <c r="L186" s="7">
        <v>0</v>
      </c>
      <c r="M186" s="7">
        <v>0</v>
      </c>
      <c r="N186" s="7">
        <v>1</v>
      </c>
      <c r="O186" s="7">
        <v>1</v>
      </c>
      <c r="P186" s="7">
        <v>423</v>
      </c>
      <c r="Q186" s="7">
        <v>0</v>
      </c>
      <c r="R186" s="7">
        <v>2</v>
      </c>
      <c r="S186" s="8">
        <v>425</v>
      </c>
      <c r="T186" s="7">
        <v>0</v>
      </c>
      <c r="U186" s="7">
        <v>184</v>
      </c>
      <c r="V186" s="8" t="s">
        <v>286</v>
      </c>
      <c r="W186" s="8" t="s">
        <v>287</v>
      </c>
      <c r="X186" s="4">
        <v>655</v>
      </c>
      <c r="Y186" s="3">
        <v>354</v>
      </c>
      <c r="Z186" s="3">
        <v>293</v>
      </c>
      <c r="AA186" s="3">
        <f t="shared" si="4"/>
        <v>138</v>
      </c>
      <c r="AB186" s="11">
        <f t="shared" si="5"/>
        <v>64.580152671755727</v>
      </c>
    </row>
    <row r="187" spans="1:28" ht="49.5" customHeight="1" x14ac:dyDescent="0.25">
      <c r="A187" s="7">
        <v>185</v>
      </c>
      <c r="B187" s="8">
        <v>437</v>
      </c>
      <c r="C187" s="7">
        <v>140</v>
      </c>
      <c r="D187" s="7">
        <v>89</v>
      </c>
      <c r="E187" s="7">
        <v>6</v>
      </c>
      <c r="F187" s="7">
        <v>1</v>
      </c>
      <c r="G187" s="7">
        <v>0</v>
      </c>
      <c r="H187" s="7">
        <v>0</v>
      </c>
      <c r="I187" s="7">
        <v>0</v>
      </c>
      <c r="J187" s="7">
        <v>0</v>
      </c>
      <c r="K187" s="7">
        <v>2</v>
      </c>
      <c r="L187" s="7">
        <v>0</v>
      </c>
      <c r="M187" s="7">
        <v>0</v>
      </c>
      <c r="N187" s="7">
        <v>0</v>
      </c>
      <c r="O187" s="7">
        <v>0</v>
      </c>
      <c r="P187" s="7">
        <v>675</v>
      </c>
      <c r="Q187" s="7">
        <v>0</v>
      </c>
      <c r="R187" s="7">
        <v>3</v>
      </c>
      <c r="S187" s="8">
        <v>678</v>
      </c>
      <c r="T187" s="7">
        <v>0</v>
      </c>
      <c r="U187" s="7">
        <v>185</v>
      </c>
      <c r="V187" s="8" t="s">
        <v>284</v>
      </c>
      <c r="W187" s="8" t="s">
        <v>288</v>
      </c>
      <c r="X187" s="4">
        <v>942</v>
      </c>
      <c r="Y187" s="3">
        <v>507</v>
      </c>
      <c r="Z187" s="3">
        <v>426</v>
      </c>
      <c r="AA187" s="3">
        <f t="shared" si="4"/>
        <v>348</v>
      </c>
      <c r="AB187" s="11">
        <f t="shared" si="5"/>
        <v>71.656050955414003</v>
      </c>
    </row>
    <row r="188" spans="1:28" ht="49.5" customHeight="1" x14ac:dyDescent="0.25">
      <c r="A188" s="7">
        <v>186</v>
      </c>
      <c r="B188" s="8">
        <v>404</v>
      </c>
      <c r="C188" s="7">
        <v>127</v>
      </c>
      <c r="D188" s="7">
        <v>15</v>
      </c>
      <c r="E188" s="7">
        <v>1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3</v>
      </c>
      <c r="P188" s="7">
        <v>550</v>
      </c>
      <c r="Q188" s="7">
        <v>0</v>
      </c>
      <c r="R188" s="7">
        <v>0</v>
      </c>
      <c r="S188" s="8">
        <v>550</v>
      </c>
      <c r="T188" s="7">
        <v>0</v>
      </c>
      <c r="U188" s="7">
        <v>186</v>
      </c>
      <c r="V188" s="8" t="s">
        <v>289</v>
      </c>
      <c r="W188" s="8" t="s">
        <v>290</v>
      </c>
      <c r="X188" s="4">
        <v>683</v>
      </c>
      <c r="Y188" s="3">
        <v>374</v>
      </c>
      <c r="Z188" s="3">
        <v>309</v>
      </c>
      <c r="AA188" s="3">
        <f t="shared" si="4"/>
        <v>389</v>
      </c>
      <c r="AB188" s="11">
        <f t="shared" si="5"/>
        <v>80.527086383601755</v>
      </c>
    </row>
    <row r="189" spans="1:28" ht="49.5" customHeight="1" x14ac:dyDescent="0.25">
      <c r="A189" s="7">
        <v>187</v>
      </c>
      <c r="B189" s="8">
        <v>356</v>
      </c>
      <c r="C189" s="7">
        <v>139</v>
      </c>
      <c r="D189" s="7">
        <v>16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511</v>
      </c>
      <c r="Q189" s="7">
        <v>0</v>
      </c>
      <c r="R189" s="7">
        <v>0</v>
      </c>
      <c r="S189" s="8">
        <v>511</v>
      </c>
      <c r="T189" s="7">
        <v>0</v>
      </c>
      <c r="U189" s="7">
        <v>187</v>
      </c>
      <c r="V189" s="8" t="s">
        <v>291</v>
      </c>
      <c r="W189" s="8" t="s">
        <v>292</v>
      </c>
      <c r="X189" s="4">
        <v>630</v>
      </c>
      <c r="Y189" s="3">
        <v>339</v>
      </c>
      <c r="Z189" s="3">
        <v>291</v>
      </c>
      <c r="AA189" s="3">
        <f t="shared" si="4"/>
        <v>340</v>
      </c>
      <c r="AB189" s="11">
        <f t="shared" si="5"/>
        <v>81.111111111111114</v>
      </c>
    </row>
    <row r="190" spans="1:28" ht="49.5" customHeight="1" x14ac:dyDescent="0.25">
      <c r="A190" s="7">
        <v>188</v>
      </c>
      <c r="B190" s="8">
        <v>257</v>
      </c>
      <c r="C190" s="7">
        <v>28</v>
      </c>
      <c r="D190" s="7">
        <v>13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1</v>
      </c>
      <c r="N190" s="7">
        <v>0</v>
      </c>
      <c r="O190" s="7">
        <v>2</v>
      </c>
      <c r="P190" s="7">
        <v>301</v>
      </c>
      <c r="Q190" s="7">
        <v>0</v>
      </c>
      <c r="R190" s="7">
        <v>1</v>
      </c>
      <c r="S190" s="8">
        <v>302</v>
      </c>
      <c r="T190" s="7">
        <v>0</v>
      </c>
      <c r="U190" s="7">
        <v>188</v>
      </c>
      <c r="V190" s="8" t="s">
        <v>293</v>
      </c>
      <c r="W190" s="8" t="s">
        <v>294</v>
      </c>
      <c r="X190" s="4">
        <v>360</v>
      </c>
      <c r="Y190" s="3">
        <v>195</v>
      </c>
      <c r="Z190" s="3">
        <v>163</v>
      </c>
      <c r="AA190" s="3">
        <f t="shared" si="4"/>
        <v>244</v>
      </c>
      <c r="AB190" s="11">
        <f t="shared" si="5"/>
        <v>83.611111111111114</v>
      </c>
    </row>
    <row r="191" spans="1:28" ht="49.5" customHeight="1" x14ac:dyDescent="0.25">
      <c r="A191" s="7">
        <v>189</v>
      </c>
      <c r="B191" s="8">
        <v>838</v>
      </c>
      <c r="C191" s="7">
        <v>88</v>
      </c>
      <c r="D191" s="7">
        <v>24</v>
      </c>
      <c r="E191" s="7">
        <v>0</v>
      </c>
      <c r="F191" s="7">
        <v>0</v>
      </c>
      <c r="G191" s="7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4</v>
      </c>
      <c r="P191" s="7">
        <v>955</v>
      </c>
      <c r="Q191" s="7">
        <v>0</v>
      </c>
      <c r="R191" s="7">
        <v>4</v>
      </c>
      <c r="S191" s="8">
        <v>959</v>
      </c>
      <c r="T191" s="7">
        <v>0</v>
      </c>
      <c r="U191" s="7">
        <v>189</v>
      </c>
      <c r="V191" s="8" t="s">
        <v>293</v>
      </c>
      <c r="W191" s="8" t="s">
        <v>295</v>
      </c>
      <c r="X191" s="4">
        <v>1216</v>
      </c>
      <c r="Y191" s="3">
        <v>657</v>
      </c>
      <c r="Z191" s="3">
        <v>554</v>
      </c>
      <c r="AA191" s="3">
        <f t="shared" si="4"/>
        <v>814</v>
      </c>
      <c r="AB191" s="11">
        <f t="shared" si="5"/>
        <v>78.536184210526315</v>
      </c>
    </row>
    <row r="192" spans="1:28" ht="49.5" customHeight="1" x14ac:dyDescent="0.25">
      <c r="A192" s="7">
        <v>190</v>
      </c>
      <c r="B192" s="8">
        <v>298</v>
      </c>
      <c r="C192" s="7">
        <v>334</v>
      </c>
      <c r="D192" s="7">
        <v>23</v>
      </c>
      <c r="E192" s="7">
        <v>0</v>
      </c>
      <c r="F192" s="7">
        <v>0</v>
      </c>
      <c r="G192" s="7">
        <v>1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1</v>
      </c>
      <c r="O192" s="7">
        <v>2</v>
      </c>
      <c r="P192" s="7">
        <v>659</v>
      </c>
      <c r="Q192" s="7">
        <v>0</v>
      </c>
      <c r="R192" s="7">
        <v>2</v>
      </c>
      <c r="S192" s="8">
        <v>661</v>
      </c>
      <c r="T192" s="7">
        <v>0</v>
      </c>
      <c r="U192" s="7">
        <v>190</v>
      </c>
      <c r="V192" s="8" t="s">
        <v>296</v>
      </c>
      <c r="W192" s="8" t="s">
        <v>297</v>
      </c>
      <c r="X192" s="4">
        <v>780</v>
      </c>
      <c r="Y192" s="3">
        <v>419</v>
      </c>
      <c r="Z192" s="3">
        <v>350</v>
      </c>
      <c r="AA192" s="3">
        <f t="shared" si="4"/>
        <v>275</v>
      </c>
      <c r="AB192" s="11">
        <f t="shared" si="5"/>
        <v>84.487179487179489</v>
      </c>
    </row>
    <row r="193" spans="1:28" ht="49.5" customHeight="1" x14ac:dyDescent="0.25">
      <c r="A193" s="7">
        <v>191</v>
      </c>
      <c r="B193" s="8">
        <v>152</v>
      </c>
      <c r="C193" s="7">
        <v>410</v>
      </c>
      <c r="D193" s="7">
        <v>82</v>
      </c>
      <c r="E193" s="7">
        <v>0</v>
      </c>
      <c r="F193" s="7">
        <v>1</v>
      </c>
      <c r="G193" s="7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6</v>
      </c>
      <c r="P193" s="7">
        <v>653</v>
      </c>
      <c r="Q193" s="7">
        <v>0</v>
      </c>
      <c r="R193" s="7">
        <v>3</v>
      </c>
      <c r="S193" s="8">
        <v>656</v>
      </c>
      <c r="T193" s="7">
        <v>0</v>
      </c>
      <c r="U193" s="7">
        <v>191</v>
      </c>
      <c r="V193" s="8" t="s">
        <v>296</v>
      </c>
      <c r="W193" s="8" t="s">
        <v>298</v>
      </c>
      <c r="X193" s="4">
        <v>970</v>
      </c>
      <c r="Y193" s="3">
        <v>519</v>
      </c>
      <c r="Z193" s="3">
        <v>450</v>
      </c>
      <c r="AA193" s="3">
        <f t="shared" si="4"/>
        <v>70</v>
      </c>
      <c r="AB193" s="11">
        <f t="shared" si="5"/>
        <v>67.319587628865989</v>
      </c>
    </row>
    <row r="194" spans="1:28" ht="49.5" customHeight="1" x14ac:dyDescent="0.25">
      <c r="A194" s="9">
        <v>192</v>
      </c>
      <c r="B194" s="10">
        <v>117</v>
      </c>
      <c r="C194" s="9">
        <v>404</v>
      </c>
      <c r="D194" s="9">
        <v>135</v>
      </c>
      <c r="E194" s="9">
        <v>1</v>
      </c>
      <c r="F194" s="9">
        <v>0</v>
      </c>
      <c r="G194" s="9">
        <v>3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2</v>
      </c>
      <c r="N194" s="9">
        <v>1</v>
      </c>
      <c r="O194" s="9">
        <v>6</v>
      </c>
      <c r="P194" s="9">
        <v>669</v>
      </c>
      <c r="Q194" s="9">
        <v>0</v>
      </c>
      <c r="R194" s="9">
        <v>3</v>
      </c>
      <c r="S194" s="10">
        <v>672</v>
      </c>
      <c r="T194" s="9">
        <v>0</v>
      </c>
      <c r="U194" s="9">
        <v>192</v>
      </c>
      <c r="V194" s="10" t="s">
        <v>296</v>
      </c>
      <c r="W194" s="10" t="s">
        <v>299</v>
      </c>
      <c r="X194" s="4">
        <v>1045</v>
      </c>
      <c r="Y194" s="3">
        <v>570</v>
      </c>
      <c r="Z194" s="3">
        <v>466</v>
      </c>
      <c r="AA194" s="3">
        <f t="shared" si="4"/>
        <v>18</v>
      </c>
      <c r="AB194" s="11">
        <f t="shared" si="5"/>
        <v>64.019138755980862</v>
      </c>
    </row>
    <row r="195" spans="1:28" ht="49.5" customHeight="1" x14ac:dyDescent="0.25">
      <c r="A195" s="7">
        <v>193</v>
      </c>
      <c r="B195" s="8">
        <v>708</v>
      </c>
      <c r="C195" s="7">
        <v>184</v>
      </c>
      <c r="D195" s="7">
        <v>119</v>
      </c>
      <c r="E195" s="7">
        <v>4</v>
      </c>
      <c r="F195" s="7">
        <v>1</v>
      </c>
      <c r="G195" s="7">
        <v>1</v>
      </c>
      <c r="H195" s="7">
        <v>0</v>
      </c>
      <c r="I195" s="7">
        <v>1</v>
      </c>
      <c r="J195" s="7">
        <v>0</v>
      </c>
      <c r="K195" s="7">
        <v>1</v>
      </c>
      <c r="L195" s="7">
        <v>0</v>
      </c>
      <c r="M195" s="7">
        <v>0</v>
      </c>
      <c r="N195" s="7">
        <v>0</v>
      </c>
      <c r="O195" s="7">
        <v>4</v>
      </c>
      <c r="P195" s="7">
        <v>1023</v>
      </c>
      <c r="Q195" s="7">
        <v>0</v>
      </c>
      <c r="R195" s="7">
        <v>5</v>
      </c>
      <c r="S195" s="8">
        <v>1028</v>
      </c>
      <c r="T195" s="7">
        <v>0</v>
      </c>
      <c r="U195" s="7">
        <v>193</v>
      </c>
      <c r="V195" s="8" t="s">
        <v>296</v>
      </c>
      <c r="W195" s="8" t="s">
        <v>300</v>
      </c>
      <c r="X195" s="4">
        <v>1403</v>
      </c>
      <c r="Y195" s="3">
        <v>725</v>
      </c>
      <c r="Z195" s="3">
        <v>675</v>
      </c>
      <c r="AA195" s="3">
        <f t="shared" si="4"/>
        <v>589</v>
      </c>
      <c r="AB195" s="11">
        <f t="shared" si="5"/>
        <v>72.91518175338561</v>
      </c>
    </row>
    <row r="196" spans="1:28" ht="49.5" customHeight="1" x14ac:dyDescent="0.25">
      <c r="A196" s="7">
        <v>194</v>
      </c>
      <c r="B196" s="8">
        <v>358</v>
      </c>
      <c r="C196" s="7">
        <v>370</v>
      </c>
      <c r="D196" s="7">
        <v>95</v>
      </c>
      <c r="E196" s="7">
        <v>1</v>
      </c>
      <c r="F196" s="7">
        <v>0</v>
      </c>
      <c r="G196" s="7">
        <v>2</v>
      </c>
      <c r="H196" s="7">
        <v>1</v>
      </c>
      <c r="I196" s="7">
        <v>1</v>
      </c>
      <c r="J196" s="7">
        <v>4</v>
      </c>
      <c r="K196" s="7">
        <v>0</v>
      </c>
      <c r="L196" s="7">
        <v>2</v>
      </c>
      <c r="M196" s="7">
        <v>1</v>
      </c>
      <c r="N196" s="7">
        <v>1</v>
      </c>
      <c r="O196" s="7">
        <v>12</v>
      </c>
      <c r="P196" s="7">
        <v>848</v>
      </c>
      <c r="Q196" s="7">
        <v>0</v>
      </c>
      <c r="R196" s="7">
        <v>6</v>
      </c>
      <c r="S196" s="8">
        <v>854</v>
      </c>
      <c r="T196" s="7">
        <v>0</v>
      </c>
      <c r="U196" s="7">
        <v>194</v>
      </c>
      <c r="V196" s="8" t="s">
        <v>296</v>
      </c>
      <c r="W196" s="8" t="s">
        <v>301</v>
      </c>
      <c r="X196" s="4">
        <v>1273</v>
      </c>
      <c r="Y196" s="3">
        <v>693</v>
      </c>
      <c r="Z196" s="3">
        <v>580</v>
      </c>
      <c r="AA196" s="3">
        <f t="shared" ref="AA196:AA259" si="6">MAX(B196,D196)-MIN(B196,D196)</f>
        <v>263</v>
      </c>
      <c r="AB196" s="11">
        <f t="shared" ref="AB196:AB259" si="7">(P196/X196)*100</f>
        <v>66.614296936370778</v>
      </c>
    </row>
    <row r="197" spans="1:28" ht="49.5" customHeight="1" x14ac:dyDescent="0.25">
      <c r="A197" s="7">
        <v>195</v>
      </c>
      <c r="B197" s="8">
        <v>315</v>
      </c>
      <c r="C197" s="7">
        <v>308</v>
      </c>
      <c r="D197" s="7">
        <v>48</v>
      </c>
      <c r="E197" s="7">
        <v>1</v>
      </c>
      <c r="F197" s="7">
        <v>1</v>
      </c>
      <c r="G197" s="7">
        <v>9</v>
      </c>
      <c r="H197" s="7">
        <v>3</v>
      </c>
      <c r="I197" s="7">
        <v>0</v>
      </c>
      <c r="J197" s="7">
        <v>1</v>
      </c>
      <c r="K197" s="7">
        <v>0</v>
      </c>
      <c r="L197" s="7">
        <v>0</v>
      </c>
      <c r="M197" s="7">
        <v>1</v>
      </c>
      <c r="N197" s="7">
        <v>0</v>
      </c>
      <c r="O197" s="7">
        <v>4</v>
      </c>
      <c r="P197" s="7">
        <v>691</v>
      </c>
      <c r="Q197" s="7">
        <v>0</v>
      </c>
      <c r="R197" s="7">
        <v>4</v>
      </c>
      <c r="S197" s="8">
        <v>695</v>
      </c>
      <c r="T197" s="7">
        <v>0</v>
      </c>
      <c r="U197" s="7">
        <v>195</v>
      </c>
      <c r="V197" s="8" t="s">
        <v>296</v>
      </c>
      <c r="W197" s="8" t="s">
        <v>302</v>
      </c>
      <c r="X197" s="4">
        <v>995</v>
      </c>
      <c r="Y197" s="3">
        <v>538</v>
      </c>
      <c r="Z197" s="3">
        <v>456</v>
      </c>
      <c r="AA197" s="3">
        <f t="shared" si="6"/>
        <v>267</v>
      </c>
      <c r="AB197" s="11">
        <f t="shared" si="7"/>
        <v>69.447236180904525</v>
      </c>
    </row>
    <row r="198" spans="1:28" ht="49.5" customHeight="1" x14ac:dyDescent="0.25">
      <c r="A198" s="7">
        <v>196</v>
      </c>
      <c r="B198" s="8">
        <v>97</v>
      </c>
      <c r="C198" s="7">
        <v>576</v>
      </c>
      <c r="D198" s="7">
        <v>82</v>
      </c>
      <c r="E198" s="7">
        <v>1</v>
      </c>
      <c r="F198" s="7">
        <v>0</v>
      </c>
      <c r="G198" s="7">
        <v>0</v>
      </c>
      <c r="H198" s="7">
        <v>0</v>
      </c>
      <c r="I198" s="7">
        <v>0</v>
      </c>
      <c r="J198" s="7">
        <v>1</v>
      </c>
      <c r="K198" s="7">
        <v>0</v>
      </c>
      <c r="L198" s="7">
        <v>1</v>
      </c>
      <c r="M198" s="7">
        <v>0</v>
      </c>
      <c r="N198" s="7">
        <v>1</v>
      </c>
      <c r="O198" s="7">
        <v>6</v>
      </c>
      <c r="P198" s="7">
        <v>765</v>
      </c>
      <c r="Q198" s="7">
        <v>0</v>
      </c>
      <c r="R198" s="7">
        <v>1</v>
      </c>
      <c r="S198" s="8">
        <v>766</v>
      </c>
      <c r="T198" s="7">
        <v>0</v>
      </c>
      <c r="U198" s="7">
        <v>196</v>
      </c>
      <c r="V198" s="8" t="s">
        <v>296</v>
      </c>
      <c r="W198" s="8" t="s">
        <v>303</v>
      </c>
      <c r="X198" s="4">
        <v>1076</v>
      </c>
      <c r="Y198" s="3">
        <v>572</v>
      </c>
      <c r="Z198" s="3">
        <v>512</v>
      </c>
      <c r="AA198" s="3">
        <f t="shared" si="6"/>
        <v>15</v>
      </c>
      <c r="AB198" s="11">
        <f t="shared" si="7"/>
        <v>71.096654275092945</v>
      </c>
    </row>
    <row r="199" spans="1:28" ht="49.5" customHeight="1" x14ac:dyDescent="0.25">
      <c r="A199" s="7">
        <v>197</v>
      </c>
      <c r="B199" s="8">
        <v>458</v>
      </c>
      <c r="C199" s="7">
        <v>10</v>
      </c>
      <c r="D199" s="7">
        <v>62</v>
      </c>
      <c r="E199" s="7">
        <v>5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2</v>
      </c>
      <c r="M199" s="7">
        <v>0</v>
      </c>
      <c r="N199" s="7">
        <v>1</v>
      </c>
      <c r="O199" s="7">
        <v>1</v>
      </c>
      <c r="P199" s="7">
        <v>539</v>
      </c>
      <c r="Q199" s="7">
        <v>0</v>
      </c>
      <c r="R199" s="7">
        <v>4</v>
      </c>
      <c r="S199" s="8">
        <v>543</v>
      </c>
      <c r="T199" s="7">
        <v>0</v>
      </c>
      <c r="U199" s="7">
        <v>197</v>
      </c>
      <c r="V199" s="8" t="s">
        <v>304</v>
      </c>
      <c r="W199" s="8" t="s">
        <v>305</v>
      </c>
      <c r="X199" s="4">
        <v>817</v>
      </c>
      <c r="Y199" s="3">
        <v>453</v>
      </c>
      <c r="Z199" s="3">
        <v>364</v>
      </c>
      <c r="AA199" s="3">
        <f t="shared" si="6"/>
        <v>396</v>
      </c>
      <c r="AB199" s="11">
        <f t="shared" si="7"/>
        <v>65.973072215422278</v>
      </c>
    </row>
    <row r="200" spans="1:28" ht="49.5" customHeight="1" x14ac:dyDescent="0.25">
      <c r="A200" s="7">
        <v>198</v>
      </c>
      <c r="B200" s="8">
        <v>380</v>
      </c>
      <c r="C200" s="7">
        <v>74</v>
      </c>
      <c r="D200" s="7">
        <v>93</v>
      </c>
      <c r="E200" s="7">
        <v>1</v>
      </c>
      <c r="F200" s="7">
        <v>2</v>
      </c>
      <c r="G200" s="7">
        <v>0</v>
      </c>
      <c r="H200" s="7">
        <v>2</v>
      </c>
      <c r="I200" s="7">
        <v>0</v>
      </c>
      <c r="J200" s="7">
        <v>0</v>
      </c>
      <c r="K200" s="7">
        <v>1</v>
      </c>
      <c r="L200" s="7">
        <v>0</v>
      </c>
      <c r="M200" s="7">
        <v>1</v>
      </c>
      <c r="N200" s="7">
        <v>2</v>
      </c>
      <c r="O200" s="7">
        <v>4</v>
      </c>
      <c r="P200" s="7">
        <v>560</v>
      </c>
      <c r="Q200" s="7">
        <v>0</v>
      </c>
      <c r="R200" s="7">
        <v>3</v>
      </c>
      <c r="S200" s="8">
        <v>563</v>
      </c>
      <c r="T200" s="7">
        <v>0</v>
      </c>
      <c r="U200" s="7">
        <v>198</v>
      </c>
      <c r="V200" s="8" t="s">
        <v>304</v>
      </c>
      <c r="W200" s="8" t="s">
        <v>306</v>
      </c>
      <c r="X200" s="4">
        <v>954</v>
      </c>
      <c r="Y200" s="3">
        <v>518</v>
      </c>
      <c r="Z200" s="3">
        <v>435</v>
      </c>
      <c r="AA200" s="3">
        <f t="shared" si="6"/>
        <v>287</v>
      </c>
      <c r="AB200" s="11">
        <f t="shared" si="7"/>
        <v>58.700209643605874</v>
      </c>
    </row>
    <row r="201" spans="1:28" ht="49.5" customHeight="1" x14ac:dyDescent="0.25">
      <c r="A201" s="7">
        <v>199</v>
      </c>
      <c r="B201" s="8">
        <v>465</v>
      </c>
      <c r="C201" s="7">
        <v>80</v>
      </c>
      <c r="D201" s="7">
        <v>17</v>
      </c>
      <c r="E201" s="7">
        <v>1</v>
      </c>
      <c r="F201" s="7">
        <v>0</v>
      </c>
      <c r="G201" s="7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564</v>
      </c>
      <c r="Q201" s="7">
        <v>0</v>
      </c>
      <c r="R201" s="7">
        <v>1</v>
      </c>
      <c r="S201" s="8">
        <v>565</v>
      </c>
      <c r="T201" s="7">
        <v>0</v>
      </c>
      <c r="U201" s="7">
        <v>199</v>
      </c>
      <c r="V201" s="8" t="s">
        <v>307</v>
      </c>
      <c r="W201" s="8" t="s">
        <v>308</v>
      </c>
      <c r="X201" s="4">
        <v>743</v>
      </c>
      <c r="Y201" s="3">
        <v>389</v>
      </c>
      <c r="Z201" s="3">
        <v>352</v>
      </c>
      <c r="AA201" s="3">
        <f t="shared" si="6"/>
        <v>448</v>
      </c>
      <c r="AB201" s="11">
        <f t="shared" si="7"/>
        <v>75.908479138627186</v>
      </c>
    </row>
    <row r="202" spans="1:28" ht="49.5" customHeight="1" x14ac:dyDescent="0.25">
      <c r="A202" s="7">
        <v>200</v>
      </c>
      <c r="B202" s="8">
        <v>441</v>
      </c>
      <c r="C202" s="7">
        <v>88</v>
      </c>
      <c r="D202" s="7">
        <v>22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1</v>
      </c>
      <c r="M202" s="7">
        <v>0</v>
      </c>
      <c r="N202" s="7">
        <v>1</v>
      </c>
      <c r="O202" s="7">
        <v>1</v>
      </c>
      <c r="P202" s="7">
        <v>554</v>
      </c>
      <c r="Q202" s="7">
        <v>0</v>
      </c>
      <c r="R202" s="7">
        <v>2</v>
      </c>
      <c r="S202" s="8">
        <v>556</v>
      </c>
      <c r="T202" s="7">
        <v>0</v>
      </c>
      <c r="U202" s="7">
        <v>200</v>
      </c>
      <c r="V202" s="8" t="s">
        <v>307</v>
      </c>
      <c r="W202" s="8" t="s">
        <v>309</v>
      </c>
      <c r="X202" s="4">
        <v>724</v>
      </c>
      <c r="Y202" s="3">
        <v>377</v>
      </c>
      <c r="Z202" s="3">
        <v>347</v>
      </c>
      <c r="AA202" s="3">
        <f t="shared" si="6"/>
        <v>419</v>
      </c>
      <c r="AB202" s="11">
        <f t="shared" si="7"/>
        <v>76.519337016574582</v>
      </c>
    </row>
    <row r="203" spans="1:28" ht="49.5" customHeight="1" x14ac:dyDescent="0.25">
      <c r="A203" s="7">
        <v>201</v>
      </c>
      <c r="B203" s="8">
        <v>174</v>
      </c>
      <c r="C203" s="7">
        <v>24</v>
      </c>
      <c r="D203" s="7">
        <v>12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1</v>
      </c>
      <c r="K203" s="7">
        <v>0</v>
      </c>
      <c r="L203" s="7">
        <v>0</v>
      </c>
      <c r="M203" s="7">
        <v>0</v>
      </c>
      <c r="N203" s="7">
        <v>1</v>
      </c>
      <c r="O203" s="7">
        <v>0</v>
      </c>
      <c r="P203" s="7">
        <v>212</v>
      </c>
      <c r="Q203" s="7">
        <v>0</v>
      </c>
      <c r="R203" s="7">
        <v>6</v>
      </c>
      <c r="S203" s="8">
        <v>218</v>
      </c>
      <c r="T203" s="7">
        <v>0</v>
      </c>
      <c r="U203" s="7">
        <v>201</v>
      </c>
      <c r="V203" s="8" t="s">
        <v>307</v>
      </c>
      <c r="W203" s="8" t="s">
        <v>310</v>
      </c>
      <c r="X203" s="4">
        <v>352</v>
      </c>
      <c r="Y203" s="3">
        <v>189</v>
      </c>
      <c r="Z203" s="3">
        <v>163</v>
      </c>
      <c r="AA203" s="3">
        <f t="shared" si="6"/>
        <v>162</v>
      </c>
      <c r="AB203" s="11">
        <f t="shared" si="7"/>
        <v>60.227272727272727</v>
      </c>
    </row>
    <row r="204" spans="1:28" ht="49.5" customHeight="1" x14ac:dyDescent="0.25">
      <c r="A204" s="7">
        <v>202</v>
      </c>
      <c r="B204" s="8">
        <v>341</v>
      </c>
      <c r="C204" s="7">
        <v>136</v>
      </c>
      <c r="D204" s="7">
        <v>56</v>
      </c>
      <c r="E204" s="7">
        <v>0</v>
      </c>
      <c r="F204" s="7">
        <v>1</v>
      </c>
      <c r="G204" s="7">
        <v>2</v>
      </c>
      <c r="H204" s="7">
        <v>2</v>
      </c>
      <c r="I204" s="7">
        <v>3</v>
      </c>
      <c r="J204" s="7">
        <v>0</v>
      </c>
      <c r="K204" s="7">
        <v>1</v>
      </c>
      <c r="L204" s="7">
        <v>4</v>
      </c>
      <c r="M204" s="7">
        <v>1</v>
      </c>
      <c r="N204" s="7">
        <v>4</v>
      </c>
      <c r="O204" s="7">
        <v>6</v>
      </c>
      <c r="P204" s="7">
        <v>557</v>
      </c>
      <c r="Q204" s="7">
        <v>0</v>
      </c>
      <c r="R204" s="7">
        <v>11</v>
      </c>
      <c r="S204" s="8">
        <v>568</v>
      </c>
      <c r="T204" s="7">
        <v>0</v>
      </c>
      <c r="U204" s="7">
        <v>202</v>
      </c>
      <c r="V204" s="8" t="s">
        <v>307</v>
      </c>
      <c r="W204" s="8" t="s">
        <v>311</v>
      </c>
      <c r="X204" s="4">
        <v>1042</v>
      </c>
      <c r="Y204" s="3">
        <v>556</v>
      </c>
      <c r="Z204" s="3">
        <v>485</v>
      </c>
      <c r="AA204" s="3">
        <f t="shared" si="6"/>
        <v>285</v>
      </c>
      <c r="AB204" s="11">
        <f t="shared" si="7"/>
        <v>53.454894433781185</v>
      </c>
    </row>
    <row r="205" spans="1:28" ht="49.5" customHeight="1" x14ac:dyDescent="0.25">
      <c r="A205" s="7">
        <v>203</v>
      </c>
      <c r="B205" s="8">
        <v>170</v>
      </c>
      <c r="C205" s="7">
        <v>236</v>
      </c>
      <c r="D205" s="7">
        <v>18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2</v>
      </c>
      <c r="P205" s="7">
        <v>426</v>
      </c>
      <c r="Q205" s="7">
        <v>0</v>
      </c>
      <c r="R205" s="7">
        <v>2</v>
      </c>
      <c r="S205" s="8">
        <v>428</v>
      </c>
      <c r="T205" s="7">
        <v>0</v>
      </c>
      <c r="U205" s="7">
        <v>203</v>
      </c>
      <c r="V205" s="8" t="s">
        <v>307</v>
      </c>
      <c r="W205" s="8" t="s">
        <v>312</v>
      </c>
      <c r="X205" s="4">
        <v>565</v>
      </c>
      <c r="Y205" s="3">
        <v>303</v>
      </c>
      <c r="Z205" s="3">
        <v>259</v>
      </c>
      <c r="AA205" s="3">
        <f t="shared" si="6"/>
        <v>152</v>
      </c>
      <c r="AB205" s="11">
        <f t="shared" si="7"/>
        <v>75.398230088495581</v>
      </c>
    </row>
    <row r="206" spans="1:28" ht="49.5" customHeight="1" x14ac:dyDescent="0.25">
      <c r="A206" s="7">
        <v>204</v>
      </c>
      <c r="B206" s="8">
        <v>398</v>
      </c>
      <c r="C206" s="7">
        <v>258</v>
      </c>
      <c r="D206" s="7">
        <v>173</v>
      </c>
      <c r="E206" s="7">
        <v>4</v>
      </c>
      <c r="F206" s="7">
        <v>0</v>
      </c>
      <c r="G206" s="7">
        <v>0</v>
      </c>
      <c r="H206" s="7">
        <v>4</v>
      </c>
      <c r="I206" s="7">
        <v>0</v>
      </c>
      <c r="J206" s="7">
        <v>1</v>
      </c>
      <c r="K206" s="7">
        <v>1</v>
      </c>
      <c r="L206" s="7">
        <v>5</v>
      </c>
      <c r="M206" s="7">
        <v>5</v>
      </c>
      <c r="N206" s="7">
        <v>4</v>
      </c>
      <c r="O206" s="7">
        <v>4</v>
      </c>
      <c r="P206" s="7">
        <v>857</v>
      </c>
      <c r="Q206" s="7">
        <v>0</v>
      </c>
      <c r="R206" s="7">
        <v>5</v>
      </c>
      <c r="S206" s="8">
        <v>862</v>
      </c>
      <c r="T206" s="7">
        <v>0</v>
      </c>
      <c r="U206" s="7">
        <v>204</v>
      </c>
      <c r="V206" s="8" t="s">
        <v>313</v>
      </c>
      <c r="W206" s="8" t="s">
        <v>314</v>
      </c>
      <c r="X206" s="4">
        <v>1319</v>
      </c>
      <c r="Y206" s="3">
        <v>718</v>
      </c>
      <c r="Z206" s="3">
        <v>601</v>
      </c>
      <c r="AA206" s="3">
        <f t="shared" si="6"/>
        <v>225</v>
      </c>
      <c r="AB206" s="11">
        <f t="shared" si="7"/>
        <v>64.973464746019715</v>
      </c>
    </row>
    <row r="207" spans="1:28" ht="49.5" customHeight="1" x14ac:dyDescent="0.25">
      <c r="A207" s="7">
        <v>205</v>
      </c>
      <c r="B207" s="8">
        <v>339</v>
      </c>
      <c r="C207" s="7">
        <v>192</v>
      </c>
      <c r="D207" s="7">
        <v>63</v>
      </c>
      <c r="E207" s="7">
        <v>4</v>
      </c>
      <c r="F207" s="7">
        <v>1</v>
      </c>
      <c r="G207" s="7">
        <v>0</v>
      </c>
      <c r="H207" s="7">
        <v>0</v>
      </c>
      <c r="I207" s="7">
        <v>0</v>
      </c>
      <c r="J207" s="7">
        <v>1</v>
      </c>
      <c r="K207" s="7">
        <v>0</v>
      </c>
      <c r="L207" s="7">
        <v>0</v>
      </c>
      <c r="M207" s="7">
        <v>0</v>
      </c>
      <c r="N207" s="7">
        <v>1</v>
      </c>
      <c r="O207" s="7">
        <v>2</v>
      </c>
      <c r="P207" s="7">
        <v>603</v>
      </c>
      <c r="Q207" s="7">
        <v>0</v>
      </c>
      <c r="R207" s="7">
        <v>3</v>
      </c>
      <c r="S207" s="8">
        <v>606</v>
      </c>
      <c r="T207" s="7">
        <v>0</v>
      </c>
      <c r="U207" s="7">
        <v>205</v>
      </c>
      <c r="V207" s="8" t="s">
        <v>313</v>
      </c>
      <c r="W207" s="8" t="s">
        <v>315</v>
      </c>
      <c r="X207" s="4">
        <v>925</v>
      </c>
      <c r="Y207" s="3">
        <v>489</v>
      </c>
      <c r="Z207" s="3">
        <v>433</v>
      </c>
      <c r="AA207" s="3">
        <f t="shared" si="6"/>
        <v>276</v>
      </c>
      <c r="AB207" s="11">
        <f t="shared" si="7"/>
        <v>65.189189189189193</v>
      </c>
    </row>
    <row r="208" spans="1:28" ht="49.5" customHeight="1" x14ac:dyDescent="0.25">
      <c r="A208" s="7">
        <v>206</v>
      </c>
      <c r="B208" s="8">
        <v>264</v>
      </c>
      <c r="C208" s="7">
        <v>225</v>
      </c>
      <c r="D208" s="7">
        <v>149</v>
      </c>
      <c r="E208" s="7">
        <v>1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2</v>
      </c>
      <c r="P208" s="7">
        <v>641</v>
      </c>
      <c r="Q208" s="7">
        <v>0</v>
      </c>
      <c r="R208" s="7">
        <v>1</v>
      </c>
      <c r="S208" s="8">
        <v>642</v>
      </c>
      <c r="T208" s="7">
        <v>0</v>
      </c>
      <c r="U208" s="7">
        <v>206</v>
      </c>
      <c r="V208" s="8" t="s">
        <v>313</v>
      </c>
      <c r="W208" s="8" t="s">
        <v>316</v>
      </c>
      <c r="X208" s="4">
        <v>992</v>
      </c>
      <c r="Y208" s="3">
        <v>516</v>
      </c>
      <c r="Z208" s="3">
        <v>465</v>
      </c>
      <c r="AA208" s="3">
        <f t="shared" si="6"/>
        <v>115</v>
      </c>
      <c r="AB208" s="11">
        <f t="shared" si="7"/>
        <v>64.616935483870961</v>
      </c>
    </row>
    <row r="209" spans="1:28" ht="49.5" customHeight="1" x14ac:dyDescent="0.25">
      <c r="A209" s="7">
        <v>207</v>
      </c>
      <c r="B209" s="8">
        <v>397</v>
      </c>
      <c r="C209" s="7">
        <v>45</v>
      </c>
      <c r="D209" s="7">
        <v>74</v>
      </c>
      <c r="E209" s="7">
        <v>3</v>
      </c>
      <c r="F209" s="7">
        <v>0</v>
      </c>
      <c r="G209" s="7">
        <v>0</v>
      </c>
      <c r="H209" s="7">
        <v>0</v>
      </c>
      <c r="I209" s="7">
        <v>0</v>
      </c>
      <c r="J209" s="7">
        <v>2</v>
      </c>
      <c r="K209" s="7">
        <v>0</v>
      </c>
      <c r="L209" s="7">
        <v>1</v>
      </c>
      <c r="M209" s="7">
        <v>1</v>
      </c>
      <c r="N209" s="7">
        <v>1</v>
      </c>
      <c r="O209" s="7">
        <v>0</v>
      </c>
      <c r="P209" s="7">
        <v>524</v>
      </c>
      <c r="Q209" s="7">
        <v>0</v>
      </c>
      <c r="R209" s="7" t="e">
        <f>#REF!-P209</f>
        <v>#REF!</v>
      </c>
      <c r="S209" s="8">
        <v>524</v>
      </c>
      <c r="T209" s="7">
        <v>0</v>
      </c>
      <c r="U209" s="7">
        <v>207</v>
      </c>
      <c r="V209" s="8" t="s">
        <v>111</v>
      </c>
      <c r="W209" s="8" t="s">
        <v>317</v>
      </c>
      <c r="X209" s="4">
        <v>791</v>
      </c>
      <c r="Y209" s="3">
        <v>402</v>
      </c>
      <c r="Z209" s="3">
        <v>389</v>
      </c>
      <c r="AA209" s="3">
        <f t="shared" si="6"/>
        <v>323</v>
      </c>
      <c r="AB209" s="11">
        <f t="shared" si="7"/>
        <v>66.245259165613149</v>
      </c>
    </row>
    <row r="210" spans="1:28" ht="49.5" customHeight="1" x14ac:dyDescent="0.25">
      <c r="A210" s="7">
        <v>208</v>
      </c>
      <c r="B210" s="8">
        <v>359</v>
      </c>
      <c r="C210" s="7">
        <v>44</v>
      </c>
      <c r="D210" s="7">
        <v>84</v>
      </c>
      <c r="E210" s="7">
        <v>1</v>
      </c>
      <c r="F210" s="7">
        <v>1</v>
      </c>
      <c r="G210" s="7">
        <v>0</v>
      </c>
      <c r="H210" s="7">
        <v>0</v>
      </c>
      <c r="I210" s="7">
        <v>0</v>
      </c>
      <c r="J210" s="7">
        <v>0</v>
      </c>
      <c r="K210" s="7">
        <v>1</v>
      </c>
      <c r="L210" s="7">
        <v>1</v>
      </c>
      <c r="M210" s="7">
        <v>0</v>
      </c>
      <c r="N210" s="7">
        <v>0</v>
      </c>
      <c r="O210" s="7">
        <v>2</v>
      </c>
      <c r="P210" s="7">
        <v>493</v>
      </c>
      <c r="Q210" s="7">
        <v>0</v>
      </c>
      <c r="R210" s="7">
        <v>6</v>
      </c>
      <c r="S210" s="8">
        <v>499</v>
      </c>
      <c r="T210" s="7">
        <v>0</v>
      </c>
      <c r="U210" s="7">
        <v>208</v>
      </c>
      <c r="V210" s="8" t="s">
        <v>111</v>
      </c>
      <c r="W210" s="8" t="s">
        <v>318</v>
      </c>
      <c r="X210" s="4">
        <v>738</v>
      </c>
      <c r="Y210" s="3">
        <v>381</v>
      </c>
      <c r="Z210" s="3">
        <v>355</v>
      </c>
      <c r="AA210" s="3">
        <f t="shared" si="6"/>
        <v>275</v>
      </c>
      <c r="AB210" s="11">
        <f t="shared" si="7"/>
        <v>66.802168021680217</v>
      </c>
    </row>
    <row r="211" spans="1:28" ht="49.5" customHeight="1" x14ac:dyDescent="0.25">
      <c r="A211" s="7">
        <v>209</v>
      </c>
      <c r="B211" s="8">
        <v>484</v>
      </c>
      <c r="C211" s="7">
        <v>163</v>
      </c>
      <c r="D211" s="7">
        <v>66</v>
      </c>
      <c r="E211" s="7">
        <v>10</v>
      </c>
      <c r="F211" s="7">
        <v>0</v>
      </c>
      <c r="G211" s="7">
        <v>1</v>
      </c>
      <c r="H211" s="7">
        <v>1</v>
      </c>
      <c r="I211" s="7">
        <v>0</v>
      </c>
      <c r="J211" s="7">
        <v>0</v>
      </c>
      <c r="K211" s="7">
        <v>0</v>
      </c>
      <c r="L211" s="7">
        <v>1</v>
      </c>
      <c r="M211" s="7">
        <v>0</v>
      </c>
      <c r="N211" s="7">
        <v>0</v>
      </c>
      <c r="O211" s="7">
        <v>1</v>
      </c>
      <c r="P211" s="7">
        <v>727</v>
      </c>
      <c r="Q211" s="7">
        <v>0</v>
      </c>
      <c r="R211" s="7">
        <v>1</v>
      </c>
      <c r="S211" s="8">
        <v>728</v>
      </c>
      <c r="T211" s="7">
        <v>0</v>
      </c>
      <c r="U211" s="8" t="s">
        <v>393</v>
      </c>
      <c r="V211" s="8" t="s">
        <v>111</v>
      </c>
      <c r="W211" s="8" t="s">
        <v>319</v>
      </c>
      <c r="X211" s="4">
        <v>1151</v>
      </c>
      <c r="Y211" s="3">
        <v>620</v>
      </c>
      <c r="Z211" s="3">
        <v>531</v>
      </c>
      <c r="AA211" s="3">
        <f t="shared" si="6"/>
        <v>418</v>
      </c>
      <c r="AB211" s="11">
        <f t="shared" si="7"/>
        <v>63.162467419635107</v>
      </c>
    </row>
    <row r="212" spans="1:28" ht="49.5" customHeight="1" x14ac:dyDescent="0.25">
      <c r="A212" s="7">
        <v>210</v>
      </c>
      <c r="B212" s="8">
        <v>377</v>
      </c>
      <c r="C212" s="7">
        <v>27</v>
      </c>
      <c r="D212" s="7">
        <v>59</v>
      </c>
      <c r="E212" s="7">
        <v>2</v>
      </c>
      <c r="F212" s="7">
        <v>0</v>
      </c>
      <c r="G212" s="7">
        <v>1</v>
      </c>
      <c r="H212" s="7">
        <v>0</v>
      </c>
      <c r="I212" s="7">
        <v>1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467</v>
      </c>
      <c r="Q212" s="7">
        <v>0</v>
      </c>
      <c r="R212" s="7">
        <v>2</v>
      </c>
      <c r="S212" s="8">
        <v>469</v>
      </c>
      <c r="T212" s="7">
        <v>0</v>
      </c>
      <c r="U212" s="7">
        <v>210</v>
      </c>
      <c r="V212" s="8" t="s">
        <v>320</v>
      </c>
      <c r="W212" s="8" t="s">
        <v>321</v>
      </c>
      <c r="X212" s="4">
        <v>683</v>
      </c>
      <c r="Y212" s="3">
        <v>359</v>
      </c>
      <c r="Z212" s="3">
        <v>324</v>
      </c>
      <c r="AA212" s="3">
        <f t="shared" si="6"/>
        <v>318</v>
      </c>
      <c r="AB212" s="11">
        <f t="shared" si="7"/>
        <v>68.374816983894576</v>
      </c>
    </row>
    <row r="213" spans="1:28" ht="49.5" customHeight="1" x14ac:dyDescent="0.25">
      <c r="A213" s="7">
        <v>211</v>
      </c>
      <c r="B213" s="8">
        <v>468</v>
      </c>
      <c r="C213" s="7">
        <v>9</v>
      </c>
      <c r="D213" s="7">
        <v>40</v>
      </c>
      <c r="E213" s="7">
        <v>1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518</v>
      </c>
      <c r="Q213" s="7">
        <v>0</v>
      </c>
      <c r="R213" s="7">
        <v>2</v>
      </c>
      <c r="S213" s="8">
        <v>520</v>
      </c>
      <c r="T213" s="7">
        <v>0</v>
      </c>
      <c r="U213" s="7">
        <v>211</v>
      </c>
      <c r="V213" s="8" t="s">
        <v>320</v>
      </c>
      <c r="W213" s="8" t="s">
        <v>322</v>
      </c>
      <c r="X213" s="4">
        <v>666</v>
      </c>
      <c r="Y213" s="3">
        <v>344</v>
      </c>
      <c r="Z213" s="3">
        <v>322</v>
      </c>
      <c r="AA213" s="3">
        <f t="shared" si="6"/>
        <v>428</v>
      </c>
      <c r="AB213" s="11">
        <f t="shared" si="7"/>
        <v>77.777777777777786</v>
      </c>
    </row>
    <row r="214" spans="1:28" ht="49.5" customHeight="1" x14ac:dyDescent="0.25">
      <c r="A214" s="7">
        <v>212</v>
      </c>
      <c r="B214" s="8">
        <v>256</v>
      </c>
      <c r="C214" s="7">
        <v>9</v>
      </c>
      <c r="D214" s="7">
        <v>230</v>
      </c>
      <c r="E214" s="7">
        <v>16</v>
      </c>
      <c r="F214" s="7">
        <v>0</v>
      </c>
      <c r="G214" s="7">
        <v>1</v>
      </c>
      <c r="H214" s="7">
        <v>0</v>
      </c>
      <c r="I214" s="7">
        <v>2</v>
      </c>
      <c r="J214" s="7">
        <v>0</v>
      </c>
      <c r="K214" s="7">
        <v>1</v>
      </c>
      <c r="L214" s="7">
        <v>0</v>
      </c>
      <c r="M214" s="7">
        <v>0</v>
      </c>
      <c r="N214" s="7">
        <v>0</v>
      </c>
      <c r="O214" s="7">
        <v>0</v>
      </c>
      <c r="P214" s="7">
        <v>515</v>
      </c>
      <c r="Q214" s="7">
        <v>0</v>
      </c>
      <c r="R214" s="7">
        <v>2</v>
      </c>
      <c r="S214" s="8">
        <v>517</v>
      </c>
      <c r="T214" s="7">
        <v>0</v>
      </c>
      <c r="U214" s="7">
        <v>212</v>
      </c>
      <c r="V214" s="8" t="s">
        <v>323</v>
      </c>
      <c r="W214" s="8" t="s">
        <v>324</v>
      </c>
      <c r="X214" s="4">
        <v>765</v>
      </c>
      <c r="Y214" s="3">
        <v>407</v>
      </c>
      <c r="Z214" s="3">
        <v>351</v>
      </c>
      <c r="AA214" s="3">
        <f t="shared" si="6"/>
        <v>26</v>
      </c>
      <c r="AB214" s="11">
        <f t="shared" si="7"/>
        <v>67.320261437908499</v>
      </c>
    </row>
    <row r="215" spans="1:28" ht="49.5" customHeight="1" x14ac:dyDescent="0.25">
      <c r="A215" s="7">
        <v>213</v>
      </c>
      <c r="B215" s="8">
        <v>268</v>
      </c>
      <c r="C215" s="7">
        <v>18</v>
      </c>
      <c r="D215" s="7">
        <v>116</v>
      </c>
      <c r="E215" s="7">
        <v>2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1</v>
      </c>
      <c r="P215" s="7">
        <v>405</v>
      </c>
      <c r="Q215" s="7">
        <v>0</v>
      </c>
      <c r="R215" s="7" t="e">
        <f>#REF!-P215</f>
        <v>#REF!</v>
      </c>
      <c r="S215" s="8">
        <v>405</v>
      </c>
      <c r="T215" s="7">
        <v>0</v>
      </c>
      <c r="U215" s="7">
        <v>213</v>
      </c>
      <c r="V215" s="8" t="s">
        <v>323</v>
      </c>
      <c r="W215" s="8" t="s">
        <v>325</v>
      </c>
      <c r="X215" s="4">
        <v>635</v>
      </c>
      <c r="Y215" s="3">
        <v>313</v>
      </c>
      <c r="Z215" s="3">
        <v>317</v>
      </c>
      <c r="AA215" s="3">
        <f t="shared" si="6"/>
        <v>152</v>
      </c>
      <c r="AB215" s="11">
        <f t="shared" si="7"/>
        <v>63.779527559055119</v>
      </c>
    </row>
    <row r="216" spans="1:28" ht="49.5" customHeight="1" x14ac:dyDescent="0.25">
      <c r="A216" s="7">
        <v>214</v>
      </c>
      <c r="B216" s="8">
        <v>220</v>
      </c>
      <c r="C216" s="7">
        <v>84</v>
      </c>
      <c r="D216" s="7">
        <v>81</v>
      </c>
      <c r="E216" s="7">
        <v>1</v>
      </c>
      <c r="F216" s="7">
        <v>0</v>
      </c>
      <c r="G216" s="7">
        <v>0</v>
      </c>
      <c r="H216" s="7">
        <v>0</v>
      </c>
      <c r="I216" s="7">
        <v>1</v>
      </c>
      <c r="J216" s="7">
        <v>0</v>
      </c>
      <c r="K216" s="7">
        <v>0</v>
      </c>
      <c r="L216" s="7">
        <v>0</v>
      </c>
      <c r="M216" s="7">
        <v>0</v>
      </c>
      <c r="N216" s="7">
        <v>2</v>
      </c>
      <c r="O216" s="7">
        <v>3</v>
      </c>
      <c r="P216" s="7">
        <v>392</v>
      </c>
      <c r="Q216" s="7">
        <v>0</v>
      </c>
      <c r="R216" s="7">
        <v>5</v>
      </c>
      <c r="S216" s="8">
        <v>397</v>
      </c>
      <c r="T216" s="7">
        <v>0</v>
      </c>
      <c r="U216" s="7">
        <v>214</v>
      </c>
      <c r="V216" s="8" t="s">
        <v>323</v>
      </c>
      <c r="W216" s="8" t="s">
        <v>326</v>
      </c>
      <c r="X216" s="4">
        <v>623</v>
      </c>
      <c r="Y216" s="3">
        <v>333</v>
      </c>
      <c r="Z216" s="3">
        <v>285</v>
      </c>
      <c r="AA216" s="3">
        <f t="shared" si="6"/>
        <v>139</v>
      </c>
      <c r="AB216" s="11">
        <f t="shared" si="7"/>
        <v>62.921348314606739</v>
      </c>
    </row>
    <row r="217" spans="1:28" ht="49.5" customHeight="1" x14ac:dyDescent="0.25">
      <c r="A217" s="7">
        <v>215</v>
      </c>
      <c r="B217" s="8">
        <v>282</v>
      </c>
      <c r="C217" s="7">
        <v>50</v>
      </c>
      <c r="D217" s="7">
        <v>53</v>
      </c>
      <c r="E217" s="7">
        <v>3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388</v>
      </c>
      <c r="Q217" s="7">
        <v>0</v>
      </c>
      <c r="R217" s="7">
        <v>1</v>
      </c>
      <c r="S217" s="8">
        <v>389</v>
      </c>
      <c r="T217" s="7">
        <v>0</v>
      </c>
      <c r="U217" s="7">
        <v>215</v>
      </c>
      <c r="V217" s="8" t="s">
        <v>323</v>
      </c>
      <c r="W217" s="8" t="s">
        <v>327</v>
      </c>
      <c r="X217" s="4">
        <v>570</v>
      </c>
      <c r="Y217" s="3">
        <v>300</v>
      </c>
      <c r="Z217" s="3">
        <v>263</v>
      </c>
      <c r="AA217" s="3">
        <f t="shared" si="6"/>
        <v>229</v>
      </c>
      <c r="AB217" s="11">
        <f t="shared" si="7"/>
        <v>68.070175438596493</v>
      </c>
    </row>
    <row r="218" spans="1:28" ht="49.5" customHeight="1" x14ac:dyDescent="0.25">
      <c r="A218" s="7">
        <v>216</v>
      </c>
      <c r="B218" s="8">
        <v>512</v>
      </c>
      <c r="C218" s="7">
        <v>15</v>
      </c>
      <c r="D218" s="7">
        <v>53</v>
      </c>
      <c r="E218" s="7">
        <v>1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581</v>
      </c>
      <c r="Q218" s="7">
        <v>0</v>
      </c>
      <c r="R218" s="7">
        <v>1</v>
      </c>
      <c r="S218" s="8">
        <v>582</v>
      </c>
      <c r="T218" s="7">
        <v>0</v>
      </c>
      <c r="U218" s="7">
        <v>216</v>
      </c>
      <c r="V218" s="8" t="s">
        <v>323</v>
      </c>
      <c r="W218" s="8" t="s">
        <v>328</v>
      </c>
      <c r="X218" s="4">
        <v>738</v>
      </c>
      <c r="Y218" s="3">
        <v>387</v>
      </c>
      <c r="Z218" s="3">
        <v>344</v>
      </c>
      <c r="AA218" s="3">
        <f t="shared" si="6"/>
        <v>459</v>
      </c>
      <c r="AB218" s="11">
        <f t="shared" si="7"/>
        <v>78.726287262872631</v>
      </c>
    </row>
    <row r="219" spans="1:28" ht="49.5" customHeight="1" x14ac:dyDescent="0.25">
      <c r="A219" s="7">
        <v>217</v>
      </c>
      <c r="B219" s="8">
        <v>256</v>
      </c>
      <c r="C219" s="7">
        <v>185</v>
      </c>
      <c r="D219" s="7">
        <v>28</v>
      </c>
      <c r="E219" s="7">
        <v>1</v>
      </c>
      <c r="F219" s="7">
        <v>0</v>
      </c>
      <c r="G219" s="7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1</v>
      </c>
      <c r="P219" s="7">
        <v>472</v>
      </c>
      <c r="Q219" s="7">
        <v>0</v>
      </c>
      <c r="R219" s="7">
        <v>3</v>
      </c>
      <c r="S219" s="8">
        <v>475</v>
      </c>
      <c r="T219" s="7">
        <v>0</v>
      </c>
      <c r="U219" s="7">
        <v>217</v>
      </c>
      <c r="V219" s="8" t="s">
        <v>323</v>
      </c>
      <c r="W219" s="8" t="s">
        <v>329</v>
      </c>
      <c r="X219" s="4">
        <v>675</v>
      </c>
      <c r="Y219" s="3">
        <v>367</v>
      </c>
      <c r="Z219" s="3">
        <v>308</v>
      </c>
      <c r="AA219" s="3">
        <f t="shared" si="6"/>
        <v>228</v>
      </c>
      <c r="AB219" s="11">
        <f t="shared" si="7"/>
        <v>69.925925925925924</v>
      </c>
    </row>
    <row r="220" spans="1:28" ht="49.5" customHeight="1" x14ac:dyDescent="0.25">
      <c r="A220" s="7">
        <v>218</v>
      </c>
      <c r="B220" s="8">
        <v>406</v>
      </c>
      <c r="C220" s="7">
        <v>83</v>
      </c>
      <c r="D220" s="7">
        <v>56</v>
      </c>
      <c r="E220" s="7">
        <v>5</v>
      </c>
      <c r="F220" s="7">
        <v>0</v>
      </c>
      <c r="G220" s="7">
        <v>0</v>
      </c>
      <c r="H220" s="7">
        <v>0</v>
      </c>
      <c r="I220" s="7">
        <v>0</v>
      </c>
      <c r="J220" s="7">
        <v>2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552</v>
      </c>
      <c r="Q220" s="7">
        <v>0</v>
      </c>
      <c r="R220" s="7">
        <v>0</v>
      </c>
      <c r="S220" s="8">
        <v>552</v>
      </c>
      <c r="T220" s="7">
        <v>0</v>
      </c>
      <c r="U220" s="7">
        <v>218</v>
      </c>
      <c r="V220" s="8" t="s">
        <v>323</v>
      </c>
      <c r="W220" s="8" t="s">
        <v>330</v>
      </c>
      <c r="X220" s="4">
        <v>744</v>
      </c>
      <c r="Y220" s="3">
        <v>376</v>
      </c>
      <c r="Z220" s="3">
        <v>364</v>
      </c>
      <c r="AA220" s="3">
        <f t="shared" si="6"/>
        <v>350</v>
      </c>
      <c r="AB220" s="11">
        <f t="shared" si="7"/>
        <v>74.193548387096769</v>
      </c>
    </row>
    <row r="221" spans="1:28" ht="49.5" customHeight="1" x14ac:dyDescent="0.25">
      <c r="A221" s="7">
        <v>219</v>
      </c>
      <c r="B221" s="8">
        <v>507</v>
      </c>
      <c r="C221" s="7">
        <v>114</v>
      </c>
      <c r="D221" s="7">
        <v>50</v>
      </c>
      <c r="E221" s="7">
        <v>2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673</v>
      </c>
      <c r="Q221" s="7">
        <v>0</v>
      </c>
      <c r="R221" s="7">
        <v>3</v>
      </c>
      <c r="S221" s="8">
        <v>676</v>
      </c>
      <c r="T221" s="7">
        <v>0</v>
      </c>
      <c r="U221" s="7">
        <v>219</v>
      </c>
      <c r="V221" s="8" t="s">
        <v>323</v>
      </c>
      <c r="W221" s="8" t="s">
        <v>331</v>
      </c>
      <c r="X221" s="4">
        <v>879</v>
      </c>
      <c r="Y221" s="3">
        <v>483</v>
      </c>
      <c r="Z221" s="3">
        <v>396</v>
      </c>
      <c r="AA221" s="3">
        <f t="shared" si="6"/>
        <v>457</v>
      </c>
      <c r="AB221" s="11">
        <f t="shared" si="7"/>
        <v>76.564277588168366</v>
      </c>
    </row>
    <row r="222" spans="1:28" ht="49.5" customHeight="1" x14ac:dyDescent="0.25">
      <c r="A222" s="9">
        <v>220</v>
      </c>
      <c r="B222" s="10">
        <v>223</v>
      </c>
      <c r="C222" s="9">
        <v>80</v>
      </c>
      <c r="D222" s="9">
        <v>279</v>
      </c>
      <c r="E222" s="9">
        <v>5</v>
      </c>
      <c r="F222" s="9">
        <v>0</v>
      </c>
      <c r="G222" s="9">
        <v>1</v>
      </c>
      <c r="H222" s="9">
        <v>0</v>
      </c>
      <c r="I222" s="9">
        <v>0</v>
      </c>
      <c r="J222" s="9">
        <v>1</v>
      </c>
      <c r="K222" s="9">
        <v>0</v>
      </c>
      <c r="L222" s="9">
        <v>0</v>
      </c>
      <c r="M222" s="9">
        <v>1</v>
      </c>
      <c r="N222" s="9">
        <v>3</v>
      </c>
      <c r="O222" s="9">
        <v>0</v>
      </c>
      <c r="P222" s="9">
        <v>593</v>
      </c>
      <c r="Q222" s="9">
        <v>0</v>
      </c>
      <c r="R222" s="9">
        <v>2</v>
      </c>
      <c r="S222" s="10">
        <v>595</v>
      </c>
      <c r="T222" s="9">
        <v>0</v>
      </c>
      <c r="U222" s="9">
        <v>220</v>
      </c>
      <c r="V222" s="10" t="s">
        <v>323</v>
      </c>
      <c r="W222" s="10" t="s">
        <v>332</v>
      </c>
      <c r="X222" s="4">
        <v>818</v>
      </c>
      <c r="Y222" s="3">
        <v>449</v>
      </c>
      <c r="Z222" s="3">
        <v>363</v>
      </c>
      <c r="AA222" s="3">
        <f t="shared" si="6"/>
        <v>56</v>
      </c>
      <c r="AB222" s="11">
        <f t="shared" si="7"/>
        <v>72.493887530562347</v>
      </c>
    </row>
    <row r="223" spans="1:28" ht="49.5" customHeight="1" x14ac:dyDescent="0.25">
      <c r="A223" s="7">
        <v>221</v>
      </c>
      <c r="B223" s="8">
        <v>526</v>
      </c>
      <c r="C223" s="7">
        <v>111</v>
      </c>
      <c r="D223" s="7">
        <v>122</v>
      </c>
      <c r="E223" s="7">
        <v>4</v>
      </c>
      <c r="F223" s="7">
        <v>1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764</v>
      </c>
      <c r="Q223" s="7">
        <v>0</v>
      </c>
      <c r="R223" s="7">
        <v>0</v>
      </c>
      <c r="S223" s="8">
        <v>764</v>
      </c>
      <c r="T223" s="7">
        <v>0</v>
      </c>
      <c r="U223" s="7">
        <v>221</v>
      </c>
      <c r="V223" s="8" t="s">
        <v>323</v>
      </c>
      <c r="W223" s="8" t="s">
        <v>333</v>
      </c>
      <c r="X223" s="4">
        <v>964</v>
      </c>
      <c r="Y223" s="3">
        <v>501</v>
      </c>
      <c r="Z223" s="3">
        <v>460</v>
      </c>
      <c r="AA223" s="3">
        <f t="shared" si="6"/>
        <v>404</v>
      </c>
      <c r="AB223" s="11">
        <f t="shared" si="7"/>
        <v>79.253112033195023</v>
      </c>
    </row>
    <row r="224" spans="1:28" ht="49.5" customHeight="1" x14ac:dyDescent="0.25">
      <c r="A224" s="7">
        <v>222</v>
      </c>
      <c r="B224" s="8">
        <v>457</v>
      </c>
      <c r="C224" s="7">
        <v>172</v>
      </c>
      <c r="D224" s="7">
        <v>61</v>
      </c>
      <c r="E224" s="7">
        <v>5</v>
      </c>
      <c r="F224" s="7">
        <v>0</v>
      </c>
      <c r="G224" s="7">
        <v>1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696</v>
      </c>
      <c r="Q224" s="7">
        <v>0</v>
      </c>
      <c r="R224" s="7">
        <v>1</v>
      </c>
      <c r="S224" s="8">
        <v>697</v>
      </c>
      <c r="T224" s="7">
        <v>0</v>
      </c>
      <c r="U224" s="7">
        <v>222</v>
      </c>
      <c r="V224" s="8" t="s">
        <v>334</v>
      </c>
      <c r="W224" s="8" t="s">
        <v>335</v>
      </c>
      <c r="X224" s="4">
        <v>887</v>
      </c>
      <c r="Y224" s="3">
        <v>464</v>
      </c>
      <c r="Z224" s="3">
        <v>419</v>
      </c>
      <c r="AA224" s="3">
        <f t="shared" si="6"/>
        <v>396</v>
      </c>
      <c r="AB224" s="11">
        <f t="shared" si="7"/>
        <v>78.466741826381053</v>
      </c>
    </row>
    <row r="225" spans="1:28" ht="49.5" customHeight="1" x14ac:dyDescent="0.25">
      <c r="A225" s="7">
        <v>223</v>
      </c>
      <c r="B225" s="8">
        <v>473</v>
      </c>
      <c r="C225" s="7">
        <v>255</v>
      </c>
      <c r="D225" s="7">
        <v>180</v>
      </c>
      <c r="E225" s="7">
        <v>12</v>
      </c>
      <c r="F225" s="7">
        <v>0</v>
      </c>
      <c r="G225" s="7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1</v>
      </c>
      <c r="N225" s="7">
        <v>3</v>
      </c>
      <c r="O225" s="7">
        <v>2</v>
      </c>
      <c r="P225" s="7">
        <v>927</v>
      </c>
      <c r="Q225" s="7">
        <v>0</v>
      </c>
      <c r="R225" s="7">
        <v>3</v>
      </c>
      <c r="S225" s="8">
        <v>930</v>
      </c>
      <c r="T225" s="7">
        <v>0</v>
      </c>
      <c r="U225" s="7">
        <v>223</v>
      </c>
      <c r="V225" s="8" t="s">
        <v>334</v>
      </c>
      <c r="W225" s="8" t="s">
        <v>336</v>
      </c>
      <c r="X225" s="4">
        <v>1278</v>
      </c>
      <c r="Y225" s="3">
        <v>685</v>
      </c>
      <c r="Z225" s="3">
        <v>588</v>
      </c>
      <c r="AA225" s="3">
        <f t="shared" si="6"/>
        <v>293</v>
      </c>
      <c r="AB225" s="11">
        <f t="shared" si="7"/>
        <v>72.535211267605632</v>
      </c>
    </row>
    <row r="226" spans="1:28" ht="49.5" customHeight="1" x14ac:dyDescent="0.25">
      <c r="A226" s="7">
        <v>224</v>
      </c>
      <c r="B226" s="8">
        <v>415</v>
      </c>
      <c r="C226" s="7">
        <v>57</v>
      </c>
      <c r="D226" s="7">
        <v>22</v>
      </c>
      <c r="E226" s="7">
        <v>2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1</v>
      </c>
      <c r="O226" s="7">
        <v>0</v>
      </c>
      <c r="P226" s="7">
        <v>497</v>
      </c>
      <c r="Q226" s="7">
        <v>0</v>
      </c>
      <c r="R226" s="7">
        <v>2</v>
      </c>
      <c r="S226" s="8">
        <v>499</v>
      </c>
      <c r="T226" s="7">
        <v>0</v>
      </c>
      <c r="U226" s="7">
        <v>224</v>
      </c>
      <c r="V226" s="8" t="s">
        <v>337</v>
      </c>
      <c r="W226" s="8" t="s">
        <v>338</v>
      </c>
      <c r="X226" s="4">
        <v>655</v>
      </c>
      <c r="Y226" s="3">
        <v>349</v>
      </c>
      <c r="Z226" s="3">
        <v>306</v>
      </c>
      <c r="AA226" s="3">
        <f t="shared" si="6"/>
        <v>393</v>
      </c>
      <c r="AB226" s="11">
        <f t="shared" si="7"/>
        <v>75.877862595419842</v>
      </c>
    </row>
    <row r="227" spans="1:28" ht="49.5" customHeight="1" x14ac:dyDescent="0.25">
      <c r="A227" s="7">
        <v>225</v>
      </c>
      <c r="B227" s="8">
        <v>373</v>
      </c>
      <c r="C227" s="7">
        <v>55</v>
      </c>
      <c r="D227" s="7">
        <v>40</v>
      </c>
      <c r="E227" s="7">
        <v>1</v>
      </c>
      <c r="F227" s="7">
        <v>0</v>
      </c>
      <c r="G227" s="7">
        <v>0</v>
      </c>
      <c r="H227" s="7">
        <v>2</v>
      </c>
      <c r="I227" s="7">
        <v>0</v>
      </c>
      <c r="J227" s="7">
        <v>0</v>
      </c>
      <c r="K227" s="7">
        <v>0</v>
      </c>
      <c r="L227" s="7">
        <v>1</v>
      </c>
      <c r="M227" s="7">
        <v>0</v>
      </c>
      <c r="N227" s="7">
        <v>0</v>
      </c>
      <c r="O227" s="7">
        <v>2</v>
      </c>
      <c r="P227" s="7">
        <v>474</v>
      </c>
      <c r="Q227" s="7">
        <v>0</v>
      </c>
      <c r="R227" s="7">
        <v>2</v>
      </c>
      <c r="S227" s="8">
        <v>476</v>
      </c>
      <c r="T227" s="7">
        <v>0</v>
      </c>
      <c r="U227" s="7">
        <v>225</v>
      </c>
      <c r="V227" s="8" t="s">
        <v>337</v>
      </c>
      <c r="W227" s="8" t="s">
        <v>339</v>
      </c>
      <c r="X227" s="4">
        <v>659</v>
      </c>
      <c r="Y227" s="3">
        <v>346</v>
      </c>
      <c r="Z227" s="3">
        <v>308</v>
      </c>
      <c r="AA227" s="3">
        <f t="shared" si="6"/>
        <v>333</v>
      </c>
      <c r="AB227" s="11">
        <f t="shared" si="7"/>
        <v>71.927162367223062</v>
      </c>
    </row>
    <row r="228" spans="1:28" ht="49.5" customHeight="1" x14ac:dyDescent="0.25">
      <c r="A228" s="7">
        <v>226</v>
      </c>
      <c r="B228" s="8">
        <v>549</v>
      </c>
      <c r="C228" s="7">
        <v>126</v>
      </c>
      <c r="D228" s="7">
        <v>79</v>
      </c>
      <c r="E228" s="7">
        <v>2</v>
      </c>
      <c r="F228" s="7">
        <v>1</v>
      </c>
      <c r="G228" s="7">
        <v>0</v>
      </c>
      <c r="H228" s="7">
        <v>0</v>
      </c>
      <c r="I228" s="7">
        <v>0</v>
      </c>
      <c r="J228" s="7">
        <v>0</v>
      </c>
      <c r="K228" s="7">
        <v>2</v>
      </c>
      <c r="L228" s="7">
        <v>1</v>
      </c>
      <c r="M228" s="7">
        <v>0</v>
      </c>
      <c r="N228" s="7">
        <v>0</v>
      </c>
      <c r="O228" s="7">
        <v>1</v>
      </c>
      <c r="P228" s="7">
        <v>761</v>
      </c>
      <c r="Q228" s="7">
        <v>0</v>
      </c>
      <c r="R228" s="7">
        <v>3</v>
      </c>
      <c r="S228" s="8">
        <v>764</v>
      </c>
      <c r="T228" s="7">
        <v>0</v>
      </c>
      <c r="U228" s="7">
        <v>226</v>
      </c>
      <c r="V228" s="8" t="s">
        <v>337</v>
      </c>
      <c r="W228" s="8" t="s">
        <v>340</v>
      </c>
      <c r="X228" s="4">
        <v>1158</v>
      </c>
      <c r="Y228" s="3">
        <v>599</v>
      </c>
      <c r="Z228" s="3">
        <v>559</v>
      </c>
      <c r="AA228" s="3">
        <f t="shared" si="6"/>
        <v>470</v>
      </c>
      <c r="AB228" s="11">
        <f t="shared" si="7"/>
        <v>65.716753022452508</v>
      </c>
    </row>
    <row r="229" spans="1:28" ht="49.5" customHeight="1" x14ac:dyDescent="0.25">
      <c r="A229" s="7">
        <v>227</v>
      </c>
      <c r="B229" s="8">
        <v>796</v>
      </c>
      <c r="C229" s="7">
        <v>10</v>
      </c>
      <c r="D229" s="7">
        <v>30</v>
      </c>
      <c r="E229" s="7">
        <v>0</v>
      </c>
      <c r="F229" s="7">
        <v>0</v>
      </c>
      <c r="G229" s="7">
        <v>1</v>
      </c>
      <c r="H229" s="7">
        <v>0</v>
      </c>
      <c r="I229" s="7">
        <v>0</v>
      </c>
      <c r="J229" s="7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838</v>
      </c>
      <c r="Q229" s="7">
        <v>0</v>
      </c>
      <c r="R229" s="7" t="e">
        <f>#REF!-P229</f>
        <v>#REF!</v>
      </c>
      <c r="S229" s="8">
        <v>838</v>
      </c>
      <c r="T229" s="7">
        <v>0</v>
      </c>
      <c r="U229" s="7">
        <v>227</v>
      </c>
      <c r="V229" s="8" t="s">
        <v>341</v>
      </c>
      <c r="W229" s="8" t="s">
        <v>342</v>
      </c>
      <c r="X229" s="4">
        <v>1135</v>
      </c>
      <c r="Y229" s="3">
        <v>605</v>
      </c>
      <c r="Z229" s="3">
        <v>529</v>
      </c>
      <c r="AA229" s="3">
        <f t="shared" si="6"/>
        <v>766</v>
      </c>
      <c r="AB229" s="11">
        <f t="shared" si="7"/>
        <v>73.832599118942738</v>
      </c>
    </row>
    <row r="230" spans="1:28" ht="49.5" customHeight="1" x14ac:dyDescent="0.25">
      <c r="A230" s="7">
        <v>228</v>
      </c>
      <c r="B230" s="8">
        <v>278</v>
      </c>
      <c r="C230" s="7">
        <v>9</v>
      </c>
      <c r="D230" s="7">
        <v>157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444</v>
      </c>
      <c r="Q230" s="7">
        <v>0</v>
      </c>
      <c r="R230" s="7">
        <v>2</v>
      </c>
      <c r="S230" s="8">
        <v>449</v>
      </c>
      <c r="T230" s="7">
        <v>0</v>
      </c>
      <c r="U230" s="7">
        <v>228</v>
      </c>
      <c r="V230" s="8" t="s">
        <v>341</v>
      </c>
      <c r="W230" s="8" t="s">
        <v>343</v>
      </c>
      <c r="X230" s="4">
        <v>693</v>
      </c>
      <c r="Y230" s="3">
        <v>363</v>
      </c>
      <c r="Z230" s="3">
        <v>328</v>
      </c>
      <c r="AA230" s="3">
        <f t="shared" si="6"/>
        <v>121</v>
      </c>
      <c r="AB230" s="11">
        <f t="shared" si="7"/>
        <v>64.069264069264065</v>
      </c>
    </row>
    <row r="231" spans="1:28" ht="49.5" customHeight="1" x14ac:dyDescent="0.25">
      <c r="A231" s="7">
        <v>229</v>
      </c>
      <c r="B231" s="8">
        <v>233</v>
      </c>
      <c r="C231" s="7">
        <v>200</v>
      </c>
      <c r="D231" s="7">
        <v>86</v>
      </c>
      <c r="E231" s="7">
        <v>2</v>
      </c>
      <c r="F231" s="7">
        <v>2</v>
      </c>
      <c r="G231" s="7">
        <v>1</v>
      </c>
      <c r="H231" s="7">
        <v>0</v>
      </c>
      <c r="I231" s="7">
        <v>2</v>
      </c>
      <c r="J231" s="7">
        <v>0</v>
      </c>
      <c r="K231" s="7">
        <v>0</v>
      </c>
      <c r="L231" s="7">
        <v>1</v>
      </c>
      <c r="M231" s="7">
        <v>0</v>
      </c>
      <c r="N231" s="7">
        <v>0</v>
      </c>
      <c r="O231" s="7">
        <v>0</v>
      </c>
      <c r="P231" s="7">
        <v>527</v>
      </c>
      <c r="Q231" s="7">
        <v>0</v>
      </c>
      <c r="R231" s="7">
        <v>1</v>
      </c>
      <c r="S231" s="8">
        <v>528</v>
      </c>
      <c r="T231" s="7">
        <v>0</v>
      </c>
      <c r="U231" s="7">
        <v>229</v>
      </c>
      <c r="V231" s="8" t="s">
        <v>344</v>
      </c>
      <c r="W231" s="8" t="s">
        <v>345</v>
      </c>
      <c r="X231" s="4">
        <v>810</v>
      </c>
      <c r="Y231" s="3">
        <v>420</v>
      </c>
      <c r="Z231" s="3">
        <v>390</v>
      </c>
      <c r="AA231" s="3">
        <f t="shared" si="6"/>
        <v>147</v>
      </c>
      <c r="AB231" s="11">
        <f t="shared" si="7"/>
        <v>65.061728395061721</v>
      </c>
    </row>
    <row r="232" spans="1:28" ht="49.5" customHeight="1" x14ac:dyDescent="0.25">
      <c r="A232" s="7">
        <v>230</v>
      </c>
      <c r="B232" s="8">
        <v>258</v>
      </c>
      <c r="C232" s="7">
        <v>118</v>
      </c>
      <c r="D232" s="7">
        <v>30</v>
      </c>
      <c r="E232" s="7">
        <v>2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2</v>
      </c>
      <c r="O232" s="7">
        <v>2</v>
      </c>
      <c r="P232" s="7">
        <v>412</v>
      </c>
      <c r="Q232" s="7">
        <v>0</v>
      </c>
      <c r="R232" s="7">
        <v>1</v>
      </c>
      <c r="S232" s="8">
        <v>413</v>
      </c>
      <c r="T232" s="7">
        <v>0</v>
      </c>
      <c r="U232" s="7">
        <v>230</v>
      </c>
      <c r="V232" s="8" t="s">
        <v>344</v>
      </c>
      <c r="W232" s="8" t="s">
        <v>346</v>
      </c>
      <c r="X232" s="4">
        <v>643</v>
      </c>
      <c r="Y232" s="3">
        <v>354</v>
      </c>
      <c r="Z232" s="3">
        <v>288</v>
      </c>
      <c r="AA232" s="3">
        <f t="shared" si="6"/>
        <v>228</v>
      </c>
      <c r="AB232" s="11">
        <f t="shared" si="7"/>
        <v>64.074650077760495</v>
      </c>
    </row>
    <row r="233" spans="1:28" ht="49.5" customHeight="1" x14ac:dyDescent="0.25">
      <c r="A233" s="7">
        <v>231</v>
      </c>
      <c r="B233" s="8">
        <v>518</v>
      </c>
      <c r="C233" s="7">
        <v>7</v>
      </c>
      <c r="D233" s="7">
        <v>87</v>
      </c>
      <c r="E233" s="7">
        <v>29</v>
      </c>
      <c r="F233" s="7">
        <v>1</v>
      </c>
      <c r="G233" s="7">
        <v>1</v>
      </c>
      <c r="H233" s="7">
        <v>1</v>
      </c>
      <c r="I233" s="7">
        <v>0</v>
      </c>
      <c r="J233" s="7">
        <v>0</v>
      </c>
      <c r="K233" s="7">
        <v>2</v>
      </c>
      <c r="L233" s="7">
        <v>1</v>
      </c>
      <c r="M233" s="7">
        <v>0</v>
      </c>
      <c r="N233" s="7">
        <v>0</v>
      </c>
      <c r="O233" s="7">
        <v>0</v>
      </c>
      <c r="P233" s="7">
        <v>647</v>
      </c>
      <c r="Q233" s="7">
        <v>0</v>
      </c>
      <c r="R233" s="7">
        <v>4</v>
      </c>
      <c r="S233" s="8">
        <v>651</v>
      </c>
      <c r="T233" s="7">
        <v>0</v>
      </c>
      <c r="U233" s="7">
        <v>231</v>
      </c>
      <c r="V233" s="8" t="s">
        <v>344</v>
      </c>
      <c r="W233" s="8" t="s">
        <v>347</v>
      </c>
      <c r="X233" s="4">
        <v>877</v>
      </c>
      <c r="Y233" s="3">
        <v>476</v>
      </c>
      <c r="Z233" s="3">
        <v>398</v>
      </c>
      <c r="AA233" s="3">
        <f t="shared" si="6"/>
        <v>431</v>
      </c>
      <c r="AB233" s="11">
        <f t="shared" si="7"/>
        <v>73.774230330672751</v>
      </c>
    </row>
    <row r="234" spans="1:28" ht="49.5" customHeight="1" x14ac:dyDescent="0.25">
      <c r="A234" s="7">
        <v>232</v>
      </c>
      <c r="B234" s="8">
        <v>281</v>
      </c>
      <c r="C234" s="7">
        <v>23</v>
      </c>
      <c r="D234" s="7">
        <v>82</v>
      </c>
      <c r="E234" s="7">
        <v>4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390</v>
      </c>
      <c r="Q234" s="7">
        <v>0</v>
      </c>
      <c r="R234" s="7">
        <v>1</v>
      </c>
      <c r="S234" s="8">
        <v>391</v>
      </c>
      <c r="T234" s="7">
        <v>0</v>
      </c>
      <c r="U234" s="7">
        <v>232</v>
      </c>
      <c r="V234" s="8" t="s">
        <v>344</v>
      </c>
      <c r="W234" s="8" t="s">
        <v>348</v>
      </c>
      <c r="X234" s="4">
        <v>499</v>
      </c>
      <c r="Y234" s="3">
        <v>263</v>
      </c>
      <c r="Z234" s="3">
        <v>235</v>
      </c>
      <c r="AA234" s="3">
        <f t="shared" si="6"/>
        <v>199</v>
      </c>
      <c r="AB234" s="11">
        <f t="shared" si="7"/>
        <v>78.156312625250507</v>
      </c>
    </row>
    <row r="235" spans="1:28" ht="49.5" customHeight="1" x14ac:dyDescent="0.25">
      <c r="A235" s="7">
        <v>233</v>
      </c>
      <c r="B235" s="8">
        <v>558</v>
      </c>
      <c r="C235" s="7">
        <v>9</v>
      </c>
      <c r="D235" s="7">
        <v>112</v>
      </c>
      <c r="E235" s="7">
        <v>1</v>
      </c>
      <c r="F235" s="7">
        <v>0</v>
      </c>
      <c r="G235" s="7">
        <v>1</v>
      </c>
      <c r="H235" s="7">
        <v>2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683</v>
      </c>
      <c r="Q235" s="7">
        <v>0</v>
      </c>
      <c r="R235" s="7">
        <v>2</v>
      </c>
      <c r="S235" s="7">
        <v>685</v>
      </c>
      <c r="T235" s="7">
        <v>0</v>
      </c>
      <c r="U235" s="7">
        <v>233</v>
      </c>
      <c r="V235" s="8" t="s">
        <v>349</v>
      </c>
      <c r="W235" s="8" t="s">
        <v>350</v>
      </c>
      <c r="X235" s="4">
        <v>877</v>
      </c>
      <c r="Y235" s="3">
        <v>456</v>
      </c>
      <c r="Z235" s="3">
        <v>421</v>
      </c>
      <c r="AA235" s="3">
        <f t="shared" si="6"/>
        <v>446</v>
      </c>
      <c r="AB235" s="11">
        <f t="shared" si="7"/>
        <v>77.879133409350061</v>
      </c>
    </row>
    <row r="236" spans="1:28" ht="49.5" customHeight="1" x14ac:dyDescent="0.25">
      <c r="A236" s="7">
        <v>234</v>
      </c>
      <c r="B236" s="8">
        <v>516</v>
      </c>
      <c r="C236" s="7">
        <v>54</v>
      </c>
      <c r="D236" s="7">
        <v>87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2</v>
      </c>
      <c r="M236" s="7">
        <v>1</v>
      </c>
      <c r="N236" s="7">
        <v>0</v>
      </c>
      <c r="O236" s="7">
        <v>1</v>
      </c>
      <c r="P236" s="7">
        <v>661</v>
      </c>
      <c r="Q236" s="7">
        <v>0</v>
      </c>
      <c r="R236" s="7">
        <v>4</v>
      </c>
      <c r="S236" s="8">
        <v>665</v>
      </c>
      <c r="T236" s="7">
        <v>0</v>
      </c>
      <c r="U236" s="7">
        <v>234</v>
      </c>
      <c r="V236" s="8" t="s">
        <v>349</v>
      </c>
      <c r="W236" s="8" t="s">
        <v>351</v>
      </c>
      <c r="X236" s="4">
        <v>826</v>
      </c>
      <c r="Y236" s="3">
        <v>451</v>
      </c>
      <c r="Z236" s="3">
        <v>375</v>
      </c>
      <c r="AA236" s="3">
        <f t="shared" si="6"/>
        <v>429</v>
      </c>
      <c r="AB236" s="11">
        <f t="shared" si="7"/>
        <v>80.02421307506053</v>
      </c>
    </row>
    <row r="237" spans="1:28" ht="49.5" customHeight="1" x14ac:dyDescent="0.25">
      <c r="A237" s="7">
        <v>235</v>
      </c>
      <c r="B237" s="8">
        <v>265</v>
      </c>
      <c r="C237" s="7">
        <v>15</v>
      </c>
      <c r="D237" s="7">
        <v>121</v>
      </c>
      <c r="E237" s="7">
        <v>4</v>
      </c>
      <c r="F237" s="7">
        <v>0</v>
      </c>
      <c r="G237" s="7">
        <v>1</v>
      </c>
      <c r="H237" s="7">
        <v>0</v>
      </c>
      <c r="I237" s="7">
        <v>0</v>
      </c>
      <c r="J237" s="7">
        <v>0</v>
      </c>
      <c r="K237" s="7">
        <v>1</v>
      </c>
      <c r="L237" s="7">
        <v>0</v>
      </c>
      <c r="M237" s="7">
        <v>0</v>
      </c>
      <c r="N237" s="7">
        <v>0</v>
      </c>
      <c r="O237" s="7">
        <v>0</v>
      </c>
      <c r="P237" s="7">
        <v>407</v>
      </c>
      <c r="Q237" s="7">
        <v>0</v>
      </c>
      <c r="R237" s="7">
        <v>0</v>
      </c>
      <c r="S237" s="8">
        <v>407</v>
      </c>
      <c r="T237" s="7">
        <v>0</v>
      </c>
      <c r="U237" s="7">
        <v>235</v>
      </c>
      <c r="V237" s="8" t="s">
        <v>352</v>
      </c>
      <c r="W237" s="8" t="s">
        <v>353</v>
      </c>
      <c r="X237" s="4">
        <v>559</v>
      </c>
      <c r="Y237" s="3">
        <v>300</v>
      </c>
      <c r="Z237" s="3">
        <v>259</v>
      </c>
      <c r="AA237" s="3">
        <f t="shared" si="6"/>
        <v>144</v>
      </c>
      <c r="AB237" s="11">
        <f t="shared" si="7"/>
        <v>72.808586762075137</v>
      </c>
    </row>
    <row r="238" spans="1:28" ht="49.5" customHeight="1" x14ac:dyDescent="0.25">
      <c r="A238" s="7">
        <v>236</v>
      </c>
      <c r="B238" s="8">
        <v>575</v>
      </c>
      <c r="C238" s="7">
        <v>22</v>
      </c>
      <c r="D238" s="7">
        <v>137</v>
      </c>
      <c r="E238" s="7">
        <v>2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1</v>
      </c>
      <c r="L238" s="7">
        <v>0</v>
      </c>
      <c r="M238" s="7">
        <v>0</v>
      </c>
      <c r="N238" s="7">
        <v>1</v>
      </c>
      <c r="O238" s="7">
        <v>0</v>
      </c>
      <c r="P238" s="7">
        <v>738</v>
      </c>
      <c r="Q238" s="7">
        <v>0</v>
      </c>
      <c r="R238" s="7">
        <v>2</v>
      </c>
      <c r="S238" s="8">
        <v>740</v>
      </c>
      <c r="T238" s="7">
        <v>0</v>
      </c>
      <c r="U238" s="7">
        <v>236</v>
      </c>
      <c r="V238" s="8" t="s">
        <v>354</v>
      </c>
      <c r="W238" s="8" t="s">
        <v>355</v>
      </c>
      <c r="X238" s="4">
        <v>1182</v>
      </c>
      <c r="Y238" s="3">
        <v>634</v>
      </c>
      <c r="Z238" s="3">
        <v>548</v>
      </c>
      <c r="AA238" s="3">
        <f t="shared" si="6"/>
        <v>438</v>
      </c>
      <c r="AB238" s="11">
        <f t="shared" si="7"/>
        <v>62.43654822335025</v>
      </c>
    </row>
    <row r="239" spans="1:28" ht="49.5" customHeight="1" x14ac:dyDescent="0.25">
      <c r="A239" s="7">
        <v>237</v>
      </c>
      <c r="B239" s="8">
        <v>487</v>
      </c>
      <c r="C239" s="7">
        <v>254</v>
      </c>
      <c r="D239" s="7">
        <v>53</v>
      </c>
      <c r="E239" s="7">
        <v>3</v>
      </c>
      <c r="F239" s="7">
        <v>2</v>
      </c>
      <c r="G239" s="7">
        <v>0</v>
      </c>
      <c r="H239" s="7">
        <v>1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5</v>
      </c>
      <c r="P239" s="7">
        <v>805</v>
      </c>
      <c r="Q239" s="7">
        <v>0</v>
      </c>
      <c r="R239" s="7">
        <v>6</v>
      </c>
      <c r="S239" s="8">
        <v>811</v>
      </c>
      <c r="T239" s="7">
        <v>0</v>
      </c>
      <c r="U239" s="8" t="s">
        <v>394</v>
      </c>
      <c r="V239" s="8" t="s">
        <v>352</v>
      </c>
      <c r="W239" s="8" t="s">
        <v>356</v>
      </c>
      <c r="X239" s="4">
        <v>1261</v>
      </c>
      <c r="Y239" s="3">
        <v>681</v>
      </c>
      <c r="Z239" s="3">
        <v>580</v>
      </c>
      <c r="AA239" s="3">
        <f t="shared" si="6"/>
        <v>434</v>
      </c>
      <c r="AB239" s="11">
        <f t="shared" si="7"/>
        <v>63.838223632038058</v>
      </c>
    </row>
    <row r="240" spans="1:28" ht="49.5" customHeight="1" x14ac:dyDescent="0.25">
      <c r="A240" s="7">
        <v>238</v>
      </c>
      <c r="B240" s="8">
        <v>428</v>
      </c>
      <c r="C240" s="7">
        <v>122</v>
      </c>
      <c r="D240" s="7">
        <v>54</v>
      </c>
      <c r="E240" s="7">
        <v>1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1</v>
      </c>
      <c r="M240" s="7">
        <v>0</v>
      </c>
      <c r="N240" s="7">
        <v>1</v>
      </c>
      <c r="O240" s="7">
        <v>2</v>
      </c>
      <c r="P240" s="7">
        <v>609</v>
      </c>
      <c r="Q240" s="7">
        <v>0</v>
      </c>
      <c r="R240" s="7">
        <v>7</v>
      </c>
      <c r="S240" s="8">
        <v>616</v>
      </c>
      <c r="T240" s="7">
        <v>0</v>
      </c>
      <c r="U240" s="7">
        <v>238</v>
      </c>
      <c r="V240" s="8" t="s">
        <v>352</v>
      </c>
      <c r="W240" s="8" t="s">
        <v>357</v>
      </c>
      <c r="X240" s="4">
        <v>976</v>
      </c>
      <c r="Y240" s="3">
        <v>503</v>
      </c>
      <c r="Z240" s="3">
        <v>473</v>
      </c>
      <c r="AA240" s="3">
        <f t="shared" si="6"/>
        <v>374</v>
      </c>
      <c r="AB240" s="11">
        <f t="shared" si="7"/>
        <v>62.397540983606561</v>
      </c>
    </row>
    <row r="241" spans="1:28" ht="49.5" customHeight="1" x14ac:dyDescent="0.25">
      <c r="A241" s="7">
        <v>239</v>
      </c>
      <c r="B241" s="8">
        <v>425</v>
      </c>
      <c r="C241" s="7">
        <v>3</v>
      </c>
      <c r="D241" s="7">
        <v>15</v>
      </c>
      <c r="E241" s="7">
        <v>1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1</v>
      </c>
      <c r="P241" s="7">
        <v>445</v>
      </c>
      <c r="Q241" s="7">
        <v>0</v>
      </c>
      <c r="R241" s="7">
        <v>0</v>
      </c>
      <c r="S241" s="8">
        <v>445</v>
      </c>
      <c r="T241" s="7">
        <v>0</v>
      </c>
      <c r="U241" s="7">
        <v>239</v>
      </c>
      <c r="V241" s="8" t="s">
        <v>352</v>
      </c>
      <c r="W241" s="8" t="s">
        <v>358</v>
      </c>
      <c r="X241" s="4">
        <v>620</v>
      </c>
      <c r="Y241" s="3">
        <v>334</v>
      </c>
      <c r="Z241" s="3">
        <v>286</v>
      </c>
      <c r="AA241" s="3">
        <f t="shared" si="6"/>
        <v>410</v>
      </c>
      <c r="AB241" s="11">
        <f t="shared" si="7"/>
        <v>71.774193548387103</v>
      </c>
    </row>
    <row r="242" spans="1:28" ht="49.5" customHeight="1" x14ac:dyDescent="0.25">
      <c r="A242" s="7">
        <v>240</v>
      </c>
      <c r="B242" s="8">
        <v>669</v>
      </c>
      <c r="C242" s="7">
        <v>136</v>
      </c>
      <c r="D242" s="7">
        <v>51</v>
      </c>
      <c r="E242" s="7">
        <v>12</v>
      </c>
      <c r="F242" s="7">
        <v>0</v>
      </c>
      <c r="G242" s="7">
        <v>0</v>
      </c>
      <c r="H242" s="7">
        <v>0</v>
      </c>
      <c r="I242" s="7">
        <v>0</v>
      </c>
      <c r="J242" s="7">
        <v>1</v>
      </c>
      <c r="K242" s="7">
        <v>1</v>
      </c>
      <c r="L242" s="7">
        <v>1</v>
      </c>
      <c r="M242" s="7">
        <v>0</v>
      </c>
      <c r="N242" s="7">
        <v>0</v>
      </c>
      <c r="O242" s="7">
        <v>1</v>
      </c>
      <c r="P242" s="7">
        <v>872</v>
      </c>
      <c r="Q242" s="7">
        <v>0</v>
      </c>
      <c r="R242" s="7">
        <v>1</v>
      </c>
      <c r="S242" s="8">
        <v>873</v>
      </c>
      <c r="T242" s="7">
        <v>0</v>
      </c>
      <c r="U242" s="7">
        <v>240</v>
      </c>
      <c r="V242" s="8" t="s">
        <v>352</v>
      </c>
      <c r="W242" s="8" t="s">
        <v>359</v>
      </c>
      <c r="X242" s="4">
        <v>1036</v>
      </c>
      <c r="Y242" s="3">
        <v>555</v>
      </c>
      <c r="Z242" s="3">
        <v>477</v>
      </c>
      <c r="AA242" s="3">
        <f t="shared" si="6"/>
        <v>618</v>
      </c>
      <c r="AB242" s="11">
        <f t="shared" si="7"/>
        <v>84.16988416988417</v>
      </c>
    </row>
    <row r="243" spans="1:28" ht="49.5" customHeight="1" x14ac:dyDescent="0.25">
      <c r="A243" s="7">
        <v>241</v>
      </c>
      <c r="B243" s="8">
        <v>346</v>
      </c>
      <c r="C243" s="7">
        <v>263</v>
      </c>
      <c r="D243" s="7">
        <v>78</v>
      </c>
      <c r="E243" s="7">
        <v>2</v>
      </c>
      <c r="F243" s="7">
        <v>1</v>
      </c>
      <c r="G243" s="7">
        <v>1</v>
      </c>
      <c r="H243" s="7">
        <v>0</v>
      </c>
      <c r="I243" s="7">
        <v>1</v>
      </c>
      <c r="J243" s="7">
        <v>0</v>
      </c>
      <c r="K243" s="7">
        <v>1</v>
      </c>
      <c r="L243" s="7">
        <v>1</v>
      </c>
      <c r="M243" s="7">
        <v>1</v>
      </c>
      <c r="N243" s="7">
        <v>0</v>
      </c>
      <c r="O243" s="7">
        <v>6</v>
      </c>
      <c r="P243" s="7">
        <v>701</v>
      </c>
      <c r="Q243" s="7">
        <v>0</v>
      </c>
      <c r="R243" s="7">
        <v>0</v>
      </c>
      <c r="S243" s="8">
        <v>701</v>
      </c>
      <c r="T243" s="7">
        <v>0</v>
      </c>
      <c r="U243" s="7">
        <v>241</v>
      </c>
      <c r="V243" s="8" t="s">
        <v>360</v>
      </c>
      <c r="W243" s="8" t="s">
        <v>361</v>
      </c>
      <c r="X243" s="4">
        <v>1048</v>
      </c>
      <c r="Y243" s="3">
        <v>568</v>
      </c>
      <c r="Z243" s="3">
        <v>479</v>
      </c>
      <c r="AA243" s="3">
        <f t="shared" si="6"/>
        <v>268</v>
      </c>
      <c r="AB243" s="11">
        <f t="shared" si="7"/>
        <v>66.889312977099237</v>
      </c>
    </row>
    <row r="244" spans="1:28" ht="49.5" customHeight="1" x14ac:dyDescent="0.25">
      <c r="A244" s="7">
        <v>242</v>
      </c>
      <c r="B244" s="8">
        <v>558</v>
      </c>
      <c r="C244" s="7">
        <v>51</v>
      </c>
      <c r="D244" s="7">
        <v>194</v>
      </c>
      <c r="E244" s="7">
        <v>2</v>
      </c>
      <c r="F244" s="7">
        <v>2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2</v>
      </c>
      <c r="N244" s="7">
        <v>1</v>
      </c>
      <c r="O244" s="7">
        <v>1</v>
      </c>
      <c r="P244" s="7">
        <v>811</v>
      </c>
      <c r="Q244" s="7">
        <v>0</v>
      </c>
      <c r="R244" s="7">
        <v>1</v>
      </c>
      <c r="S244" s="8">
        <v>812</v>
      </c>
      <c r="T244" s="7">
        <v>0</v>
      </c>
      <c r="U244" s="7">
        <v>242</v>
      </c>
      <c r="V244" s="8" t="s">
        <v>362</v>
      </c>
      <c r="W244" s="8" t="s">
        <v>363</v>
      </c>
      <c r="X244" s="4">
        <v>1116</v>
      </c>
      <c r="Y244" s="3">
        <v>598</v>
      </c>
      <c r="Z244" s="3">
        <v>513</v>
      </c>
      <c r="AA244" s="3">
        <f t="shared" si="6"/>
        <v>364</v>
      </c>
      <c r="AB244" s="11">
        <f t="shared" si="7"/>
        <v>72.67025089605734</v>
      </c>
    </row>
    <row r="245" spans="1:28" ht="49.5" customHeight="1" x14ac:dyDescent="0.25">
      <c r="A245" s="7">
        <v>243</v>
      </c>
      <c r="B245" s="8">
        <v>279</v>
      </c>
      <c r="C245" s="7">
        <v>1</v>
      </c>
      <c r="D245" s="7">
        <v>41</v>
      </c>
      <c r="E245" s="7">
        <v>1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322</v>
      </c>
      <c r="Q245" s="7">
        <v>0</v>
      </c>
      <c r="R245" s="7">
        <v>3</v>
      </c>
      <c r="S245" s="8">
        <v>325</v>
      </c>
      <c r="T245" s="7">
        <v>0</v>
      </c>
      <c r="U245" s="8" t="s">
        <v>395</v>
      </c>
      <c r="V245" s="8" t="s">
        <v>362</v>
      </c>
      <c r="W245" s="8" t="s">
        <v>364</v>
      </c>
      <c r="X245" s="4">
        <v>391</v>
      </c>
      <c r="Y245" s="3">
        <v>197</v>
      </c>
      <c r="Z245" s="3">
        <v>194</v>
      </c>
      <c r="AA245" s="3">
        <f t="shared" si="6"/>
        <v>238</v>
      </c>
      <c r="AB245" s="11">
        <f t="shared" si="7"/>
        <v>82.35294117647058</v>
      </c>
    </row>
    <row r="246" spans="1:28" ht="49.5" customHeight="1" x14ac:dyDescent="0.25">
      <c r="A246" s="7">
        <v>244</v>
      </c>
      <c r="B246" s="8">
        <v>285</v>
      </c>
      <c r="C246" s="7">
        <v>10</v>
      </c>
      <c r="D246" s="7">
        <v>114</v>
      </c>
      <c r="E246" s="7">
        <v>3</v>
      </c>
      <c r="F246" s="7">
        <v>0</v>
      </c>
      <c r="G246" s="7">
        <v>0</v>
      </c>
      <c r="H246" s="7">
        <v>0</v>
      </c>
      <c r="I246" s="7">
        <v>0</v>
      </c>
      <c r="J246" s="7">
        <v>2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414</v>
      </c>
      <c r="Q246" s="7">
        <v>0</v>
      </c>
      <c r="R246" s="7">
        <v>0</v>
      </c>
      <c r="S246" s="8">
        <v>414</v>
      </c>
      <c r="T246" s="7">
        <v>0</v>
      </c>
      <c r="U246" s="7">
        <v>244</v>
      </c>
      <c r="V246" s="8" t="s">
        <v>362</v>
      </c>
      <c r="W246" s="8" t="s">
        <v>365</v>
      </c>
      <c r="X246" s="4">
        <v>678</v>
      </c>
      <c r="Y246" s="3">
        <v>367</v>
      </c>
      <c r="Z246" s="3">
        <v>311</v>
      </c>
      <c r="AA246" s="3">
        <f t="shared" si="6"/>
        <v>171</v>
      </c>
      <c r="AB246" s="11">
        <f t="shared" si="7"/>
        <v>61.06194690265486</v>
      </c>
    </row>
    <row r="247" spans="1:28" ht="49.5" customHeight="1" x14ac:dyDescent="0.25">
      <c r="A247" s="7">
        <v>245</v>
      </c>
      <c r="B247" s="8">
        <v>116</v>
      </c>
      <c r="C247" s="7">
        <v>254</v>
      </c>
      <c r="D247" s="7">
        <v>27</v>
      </c>
      <c r="E247" s="7">
        <v>1</v>
      </c>
      <c r="F247" s="7">
        <v>0</v>
      </c>
      <c r="G247" s="7">
        <v>1</v>
      </c>
      <c r="H247" s="7">
        <v>0</v>
      </c>
      <c r="I247" s="7">
        <v>0</v>
      </c>
      <c r="J247" s="7">
        <v>0</v>
      </c>
      <c r="K247" s="7">
        <v>0</v>
      </c>
      <c r="L247" s="7">
        <v>1</v>
      </c>
      <c r="M247" s="7">
        <v>0</v>
      </c>
      <c r="N247" s="7">
        <v>0</v>
      </c>
      <c r="O247" s="7">
        <v>1</v>
      </c>
      <c r="P247" s="7">
        <v>401</v>
      </c>
      <c r="Q247" s="7">
        <v>0</v>
      </c>
      <c r="R247" s="7">
        <v>6</v>
      </c>
      <c r="S247" s="8">
        <v>407</v>
      </c>
      <c r="T247" s="7">
        <v>0</v>
      </c>
      <c r="U247" s="7">
        <v>245</v>
      </c>
      <c r="V247" s="8" t="s">
        <v>362</v>
      </c>
      <c r="W247" s="8" t="s">
        <v>366</v>
      </c>
      <c r="X247" s="4">
        <v>675</v>
      </c>
      <c r="Y247" s="3">
        <v>364</v>
      </c>
      <c r="Z247" s="3">
        <v>303</v>
      </c>
      <c r="AA247" s="3">
        <f t="shared" si="6"/>
        <v>89</v>
      </c>
      <c r="AB247" s="11">
        <f t="shared" si="7"/>
        <v>59.407407407407412</v>
      </c>
    </row>
    <row r="248" spans="1:28" ht="49.5" customHeight="1" x14ac:dyDescent="0.25">
      <c r="A248" s="7">
        <v>246</v>
      </c>
      <c r="B248" s="8">
        <v>116</v>
      </c>
      <c r="C248" s="7">
        <v>397</v>
      </c>
      <c r="D248" s="7">
        <v>74</v>
      </c>
      <c r="E248" s="7">
        <v>6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3</v>
      </c>
      <c r="L248" s="7">
        <v>0</v>
      </c>
      <c r="M248" s="7">
        <v>0</v>
      </c>
      <c r="N248" s="7">
        <v>0</v>
      </c>
      <c r="O248" s="7">
        <v>3</v>
      </c>
      <c r="P248" s="7">
        <v>599</v>
      </c>
      <c r="Q248" s="7">
        <v>0</v>
      </c>
      <c r="R248" s="7">
        <v>1</v>
      </c>
      <c r="S248" s="8">
        <v>600</v>
      </c>
      <c r="T248" s="7">
        <v>0</v>
      </c>
      <c r="U248" s="7">
        <v>246</v>
      </c>
      <c r="V248" s="8" t="s">
        <v>367</v>
      </c>
      <c r="W248" s="8" t="s">
        <v>368</v>
      </c>
      <c r="X248" s="4">
        <v>943</v>
      </c>
      <c r="Y248" s="3">
        <v>516</v>
      </c>
      <c r="Z248" s="3">
        <v>426</v>
      </c>
      <c r="AA248" s="3">
        <f t="shared" si="6"/>
        <v>42</v>
      </c>
      <c r="AB248" s="11">
        <f t="shared" si="7"/>
        <v>63.520678685047713</v>
      </c>
    </row>
    <row r="249" spans="1:28" ht="49.5" customHeight="1" x14ac:dyDescent="0.25">
      <c r="A249" s="9">
        <v>247</v>
      </c>
      <c r="B249" s="10">
        <v>135</v>
      </c>
      <c r="C249" s="9">
        <v>316</v>
      </c>
      <c r="D249" s="9">
        <v>188</v>
      </c>
      <c r="E249" s="9">
        <v>1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1</v>
      </c>
      <c r="O249" s="9">
        <v>1</v>
      </c>
      <c r="P249" s="9">
        <v>642</v>
      </c>
      <c r="Q249" s="9">
        <v>0</v>
      </c>
      <c r="R249" s="9">
        <v>4</v>
      </c>
      <c r="S249" s="10">
        <v>646</v>
      </c>
      <c r="T249" s="9">
        <v>0</v>
      </c>
      <c r="U249" s="9">
        <v>247</v>
      </c>
      <c r="V249" s="10" t="s">
        <v>367</v>
      </c>
      <c r="W249" s="10" t="s">
        <v>369</v>
      </c>
      <c r="X249" s="4">
        <v>1045</v>
      </c>
      <c r="Y249" s="3">
        <v>545</v>
      </c>
      <c r="Z249" s="3">
        <v>493</v>
      </c>
      <c r="AA249" s="3">
        <f t="shared" si="6"/>
        <v>53</v>
      </c>
      <c r="AB249" s="11">
        <f t="shared" si="7"/>
        <v>61.435406698564599</v>
      </c>
    </row>
    <row r="250" spans="1:28" ht="49.5" customHeight="1" x14ac:dyDescent="0.25">
      <c r="A250" s="7">
        <v>248</v>
      </c>
      <c r="B250" s="8">
        <v>245</v>
      </c>
      <c r="C250" s="7">
        <v>357</v>
      </c>
      <c r="D250" s="7">
        <v>137</v>
      </c>
      <c r="E250" s="7">
        <v>5</v>
      </c>
      <c r="F250" s="7">
        <v>1</v>
      </c>
      <c r="G250" s="7">
        <v>0</v>
      </c>
      <c r="H250" s="7">
        <v>0</v>
      </c>
      <c r="I250" s="7">
        <v>0</v>
      </c>
      <c r="J250" s="7">
        <v>1</v>
      </c>
      <c r="K250" s="7">
        <v>1</v>
      </c>
      <c r="L250" s="7">
        <v>2</v>
      </c>
      <c r="M250" s="7">
        <v>1</v>
      </c>
      <c r="N250" s="7">
        <v>2</v>
      </c>
      <c r="O250" s="7">
        <v>0</v>
      </c>
      <c r="P250" s="7">
        <v>752</v>
      </c>
      <c r="Q250" s="7">
        <v>0</v>
      </c>
      <c r="R250" s="7">
        <v>1</v>
      </c>
      <c r="S250" s="8">
        <v>753</v>
      </c>
      <c r="T250" s="7">
        <v>0</v>
      </c>
      <c r="U250" s="7">
        <v>248</v>
      </c>
      <c r="V250" s="8" t="s">
        <v>367</v>
      </c>
      <c r="W250" s="8" t="s">
        <v>370</v>
      </c>
      <c r="X250" s="4">
        <v>1100</v>
      </c>
      <c r="Y250" s="3">
        <v>592</v>
      </c>
      <c r="Z250" s="3">
        <v>500</v>
      </c>
      <c r="AA250" s="3">
        <f t="shared" si="6"/>
        <v>108</v>
      </c>
      <c r="AB250" s="11">
        <f t="shared" si="7"/>
        <v>68.36363636363636</v>
      </c>
    </row>
    <row r="251" spans="1:28" ht="49.5" customHeight="1" x14ac:dyDescent="0.25">
      <c r="A251" s="7">
        <v>249</v>
      </c>
      <c r="B251" s="8">
        <v>620</v>
      </c>
      <c r="C251" s="7">
        <v>6</v>
      </c>
      <c r="D251" s="7">
        <v>62</v>
      </c>
      <c r="E251" s="7">
        <v>5</v>
      </c>
      <c r="F251" s="7">
        <v>0</v>
      </c>
      <c r="G251" s="7">
        <v>3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2</v>
      </c>
      <c r="P251" s="7">
        <v>698</v>
      </c>
      <c r="Q251" s="7">
        <v>0</v>
      </c>
      <c r="R251" s="7">
        <v>2</v>
      </c>
      <c r="S251" s="8">
        <v>700</v>
      </c>
      <c r="T251" s="7">
        <v>0</v>
      </c>
      <c r="U251" s="7">
        <v>249</v>
      </c>
      <c r="V251" s="8" t="s">
        <v>371</v>
      </c>
      <c r="W251" s="8" t="s">
        <v>372</v>
      </c>
      <c r="X251" s="4">
        <v>851</v>
      </c>
      <c r="Y251" s="3">
        <v>456</v>
      </c>
      <c r="Z251" s="3">
        <v>394</v>
      </c>
      <c r="AA251" s="3">
        <f t="shared" si="6"/>
        <v>558</v>
      </c>
      <c r="AB251" s="11">
        <f t="shared" si="7"/>
        <v>82.021151586368973</v>
      </c>
    </row>
    <row r="252" spans="1:28" ht="49.5" customHeight="1" x14ac:dyDescent="0.25">
      <c r="A252" s="7">
        <v>250</v>
      </c>
      <c r="B252" s="8">
        <v>564</v>
      </c>
      <c r="C252" s="7">
        <v>4</v>
      </c>
      <c r="D252" s="7">
        <v>29</v>
      </c>
      <c r="E252" s="7">
        <v>9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1</v>
      </c>
      <c r="M252" s="7">
        <v>0</v>
      </c>
      <c r="N252" s="7">
        <v>0</v>
      </c>
      <c r="O252" s="7">
        <v>0</v>
      </c>
      <c r="P252" s="7">
        <v>607</v>
      </c>
      <c r="Q252" s="7">
        <v>0</v>
      </c>
      <c r="R252" s="7">
        <v>2</v>
      </c>
      <c r="S252" s="8">
        <v>609</v>
      </c>
      <c r="T252" s="7">
        <v>0</v>
      </c>
      <c r="U252" s="7">
        <v>250</v>
      </c>
      <c r="V252" s="8" t="s">
        <v>371</v>
      </c>
      <c r="W252" s="8" t="s">
        <v>373</v>
      </c>
      <c r="X252" s="4">
        <v>711</v>
      </c>
      <c r="Y252" s="3">
        <v>372</v>
      </c>
      <c r="Z252" s="3">
        <v>335</v>
      </c>
      <c r="AA252" s="3">
        <f t="shared" si="6"/>
        <v>535</v>
      </c>
      <c r="AB252" s="11">
        <f t="shared" si="7"/>
        <v>85.372714486638529</v>
      </c>
    </row>
    <row r="253" spans="1:28" ht="49.5" customHeight="1" x14ac:dyDescent="0.25">
      <c r="A253" s="7">
        <v>251</v>
      </c>
      <c r="B253" s="8">
        <v>561</v>
      </c>
      <c r="C253" s="7">
        <v>326</v>
      </c>
      <c r="D253" s="7">
        <v>77</v>
      </c>
      <c r="E253" s="7">
        <v>3</v>
      </c>
      <c r="F253" s="7">
        <v>0</v>
      </c>
      <c r="G253" s="7">
        <v>1</v>
      </c>
      <c r="H253" s="7">
        <v>0</v>
      </c>
      <c r="I253" s="7">
        <v>0</v>
      </c>
      <c r="J253" s="7">
        <v>1</v>
      </c>
      <c r="K253" s="7">
        <v>1</v>
      </c>
      <c r="L253" s="7">
        <v>3</v>
      </c>
      <c r="M253" s="7">
        <v>1</v>
      </c>
      <c r="N253" s="7">
        <v>2</v>
      </c>
      <c r="O253" s="7">
        <v>7</v>
      </c>
      <c r="P253" s="7">
        <v>983</v>
      </c>
      <c r="Q253" s="7">
        <v>0</v>
      </c>
      <c r="R253" s="7">
        <v>3</v>
      </c>
      <c r="S253" s="8">
        <v>986</v>
      </c>
      <c r="T253" s="7">
        <v>0</v>
      </c>
      <c r="U253" s="7">
        <v>251</v>
      </c>
      <c r="V253" s="8" t="s">
        <v>374</v>
      </c>
      <c r="W253" s="8" t="s">
        <v>375</v>
      </c>
      <c r="X253" s="4">
        <v>1340</v>
      </c>
      <c r="Y253" s="3">
        <v>723</v>
      </c>
      <c r="Z253" s="3">
        <v>616</v>
      </c>
      <c r="AA253" s="3">
        <f t="shared" si="6"/>
        <v>484</v>
      </c>
      <c r="AB253" s="11">
        <f t="shared" si="7"/>
        <v>73.358208955223887</v>
      </c>
    </row>
    <row r="254" spans="1:28" ht="49.5" customHeight="1" x14ac:dyDescent="0.25">
      <c r="A254" s="7">
        <v>252</v>
      </c>
      <c r="B254" s="8">
        <v>383</v>
      </c>
      <c r="C254" s="7">
        <v>157</v>
      </c>
      <c r="D254" s="7">
        <v>14</v>
      </c>
      <c r="E254" s="7">
        <v>3</v>
      </c>
      <c r="F254" s="7">
        <v>0</v>
      </c>
      <c r="G254" s="7">
        <v>0</v>
      </c>
      <c r="H254" s="7">
        <v>1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1</v>
      </c>
      <c r="O254" s="7">
        <v>7</v>
      </c>
      <c r="P254" s="7">
        <v>566</v>
      </c>
      <c r="Q254" s="7">
        <v>0</v>
      </c>
      <c r="R254" s="7">
        <v>8</v>
      </c>
      <c r="S254" s="8">
        <v>574</v>
      </c>
      <c r="T254" s="7">
        <v>0</v>
      </c>
      <c r="U254" s="8">
        <v>252</v>
      </c>
      <c r="V254" s="8" t="s">
        <v>374</v>
      </c>
      <c r="W254" s="8" t="s">
        <v>376</v>
      </c>
      <c r="X254" s="4">
        <v>906</v>
      </c>
      <c r="Y254" s="3">
        <v>494</v>
      </c>
      <c r="Z254" s="3">
        <v>412</v>
      </c>
      <c r="AA254" s="3">
        <f t="shared" si="6"/>
        <v>369</v>
      </c>
      <c r="AB254" s="11">
        <f t="shared" si="7"/>
        <v>62.472406181015451</v>
      </c>
    </row>
    <row r="255" spans="1:28" ht="49.5" customHeight="1" x14ac:dyDescent="0.25">
      <c r="A255" s="7">
        <v>253</v>
      </c>
      <c r="B255" s="8">
        <v>430</v>
      </c>
      <c r="C255" s="7">
        <v>40</v>
      </c>
      <c r="D255" s="7">
        <v>69</v>
      </c>
      <c r="E255" s="7">
        <v>2</v>
      </c>
      <c r="F255" s="7">
        <v>0</v>
      </c>
      <c r="G255" s="7">
        <v>0</v>
      </c>
      <c r="H255" s="7">
        <v>0</v>
      </c>
      <c r="I255" s="7">
        <v>1</v>
      </c>
      <c r="J255" s="7">
        <v>0</v>
      </c>
      <c r="K255" s="7">
        <v>0</v>
      </c>
      <c r="L255" s="7">
        <v>0</v>
      </c>
      <c r="M255" s="7">
        <v>1</v>
      </c>
      <c r="N255" s="7">
        <v>0</v>
      </c>
      <c r="O255" s="7">
        <v>1</v>
      </c>
      <c r="P255" s="7">
        <v>544</v>
      </c>
      <c r="Q255" s="7">
        <v>0</v>
      </c>
      <c r="R255" s="7">
        <v>0</v>
      </c>
      <c r="S255" s="8">
        <v>544</v>
      </c>
      <c r="T255" s="7">
        <v>0</v>
      </c>
      <c r="U255" s="7">
        <v>253</v>
      </c>
      <c r="V255" s="8" t="s">
        <v>377</v>
      </c>
      <c r="W255" s="8" t="s">
        <v>378</v>
      </c>
      <c r="X255" s="4">
        <v>852</v>
      </c>
      <c r="Y255" s="3">
        <v>454</v>
      </c>
      <c r="Z255" s="3">
        <v>398</v>
      </c>
      <c r="AA255" s="3">
        <f t="shared" si="6"/>
        <v>361</v>
      </c>
      <c r="AB255" s="11">
        <f t="shared" si="7"/>
        <v>63.84976525821596</v>
      </c>
    </row>
    <row r="256" spans="1:28" ht="49.5" customHeight="1" x14ac:dyDescent="0.25">
      <c r="A256" s="7">
        <v>254</v>
      </c>
      <c r="B256" s="8">
        <v>592</v>
      </c>
      <c r="C256" s="7">
        <v>49</v>
      </c>
      <c r="D256" s="7">
        <v>67</v>
      </c>
      <c r="E256" s="7">
        <v>1</v>
      </c>
      <c r="F256" s="7">
        <v>0</v>
      </c>
      <c r="G256" s="7">
        <v>0</v>
      </c>
      <c r="H256" s="7">
        <v>0</v>
      </c>
      <c r="I256" s="7">
        <v>0</v>
      </c>
      <c r="J256" s="7">
        <v>1</v>
      </c>
      <c r="K256" s="7">
        <v>0</v>
      </c>
      <c r="L256" s="7">
        <v>0</v>
      </c>
      <c r="M256" s="7">
        <v>1</v>
      </c>
      <c r="N256" s="7">
        <v>0</v>
      </c>
      <c r="O256" s="7">
        <v>0</v>
      </c>
      <c r="P256" s="7">
        <v>711</v>
      </c>
      <c r="Q256" s="7">
        <v>0</v>
      </c>
      <c r="R256" s="7">
        <v>4</v>
      </c>
      <c r="S256" s="8">
        <v>715</v>
      </c>
      <c r="T256" s="7">
        <v>0</v>
      </c>
      <c r="U256" s="7">
        <v>254</v>
      </c>
      <c r="V256" s="8" t="s">
        <v>379</v>
      </c>
      <c r="W256" s="8" t="s">
        <v>380</v>
      </c>
      <c r="X256" s="4">
        <v>1154</v>
      </c>
      <c r="Y256" s="3">
        <v>628</v>
      </c>
      <c r="Z256" s="3">
        <v>524</v>
      </c>
      <c r="AA256" s="3">
        <f t="shared" si="6"/>
        <v>525</v>
      </c>
      <c r="AB256" s="11">
        <f t="shared" si="7"/>
        <v>61.611785095320627</v>
      </c>
    </row>
    <row r="257" spans="1:28" ht="49.5" customHeight="1" x14ac:dyDescent="0.25">
      <c r="A257" s="7">
        <v>255</v>
      </c>
      <c r="B257" s="8">
        <v>294</v>
      </c>
      <c r="C257" s="7">
        <v>128</v>
      </c>
      <c r="D257" s="7">
        <v>111</v>
      </c>
      <c r="E257" s="7">
        <v>6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2</v>
      </c>
      <c r="O257" s="7">
        <v>1</v>
      </c>
      <c r="P257" s="7">
        <v>542</v>
      </c>
      <c r="Q257" s="7">
        <v>0</v>
      </c>
      <c r="R257" s="7">
        <v>1</v>
      </c>
      <c r="S257" s="8">
        <v>543</v>
      </c>
      <c r="T257" s="7">
        <v>0</v>
      </c>
      <c r="U257" s="7">
        <v>255</v>
      </c>
      <c r="V257" s="7" t="s">
        <v>381</v>
      </c>
      <c r="W257" s="8" t="s">
        <v>382</v>
      </c>
      <c r="X257" s="4">
        <v>886</v>
      </c>
      <c r="Y257" s="3">
        <v>482</v>
      </c>
      <c r="Z257" s="3">
        <v>404</v>
      </c>
      <c r="AA257" s="3">
        <f t="shared" si="6"/>
        <v>183</v>
      </c>
      <c r="AB257" s="11">
        <f t="shared" si="7"/>
        <v>61.173814898419863</v>
      </c>
    </row>
    <row r="258" spans="1:28" ht="49.5" customHeight="1" x14ac:dyDescent="0.25">
      <c r="A258" s="7">
        <v>256</v>
      </c>
      <c r="B258" s="8">
        <v>279</v>
      </c>
      <c r="C258" s="7">
        <v>2</v>
      </c>
      <c r="D258" s="7">
        <v>105</v>
      </c>
      <c r="E258" s="7">
        <v>20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2</v>
      </c>
      <c r="N258" s="7">
        <v>0</v>
      </c>
      <c r="O258" s="7">
        <v>0</v>
      </c>
      <c r="P258" s="7">
        <v>408</v>
      </c>
      <c r="Q258" s="7">
        <v>0</v>
      </c>
      <c r="R258" s="7">
        <v>0</v>
      </c>
      <c r="S258" s="8">
        <v>408</v>
      </c>
      <c r="T258" s="7">
        <v>0</v>
      </c>
      <c r="U258" s="7">
        <v>256</v>
      </c>
      <c r="V258" s="7" t="s">
        <v>381</v>
      </c>
      <c r="W258" s="8" t="s">
        <v>383</v>
      </c>
      <c r="X258" s="4">
        <v>767</v>
      </c>
      <c r="Y258" s="3">
        <v>403</v>
      </c>
      <c r="Z258" s="3">
        <v>364</v>
      </c>
      <c r="AA258" s="3">
        <f t="shared" si="6"/>
        <v>174</v>
      </c>
      <c r="AB258" s="11">
        <f t="shared" si="7"/>
        <v>53.194263363754892</v>
      </c>
    </row>
    <row r="259" spans="1:28" ht="49.5" customHeight="1" x14ac:dyDescent="0.25">
      <c r="A259" s="9">
        <v>257</v>
      </c>
      <c r="B259" s="10">
        <v>182</v>
      </c>
      <c r="C259" s="9">
        <v>83</v>
      </c>
      <c r="D259" s="9">
        <v>280</v>
      </c>
      <c r="E259" s="9">
        <v>33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1</v>
      </c>
      <c r="O259" s="9">
        <v>3</v>
      </c>
      <c r="P259" s="9">
        <v>582</v>
      </c>
      <c r="Q259" s="9">
        <v>0</v>
      </c>
      <c r="R259" s="9">
        <v>3</v>
      </c>
      <c r="S259" s="10">
        <v>585</v>
      </c>
      <c r="T259" s="9">
        <v>0</v>
      </c>
      <c r="U259" s="9">
        <v>257</v>
      </c>
      <c r="V259" s="10" t="s">
        <v>384</v>
      </c>
      <c r="W259" s="10" t="s">
        <v>385</v>
      </c>
      <c r="X259" s="4">
        <v>1184</v>
      </c>
      <c r="Y259" s="3">
        <v>650</v>
      </c>
      <c r="Z259" s="3">
        <v>534</v>
      </c>
      <c r="AA259" s="3">
        <f t="shared" si="6"/>
        <v>98</v>
      </c>
      <c r="AB259" s="11">
        <f t="shared" si="7"/>
        <v>49.155405405405403</v>
      </c>
    </row>
    <row r="260" spans="1:28" ht="49.5" customHeight="1" x14ac:dyDescent="0.25">
      <c r="A260" s="9">
        <v>258</v>
      </c>
      <c r="B260" s="10">
        <v>109</v>
      </c>
      <c r="C260" s="9">
        <v>180</v>
      </c>
      <c r="D260" s="9">
        <v>202</v>
      </c>
      <c r="E260" s="9">
        <v>48</v>
      </c>
      <c r="F260" s="9">
        <v>1</v>
      </c>
      <c r="G260" s="9">
        <v>3</v>
      </c>
      <c r="H260" s="9">
        <v>0</v>
      </c>
      <c r="I260" s="9">
        <v>0</v>
      </c>
      <c r="J260" s="9">
        <v>0</v>
      </c>
      <c r="K260" s="9">
        <v>1</v>
      </c>
      <c r="L260" s="9">
        <v>0</v>
      </c>
      <c r="M260" s="9">
        <v>0</v>
      </c>
      <c r="N260" s="9">
        <v>0</v>
      </c>
      <c r="O260" s="9">
        <v>2</v>
      </c>
      <c r="P260" s="9">
        <v>546</v>
      </c>
      <c r="Q260" s="9">
        <v>0</v>
      </c>
      <c r="R260" s="9">
        <v>2</v>
      </c>
      <c r="S260" s="10">
        <v>548</v>
      </c>
      <c r="T260" s="9">
        <v>0</v>
      </c>
      <c r="U260" s="9">
        <v>258</v>
      </c>
      <c r="V260" s="10" t="s">
        <v>384</v>
      </c>
      <c r="W260" s="10" t="s">
        <v>386</v>
      </c>
      <c r="X260" s="4">
        <v>791</v>
      </c>
      <c r="Y260" s="3">
        <v>438</v>
      </c>
      <c r="Z260" s="3">
        <v>352</v>
      </c>
      <c r="AA260" s="3">
        <f t="shared" ref="AA260:AA264" si="8">MAX(B260,D260)-MIN(B260,D260)</f>
        <v>93</v>
      </c>
      <c r="AB260" s="11">
        <f t="shared" ref="AB260:AB264" si="9">(P260/X260)*100</f>
        <v>69.026548672566364</v>
      </c>
    </row>
    <row r="261" spans="1:28" ht="49.5" customHeight="1" x14ac:dyDescent="0.25">
      <c r="A261" s="7">
        <v>259</v>
      </c>
      <c r="B261" s="8">
        <v>479</v>
      </c>
      <c r="C261" s="7">
        <v>42</v>
      </c>
      <c r="D261" s="7">
        <v>173</v>
      </c>
      <c r="E261" s="7">
        <v>17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1</v>
      </c>
      <c r="P261" s="7">
        <v>712</v>
      </c>
      <c r="Q261" s="7">
        <v>0</v>
      </c>
      <c r="R261" s="7">
        <v>0</v>
      </c>
      <c r="S261" s="8">
        <v>712</v>
      </c>
      <c r="T261" s="7">
        <v>0</v>
      </c>
      <c r="U261" s="7">
        <v>259</v>
      </c>
      <c r="V261" s="8" t="s">
        <v>387</v>
      </c>
      <c r="W261" s="8" t="s">
        <v>388</v>
      </c>
      <c r="X261" s="4">
        <v>894</v>
      </c>
      <c r="Y261" s="3">
        <v>489</v>
      </c>
      <c r="Z261" s="3">
        <v>399</v>
      </c>
      <c r="AA261" s="3">
        <f t="shared" si="8"/>
        <v>306</v>
      </c>
      <c r="AB261" s="11">
        <f t="shared" si="9"/>
        <v>79.642058165548107</v>
      </c>
    </row>
    <row r="262" spans="1:28" ht="49.5" customHeight="1" x14ac:dyDescent="0.25">
      <c r="A262" s="7">
        <v>260</v>
      </c>
      <c r="B262" s="8">
        <v>145</v>
      </c>
      <c r="C262" s="7">
        <v>188</v>
      </c>
      <c r="D262" s="7">
        <v>32</v>
      </c>
      <c r="E262" s="7">
        <v>8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3</v>
      </c>
      <c r="P262" s="7">
        <v>376</v>
      </c>
      <c r="Q262" s="7">
        <v>0</v>
      </c>
      <c r="R262" s="7">
        <v>2</v>
      </c>
      <c r="S262" s="8">
        <v>378</v>
      </c>
      <c r="T262" s="7">
        <v>0</v>
      </c>
      <c r="U262" s="7">
        <v>260</v>
      </c>
      <c r="V262" s="8" t="s">
        <v>387</v>
      </c>
      <c r="W262" s="8" t="s">
        <v>389</v>
      </c>
      <c r="X262" s="4">
        <v>573</v>
      </c>
      <c r="Y262" s="3">
        <v>295</v>
      </c>
      <c r="Z262" s="3">
        <v>278</v>
      </c>
      <c r="AA262" s="3">
        <f t="shared" si="8"/>
        <v>113</v>
      </c>
      <c r="AB262" s="11">
        <f t="shared" si="9"/>
        <v>65.619546247818491</v>
      </c>
    </row>
    <row r="263" spans="1:28" ht="49.5" customHeight="1" x14ac:dyDescent="0.25">
      <c r="A263" s="7">
        <v>261</v>
      </c>
      <c r="B263" s="8">
        <v>452</v>
      </c>
      <c r="C263" s="7">
        <v>154</v>
      </c>
      <c r="D263" s="7">
        <v>20</v>
      </c>
      <c r="E263" s="7">
        <v>3</v>
      </c>
      <c r="F263" s="7">
        <v>0</v>
      </c>
      <c r="G263" s="7">
        <v>0</v>
      </c>
      <c r="H263" s="7">
        <v>0</v>
      </c>
      <c r="I263" s="7">
        <v>0</v>
      </c>
      <c r="J263" s="7">
        <v>1</v>
      </c>
      <c r="K263" s="7">
        <v>0</v>
      </c>
      <c r="L263" s="7">
        <v>0</v>
      </c>
      <c r="M263" s="7">
        <v>0</v>
      </c>
      <c r="N263" s="7">
        <v>1</v>
      </c>
      <c r="O263" s="7">
        <v>3</v>
      </c>
      <c r="P263" s="7">
        <v>634</v>
      </c>
      <c r="Q263" s="7">
        <v>0</v>
      </c>
      <c r="R263" s="7" t="e">
        <f>#REF!-P263</f>
        <v>#REF!</v>
      </c>
      <c r="S263" s="8">
        <v>634</v>
      </c>
      <c r="T263" s="7">
        <v>0</v>
      </c>
      <c r="U263" s="7">
        <v>261</v>
      </c>
      <c r="V263" s="8" t="s">
        <v>390</v>
      </c>
      <c r="W263" s="8" t="s">
        <v>391</v>
      </c>
      <c r="X263" s="4">
        <v>737</v>
      </c>
      <c r="Y263" s="3">
        <v>393</v>
      </c>
      <c r="Z263" s="3">
        <v>344</v>
      </c>
      <c r="AA263" s="3">
        <f t="shared" si="8"/>
        <v>432</v>
      </c>
      <c r="AB263" s="11">
        <f t="shared" si="9"/>
        <v>86.024423337856177</v>
      </c>
    </row>
    <row r="264" spans="1:28" ht="49.5" customHeight="1" x14ac:dyDescent="0.25">
      <c r="A264" s="7">
        <v>262</v>
      </c>
      <c r="B264" s="8">
        <v>249</v>
      </c>
      <c r="C264" s="7">
        <v>272</v>
      </c>
      <c r="D264" s="7">
        <v>102</v>
      </c>
      <c r="E264" s="7">
        <v>6</v>
      </c>
      <c r="F264" s="7">
        <v>1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3</v>
      </c>
      <c r="P264" s="7">
        <v>633</v>
      </c>
      <c r="Q264" s="7">
        <v>0</v>
      </c>
      <c r="R264" s="7">
        <v>1</v>
      </c>
      <c r="S264" s="7">
        <v>634</v>
      </c>
      <c r="T264" s="7">
        <v>0</v>
      </c>
      <c r="U264" s="7">
        <v>262</v>
      </c>
      <c r="V264" s="8" t="s">
        <v>390</v>
      </c>
      <c r="W264" s="8" t="s">
        <v>392</v>
      </c>
      <c r="X264" s="4">
        <v>847</v>
      </c>
      <c r="Y264" s="3">
        <v>467</v>
      </c>
      <c r="Z264" s="3">
        <v>378</v>
      </c>
      <c r="AA264" s="3">
        <f t="shared" si="8"/>
        <v>147</v>
      </c>
      <c r="AB264" s="11">
        <f t="shared" si="9"/>
        <v>74.734356552538372</v>
      </c>
    </row>
    <row r="265" spans="1:28" ht="49.5" customHeight="1" x14ac:dyDescent="0.25">
      <c r="A265" s="6" t="s">
        <v>12</v>
      </c>
      <c r="B265" s="6">
        <v>78739</v>
      </c>
      <c r="C265" s="6">
        <v>54310</v>
      </c>
      <c r="D265" s="6">
        <v>23690</v>
      </c>
      <c r="E265" s="6">
        <v>670</v>
      </c>
      <c r="F265" s="6">
        <v>146</v>
      </c>
      <c r="G265" s="6">
        <v>739</v>
      </c>
      <c r="H265" s="6">
        <v>116</v>
      </c>
      <c r="I265" s="6">
        <v>113</v>
      </c>
      <c r="J265" s="6">
        <v>84</v>
      </c>
      <c r="K265" s="6">
        <v>89</v>
      </c>
      <c r="L265" s="6">
        <v>131</v>
      </c>
      <c r="M265" s="6">
        <v>124</v>
      </c>
      <c r="N265" s="6">
        <v>226</v>
      </c>
      <c r="O265" s="6">
        <v>667</v>
      </c>
      <c r="P265" s="6">
        <v>159844</v>
      </c>
      <c r="Q265" s="6">
        <v>0</v>
      </c>
      <c r="R265" s="6">
        <v>776</v>
      </c>
      <c r="S265" s="6">
        <v>160623</v>
      </c>
      <c r="T265" s="6">
        <v>0</v>
      </c>
      <c r="U265" s="6"/>
      <c r="V265" s="6"/>
      <c r="W265" s="6"/>
      <c r="AB265" s="11"/>
    </row>
    <row r="266" spans="1:28" ht="49.5" customHeight="1" x14ac:dyDescent="0.25">
      <c r="A266" s="6" t="s">
        <v>13</v>
      </c>
      <c r="B266" s="6">
        <v>368</v>
      </c>
      <c r="C266" s="6">
        <v>366</v>
      </c>
      <c r="D266" s="6">
        <v>316</v>
      </c>
      <c r="E266" s="6">
        <v>5</v>
      </c>
      <c r="F266" s="6">
        <v>0</v>
      </c>
      <c r="G266" s="6">
        <v>4</v>
      </c>
      <c r="H266" s="6">
        <v>2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1</v>
      </c>
      <c r="P266" s="6">
        <v>1092</v>
      </c>
      <c r="Q266" s="6">
        <v>204</v>
      </c>
      <c r="R266" s="6">
        <v>2</v>
      </c>
      <c r="S266" s="6">
        <v>1298</v>
      </c>
      <c r="T266" s="6">
        <v>0</v>
      </c>
      <c r="U266" s="6"/>
      <c r="V266" s="6"/>
      <c r="W266" s="6"/>
      <c r="AB266" s="11"/>
    </row>
    <row r="267" spans="1:28" ht="49.5" customHeight="1" x14ac:dyDescent="0.25">
      <c r="A267" s="6" t="s">
        <v>14</v>
      </c>
      <c r="B267" s="6">
        <v>79137</v>
      </c>
      <c r="C267" s="6">
        <v>54676</v>
      </c>
      <c r="D267" s="6">
        <v>24006</v>
      </c>
      <c r="E267" s="6">
        <v>675</v>
      </c>
      <c r="F267" s="6">
        <v>146</v>
      </c>
      <c r="G267" s="6">
        <v>743</v>
      </c>
      <c r="H267" s="6">
        <v>118</v>
      </c>
      <c r="I267" s="6">
        <v>113</v>
      </c>
      <c r="J267" s="6">
        <v>84</v>
      </c>
      <c r="K267" s="6">
        <v>89</v>
      </c>
      <c r="L267" s="6">
        <v>131</v>
      </c>
      <c r="M267" s="6">
        <v>124</v>
      </c>
      <c r="N267" s="6">
        <v>226</v>
      </c>
      <c r="O267" s="6">
        <v>668</v>
      </c>
      <c r="P267" s="6">
        <v>160936</v>
      </c>
      <c r="Q267" s="6">
        <v>204</v>
      </c>
      <c r="R267" s="6">
        <v>778</v>
      </c>
      <c r="S267" s="6">
        <v>161921</v>
      </c>
      <c r="T267" s="6">
        <v>0</v>
      </c>
      <c r="U267" s="6"/>
      <c r="V267" s="6"/>
      <c r="W267" s="6"/>
      <c r="AB267" s="11"/>
    </row>
  </sheetData>
  <conditionalFormatting sqref="B3:B264">
    <cfRule type="expression" dxfId="11" priority="6">
      <formula>B3&gt;D3</formula>
    </cfRule>
  </conditionalFormatting>
  <conditionalFormatting sqref="B265:O265 X265:AA265 AC265:XFD265">
    <cfRule type="duplicateValues" dxfId="10" priority="74"/>
  </conditionalFormatting>
  <conditionalFormatting sqref="D3:D264">
    <cfRule type="expression" dxfId="9" priority="5">
      <formula>D3&gt;B3</formula>
    </cfRule>
  </conditionalFormatting>
  <conditionalFormatting sqref="U1:U264">
    <cfRule type="duplicateValues" dxfId="8" priority="9"/>
  </conditionalFormatting>
  <conditionalFormatting sqref="U259:W259 U257:U258 W257:W258">
    <cfRule type="duplicateValues" dxfId="7" priority="8"/>
  </conditionalFormatting>
  <conditionalFormatting sqref="U259:W259">
    <cfRule type="duplicateValues" dxfId="6" priority="7"/>
  </conditionalFormatting>
  <conditionalFormatting sqref="X265:AA265 B265:O265 AC265:XFD265">
    <cfRule type="duplicateValues" dxfId="5" priority="77"/>
  </conditionalFormatting>
  <conditionalFormatting sqref="X265:AA265 AC265:XFD265">
    <cfRule type="duplicateValues" dxfId="4" priority="80"/>
  </conditionalFormatting>
  <conditionalFormatting sqref="AA3:AA264">
    <cfRule type="cellIs" dxfId="3" priority="3" operator="lessThan">
      <formula>50</formula>
    </cfRule>
    <cfRule type="cellIs" dxfId="2" priority="4" operator="greaterThan">
      <formula>550</formula>
    </cfRule>
  </conditionalFormatting>
  <conditionalFormatting sqref="AB3:AB264">
    <cfRule type="cellIs" dxfId="1" priority="1" operator="lessThan">
      <formula>40</formula>
    </cfRule>
    <cfRule type="cellIs" dxfId="0" priority="2" operator="greaterThan">
      <formula>90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akalp tech</cp:lastModifiedBy>
  <dcterms:created xsi:type="dcterms:W3CDTF">2025-06-08T14:01:07Z</dcterms:created>
  <dcterms:modified xsi:type="dcterms:W3CDTF">2025-11-20T07:47:47Z</dcterms:modified>
</cp:coreProperties>
</file>