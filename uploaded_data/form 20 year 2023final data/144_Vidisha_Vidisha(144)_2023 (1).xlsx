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41B7F2E9-6D93-4E5B-91D4-72590E29FEDD}" xr6:coauthVersionLast="47" xr6:coauthVersionMax="47" xr10:uidLastSave="{00000000-0000-0000-0000-000000000000}"/>
  <bookViews>
    <workbookView xWindow="-110" yWindow="-110" windowWidth="19420" windowHeight="10300" xr2:uid="{53BACFB2-5782-4003-B8A8-7B04E44364D0}"/>
  </bookViews>
  <sheets>
    <sheet name="Vidisha_2023" sheetId="5" r:id="rId1"/>
    <sheet name="Booth_data" sheetId="6" r:id="rId2"/>
    <sheet name="Outlier" sheetId="1" r:id="rId3"/>
    <sheet name="Analysis" sheetId="3" r:id="rId4"/>
  </sheets>
  <definedNames>
    <definedName name="_xlnm._FilterDatabase" localSheetId="2" hidden="1">Outlier!$A$2:$T$280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80" i="5" l="1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V17" i="3"/>
  <c r="V20" i="3"/>
  <c r="V21" i="3"/>
  <c r="V25" i="3"/>
  <c r="V26" i="3"/>
  <c r="V27" i="3"/>
  <c r="V28" i="3"/>
  <c r="V29" i="3"/>
  <c r="V24" i="3"/>
  <c r="V34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8" i="3"/>
  <c r="V19" i="3"/>
  <c r="V22" i="3"/>
  <c r="V23" i="3"/>
  <c r="V31" i="3"/>
  <c r="V32" i="3"/>
  <c r="V33" i="3"/>
  <c r="V35" i="3"/>
  <c r="V30" i="3"/>
  <c r="V16" i="3"/>
  <c r="U17" i="3"/>
  <c r="U20" i="3"/>
  <c r="U21" i="3"/>
  <c r="U25" i="3"/>
  <c r="U26" i="3"/>
  <c r="U27" i="3"/>
  <c r="U28" i="3"/>
  <c r="U29" i="3"/>
  <c r="U24" i="3"/>
  <c r="U34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8" i="3"/>
  <c r="U19" i="3"/>
  <c r="U22" i="3"/>
  <c r="U23" i="3"/>
  <c r="U31" i="3"/>
  <c r="U32" i="3"/>
  <c r="U33" i="3"/>
  <c r="U35" i="3"/>
  <c r="U16" i="3"/>
  <c r="T30" i="3"/>
  <c r="S30" i="3"/>
  <c r="U30" i="3" s="1"/>
  <c r="S8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</calcChain>
</file>

<file path=xl/sharedStrings.xml><?xml version="1.0" encoding="utf-8"?>
<sst xmlns="http://schemas.openxmlformats.org/spreadsheetml/2006/main" count="928" uniqueCount="584">
  <si>
    <t xml:space="preserve">Serial No. </t>
  </si>
  <si>
    <t xml:space="preserve"> Polling Station</t>
  </si>
  <si>
    <r>
      <rPr>
        <b/>
        <sz val="9"/>
        <rFont val="Cambria"/>
        <family val="1"/>
      </rPr>
      <t xml:space="preserve">DWARKA PRASAD DHAKAD
</t>
    </r>
    <r>
      <rPr>
        <b/>
        <sz val="9"/>
        <rFont val="Cambria"/>
        <family val="1"/>
      </rPr>
      <t>(Advocate)</t>
    </r>
  </si>
  <si>
    <t>MUKESH TANDAN</t>
  </si>
  <si>
    <t>SHASHANK SHRI KRISHAN BHARGAVA</t>
  </si>
  <si>
    <t>SANJAY PRABHAKAR</t>
  </si>
  <si>
    <r>
      <rPr>
        <b/>
        <sz val="9"/>
        <rFont val="Cambria"/>
        <family val="1"/>
      </rPr>
      <t>KANCHHEDI-LAL</t>
    </r>
  </si>
  <si>
    <r>
      <rPr>
        <b/>
        <sz val="9"/>
        <rFont val="Cambria"/>
        <family val="1"/>
      </rPr>
      <t>DILEEP KUSHWAH</t>
    </r>
  </si>
  <si>
    <r>
      <rPr>
        <b/>
        <sz val="9"/>
        <rFont val="Cambria"/>
        <family val="1"/>
      </rPr>
      <t>MOKAM SINGH PANTHI</t>
    </r>
  </si>
  <si>
    <r>
      <rPr>
        <b/>
        <sz val="9"/>
        <rFont val="Cambria"/>
        <family val="1"/>
      </rPr>
      <t>RAM DAYAL KORI</t>
    </r>
  </si>
  <si>
    <r>
      <rPr>
        <b/>
        <sz val="9"/>
        <rFont val="Cambria"/>
        <family val="1"/>
      </rPr>
      <t>SATYENDRA SINGH SISODIYA</t>
    </r>
  </si>
  <si>
    <r>
      <rPr>
        <b/>
        <sz val="9"/>
        <rFont val="Cambria"/>
        <family val="1"/>
      </rPr>
      <t>SANJAY SAINI</t>
    </r>
  </si>
  <si>
    <t>Total of Valid Votes</t>
  </si>
  <si>
    <t>No. Of Rejected Votes</t>
  </si>
  <si>
    <t>NOTA</t>
  </si>
  <si>
    <t>Total</t>
  </si>
  <si>
    <t>No. Of Tendered Votes</t>
  </si>
  <si>
    <t xml:space="preserve">Total ragistered voters </t>
  </si>
  <si>
    <t>Delta Positve</t>
  </si>
  <si>
    <t>Voter Turnout</t>
  </si>
  <si>
    <t>Bharatiya Janata Party</t>
  </si>
  <si>
    <t>Indian National Congress</t>
  </si>
  <si>
    <r>
      <rPr>
        <b/>
        <sz val="9"/>
        <rFont val="Cambria"/>
        <family val="1"/>
      </rPr>
      <t xml:space="preserve">Total EVM
</t>
    </r>
    <r>
      <rPr>
        <b/>
        <sz val="9"/>
        <rFont val="Cambria"/>
        <family val="1"/>
      </rPr>
      <t>Votes</t>
    </r>
  </si>
  <si>
    <r>
      <rPr>
        <sz val="9"/>
        <rFont val="Cambria"/>
        <family val="1"/>
      </rPr>
      <t xml:space="preserve">Total Postal Ballot
</t>
    </r>
    <r>
      <rPr>
        <sz val="9"/>
        <rFont val="Cambria"/>
        <family val="1"/>
      </rPr>
      <t>Votes</t>
    </r>
  </si>
  <si>
    <r>
      <rPr>
        <b/>
        <sz val="9"/>
        <rFont val="Cambria"/>
        <family val="1"/>
      </rPr>
      <t xml:space="preserve">Total
</t>
    </r>
    <r>
      <rPr>
        <b/>
        <sz val="9"/>
        <rFont val="Cambria"/>
        <family val="1"/>
      </rPr>
      <t>Votes Polled</t>
    </r>
  </si>
  <si>
    <t>BJP</t>
  </si>
  <si>
    <t xml:space="preserve">INC </t>
  </si>
  <si>
    <r>
      <rPr>
        <sz val="9"/>
        <rFont val="Cambria"/>
        <family val="1"/>
      </rPr>
      <t>1</t>
    </r>
    <r>
      <rPr>
        <b/>
        <vertAlign val="subscript"/>
        <sz val="11"/>
        <rFont val="Cambria"/>
        <family val="1"/>
      </rPr>
      <t>e</t>
    </r>
    <r>
      <rPr>
        <sz val="9"/>
        <rFont val="Cambria"/>
        <family val="1"/>
      </rPr>
      <t>96</t>
    </r>
    <r>
      <rPr>
        <b/>
        <vertAlign val="subscript"/>
        <sz val="11"/>
        <rFont val="Cambria"/>
        <family val="1"/>
      </rPr>
      <t>7</t>
    </r>
  </si>
  <si>
    <r>
      <rPr>
        <b/>
        <sz val="9"/>
        <rFont val="Cambria"/>
        <family val="1"/>
      </rPr>
      <t>MUKESH TANDAN</t>
    </r>
  </si>
  <si>
    <r>
      <rPr>
        <b/>
        <sz val="9"/>
        <rFont val="Cambria"/>
        <family val="1"/>
      </rPr>
      <t>SHASHANK SHRI KRISHAN BHARGAVA</t>
    </r>
  </si>
  <si>
    <r>
      <rPr>
        <b/>
        <sz val="9"/>
        <rFont val="Cambria"/>
        <family val="1"/>
      </rPr>
      <t>SANJAY PRABHAKAR</t>
    </r>
  </si>
  <si>
    <t>म. क्र.</t>
  </si>
  <si>
    <t>मतदान केंद्र का नाम</t>
  </si>
  <si>
    <t>भवन, जिसमें यह स्थित होगा</t>
  </si>
  <si>
    <t>ककरूआ</t>
  </si>
  <si>
    <t>शास. प्राथ. शाला भवन ककरूआ</t>
  </si>
  <si>
    <t>इकोदिया चौबीसा</t>
  </si>
  <si>
    <t>शास. प्राथ. शाला भवन इकोदिया चौबीसा</t>
  </si>
  <si>
    <t>अंडियाकला</t>
  </si>
  <si>
    <t>शास. कन्या प्राथ. शाला भवन, अंडियाकला</t>
  </si>
  <si>
    <t>संतापुर</t>
  </si>
  <si>
    <t>शास. पंचा. भवन संतापुर</t>
  </si>
  <si>
    <t>पिपरिया</t>
  </si>
  <si>
    <t>शास. प्राथ. शाला भवन पिपरिया</t>
  </si>
  <si>
    <t>मुंगवारा</t>
  </si>
  <si>
    <t>शास, हाई स्कूल भवन मुंगवारा</t>
  </si>
  <si>
    <t>माला</t>
  </si>
  <si>
    <t>शासकीय माध्य. शाला भवन माला</t>
  </si>
  <si>
    <t>लखंगार</t>
  </si>
  <si>
    <t>शास. प्राथ, शाला (नवीन), भवन, लखंगार</t>
  </si>
  <si>
    <t>हिनोतिया</t>
  </si>
  <si>
    <t>शास. प्राथ. शाला भवन हिनोतिया</t>
  </si>
  <si>
    <t>तुमैना</t>
  </si>
  <si>
    <t>शास. प्राथ. शाला भवन तुमैना</t>
  </si>
  <si>
    <t>घोसुआ</t>
  </si>
  <si>
    <t>शास. प्राथ. शाला भवन घोसुआ</t>
  </si>
  <si>
    <t>हाटखेड़ा</t>
  </si>
  <si>
    <t>शास. प्राथ. शाला भवन हाटखेड़ा</t>
  </si>
  <si>
    <t>चकरघुनाथपुर</t>
  </si>
  <si>
    <t>शास. प्राथ. शाला भवन चकरघुनाथपुर</t>
  </si>
  <si>
    <t>गूलरखेडी-1</t>
  </si>
  <si>
    <t>शास. कन्या हाई स्कूल भवन गूलरखेडी-1</t>
  </si>
  <si>
    <t>गूलरखेडी-2</t>
  </si>
  <si>
    <t>शास, उच्च, माध्यमिक विद्यालय भवन विज्ञान कक्ष गूलरखेडी-2</t>
  </si>
  <si>
    <t>गूलरखेडी-3</t>
  </si>
  <si>
    <t>शास. माध्य. शाला भवन गूलरखेडी-3</t>
  </si>
  <si>
    <t>ऐरन</t>
  </si>
  <si>
    <t>शास. प्राथ. शाला भवन ऐरन</t>
  </si>
  <si>
    <t>खजूरी बरी</t>
  </si>
  <si>
    <t>शास. प्राथ. शाला भवन खजूरीबरी</t>
  </si>
  <si>
    <t>धतूरियाचौबीसा</t>
  </si>
  <si>
    <t>शास. पंचायत भवन धतुरिया चौबीसा</t>
  </si>
  <si>
    <t>बरीघाट</t>
  </si>
  <si>
    <t>शास. पंचा. भवन बरीघाट</t>
  </si>
  <si>
    <t>मानपुर</t>
  </si>
  <si>
    <t>शास. प्राथ. शाला भवन मानपुर</t>
  </si>
  <si>
    <t>खामखेडा बर्री</t>
  </si>
  <si>
    <t>शास. प्राथ. शाला भवन खामखेडा बर्री</t>
  </si>
  <si>
    <t>गुलाबगंज-1</t>
  </si>
  <si>
    <t>शासकीय प्राथमिक शाला भवन गुलाबगंज</t>
  </si>
  <si>
    <t>गुलाबगंज-2</t>
  </si>
  <si>
    <t>कृषि उपज मंडी समिति गुलाबगंज</t>
  </si>
  <si>
    <t>खुजराहर</t>
  </si>
  <si>
    <t>शास. प्राथ. शाला भवन खुजराहर</t>
  </si>
  <si>
    <t>गुनुआ</t>
  </si>
  <si>
    <t>शास. प्राथ. शाला भवन गुनुआ</t>
  </si>
  <si>
    <t>चाठोली</t>
  </si>
  <si>
    <t>शास. हाई स्कूल भवन चाठोली</t>
  </si>
  <si>
    <t>पटवारीखेडी</t>
  </si>
  <si>
    <t>शास. प्राथ. शाला भवन पटवारीखेडी</t>
  </si>
  <si>
    <t>तेवरी</t>
  </si>
  <si>
    <t>शास. प्राथ. शाला भवन तेवरी</t>
  </si>
  <si>
    <t>सुआखेडी</t>
  </si>
  <si>
    <t>शास. प्राथ. शाला भवन सुआखेडी</t>
  </si>
  <si>
    <t>मूडरा गनेशपुर</t>
  </si>
  <si>
    <t>शास. प्राथ. शाला भवन मूडरागनेशपुर</t>
  </si>
  <si>
    <t>मेहरूखेडी</t>
  </si>
  <si>
    <t>शास. प्राथ. शाला भवन मेहरूखेडी</t>
  </si>
  <si>
    <t>मढीचौबीसा</t>
  </si>
  <si>
    <t>शास. माध्य. शाला, भवन मढीचौबीसा</t>
  </si>
  <si>
    <t>हाथियाखेडा</t>
  </si>
  <si>
    <t>शास. प्राथ, शाला भवन हाथियाखेडा</t>
  </si>
  <si>
    <t>खेजडावरी</t>
  </si>
  <si>
    <t>शास. प्राथ. शाला भवन खेजडावरी</t>
  </si>
  <si>
    <t>सुमेरवरी</t>
  </si>
  <si>
    <t>शास. प्राथ. शाला भवन सुमेरवरी</t>
  </si>
  <si>
    <t>धनियाखेडी</t>
  </si>
  <si>
    <t>शास. माध्य. शाला भवन धनियाखेडी</t>
  </si>
  <si>
    <t>सौजना</t>
  </si>
  <si>
    <t>शास. प्राथ. शाला भवन सौजना</t>
  </si>
  <si>
    <t>वन</t>
  </si>
  <si>
    <t>शास. माध्य. शाला भवन वन</t>
  </si>
  <si>
    <t>सेमरापडरात</t>
  </si>
  <si>
    <t>शास. प्राथ. शाला भवन सेमरापडरात</t>
  </si>
  <si>
    <t>सिमरहार</t>
  </si>
  <si>
    <t>शास. प्राथ. शाला भवन सिमरहार</t>
  </si>
  <si>
    <t>मढीपुर</t>
  </si>
  <si>
    <t>शास. प्राथ. शाला भवन मढीपुर</t>
  </si>
  <si>
    <t>बिलराई</t>
  </si>
  <si>
    <t>शास. प्राथ. शाला भवन बिलराई</t>
  </si>
  <si>
    <t>अटारीखेजडा-1</t>
  </si>
  <si>
    <t>शासकीय प्राथमिक शाला अटारीखेजडा</t>
  </si>
  <si>
    <t>अटारीखेजडा-2</t>
  </si>
  <si>
    <t>शास. कन्या प्राथ. शाला भवन अटारीखेजडा</t>
  </si>
  <si>
    <t>दीघोरा</t>
  </si>
  <si>
    <t>शास. पंचायत भवन दीघोरा</t>
  </si>
  <si>
    <t>करैया</t>
  </si>
  <si>
    <t>शास. प्राथ. शाला भवन करैया</t>
  </si>
  <si>
    <t>अंबार-1</t>
  </si>
  <si>
    <t>शास. प्राथ. शाला भवन अंवार</t>
  </si>
  <si>
    <t>अंबार-2</t>
  </si>
  <si>
    <t>शास. माध्य. शाला भवन अंवार</t>
  </si>
  <si>
    <t>नादोर</t>
  </si>
  <si>
    <t>शास. प्राथ. शाला भवन नादोर</t>
  </si>
  <si>
    <t>खेजडापडरात</t>
  </si>
  <si>
    <t>शास. प्राथ. शाला भवन खेजडापडरात</t>
  </si>
  <si>
    <t>महुआखेडा</t>
  </si>
  <si>
    <t>शासकीय आगंनवाडी भवन महुआखेडा</t>
  </si>
  <si>
    <t>नौलास-1</t>
  </si>
  <si>
    <t>शास. माध्य. शाला भवन नोलास</t>
  </si>
  <si>
    <t>नौलास-2</t>
  </si>
  <si>
    <t>शास. माध्य. शाला भवन अतिरिक्त कक्ष नोलास</t>
  </si>
  <si>
    <t>बरखेडागंभीर</t>
  </si>
  <si>
    <t>शासकीय आगंनवाडी भवन बरखेड़ागंभीर</t>
  </si>
  <si>
    <t>बावलिया</t>
  </si>
  <si>
    <t>शास. प्राथ. शाला भवन बावलिया</t>
  </si>
  <si>
    <t>झिरनिया</t>
  </si>
  <si>
    <t>शास. प्राथ. शाला भवन झिरनिया</t>
  </si>
  <si>
    <t>देहरी</t>
  </si>
  <si>
    <t>शास. प्राथ. शाला भवन देहरी</t>
  </si>
  <si>
    <t>तिलक</t>
  </si>
  <si>
    <t>शासकीय माध्यमिक शाला भवन तिलक</t>
  </si>
  <si>
    <t>निटरी</t>
  </si>
  <si>
    <t>शासकीय प्राथमिक शाला भवन निटरी</t>
  </si>
  <si>
    <t>मूडरा ठर्र</t>
  </si>
  <si>
    <t>शासकीय प्राथमिक शाला भवन मूडरा ठर्र</t>
  </si>
  <si>
    <t>मुहाना</t>
  </si>
  <si>
    <t>शासकीय प्राथमिक शाला भवन मुहाना</t>
  </si>
  <si>
    <t>खरी</t>
  </si>
  <si>
    <t>शासकीय प्राथमिक शाला भवन खरी</t>
  </si>
  <si>
    <t>भदारबड़ागांव</t>
  </si>
  <si>
    <t>शासकीय प्राथमिक शाला भवन भदारबड़ागांव</t>
  </si>
  <si>
    <t>हिरनई</t>
  </si>
  <si>
    <t>शासकीय प्राथमिक शाला भवन हिरनई</t>
  </si>
  <si>
    <t>पालकी</t>
  </si>
  <si>
    <t>शासकीय प्राथमिक शाला भवन पालकी</t>
  </si>
  <si>
    <t>कुँआखेडी</t>
  </si>
  <si>
    <t>शासकीय प्राथमिक शाला भवन कुँआखेडी</t>
  </si>
  <si>
    <t>पॉझ</t>
  </si>
  <si>
    <t>शासकीय प्राथमिक शाला भवन पॉझ</t>
  </si>
  <si>
    <t>किरमची बंधेरा</t>
  </si>
  <si>
    <t>शासकीय प्राथमिक शाला भवन मजरा रुसल्ली (किरमची बंधेरा)</t>
  </si>
  <si>
    <t>बेहलोट मंजरा</t>
  </si>
  <si>
    <t>शासकीय प्राथमिक शाला भवन मजरा बेहलोट</t>
  </si>
  <si>
    <t>खामखेडा लश्करपुर</t>
  </si>
  <si>
    <t>शासकीय प्राथमिक शाला भवन खामखेडा लश्करपुर</t>
  </si>
  <si>
    <t>खेरूआ</t>
  </si>
  <si>
    <t>शास. माध्य. शाला भवन शास. खेरूआ</t>
  </si>
  <si>
    <t>हरूखेडी</t>
  </si>
  <si>
    <t>शासकीय प्राथमिक शाला भवन हरूखेडी</t>
  </si>
  <si>
    <t>लश्करपुर</t>
  </si>
  <si>
    <t>शासकीय माध्यमिक शाला भवन लश्करपुर</t>
  </si>
  <si>
    <t>करारिया लश्करपुर-1</t>
  </si>
  <si>
    <t>शासकीय प्राथमिक शाला भवन करारिया लश्करपुर</t>
  </si>
  <si>
    <t>करारिया लश्करपुर-2</t>
  </si>
  <si>
    <t>शासकीय माध्यमिक शाला भवन करारिया लश्करपुर</t>
  </si>
  <si>
    <t>गुरारिया लश्करपुर</t>
  </si>
  <si>
    <t>शासकीय प्राथमिक शाला भवन गुरारिया लश्करपुर</t>
  </si>
  <si>
    <t>खमतला</t>
  </si>
  <si>
    <t>शासकीय प्राथमिक शाला भवन खमतला</t>
  </si>
  <si>
    <t>छीरखेडा-1</t>
  </si>
  <si>
    <t>शासकीय प्राथमिक शाला भवन छीरखेडा</t>
  </si>
  <si>
    <t>छीरखेडा-2</t>
  </si>
  <si>
    <t>शासकीय माध्यमिक शाला भवन छीरखेडा</t>
  </si>
  <si>
    <t>निमखिरिया</t>
  </si>
  <si>
    <t>शासकीय माध्यमिक शाला भवन निमखिरिया (नवीन भवन)</t>
  </si>
  <si>
    <t>बागरी</t>
  </si>
  <si>
    <t>शासकीय माध्यमिक शाला भवन (पूर्वी भाग) बागरी</t>
  </si>
  <si>
    <t>जम्बार</t>
  </si>
  <si>
    <t>शासकीय प्राथमिक शाला भवन जम्बार</t>
  </si>
  <si>
    <t>इमलिया लश्करपुर</t>
  </si>
  <si>
    <t>शासकीय नवीन माध्य. शाला भवन इमलिया लश्करपुर</t>
  </si>
  <si>
    <t>ढोलखेडी</t>
  </si>
  <si>
    <t>शासकीय प्राथमिक शाला भवन ढोलखेडी</t>
  </si>
  <si>
    <t>पैरवारा</t>
  </si>
  <si>
    <t>शासकीय प्राथमिक शाला भवन पैरवारा</t>
  </si>
  <si>
    <t>पलोह</t>
  </si>
  <si>
    <t>शासकीय प्राथमिक शाला भवन पलोह</t>
  </si>
  <si>
    <t>इमलिया जागीर</t>
  </si>
  <si>
    <t>शास. प्राथमिक शाला भवन इमलिया जागीर</t>
  </si>
  <si>
    <t>मूडरा हरीसिंह</t>
  </si>
  <si>
    <t>शासकीय प्राथमिक शाला भवन मूडरा हरीसिंह</t>
  </si>
  <si>
    <t>सौराई</t>
  </si>
  <si>
    <t>शासकीय प्राथमिक शाला भवन सौराई</t>
  </si>
  <si>
    <t>जीवाजीपुर</t>
  </si>
  <si>
    <t>शासकीय प्राथमिक शाला भवन जीवाजीपुर</t>
  </si>
  <si>
    <t>आमाछावर</t>
  </si>
  <si>
    <t>शासकीय प्राथमिक शाला भवन आमाछावर</t>
  </si>
  <si>
    <t>बैस (नगर विदिशा)</t>
  </si>
  <si>
    <t>शासकीय प्राथमिक शाला भवन बैस</t>
  </si>
  <si>
    <t>सुनपुरा</t>
  </si>
  <si>
    <t>शासकीय प्राथमिक शाला भवन सुनपुरा</t>
  </si>
  <si>
    <t>माधौपुरा</t>
  </si>
  <si>
    <t>शासकीय प्राथमिक शाला भवन माधौपुरा</t>
  </si>
  <si>
    <t>रंगई</t>
  </si>
  <si>
    <t>शासकीय प्राथमिक शाला भवन रंगई</t>
  </si>
  <si>
    <t>सुआखेड़ी</t>
  </si>
  <si>
    <t>प्राथमिक शाला भवन शासकीय सुआखेड़ी</t>
  </si>
  <si>
    <t>नगर विदिशा-1</t>
  </si>
  <si>
    <t>शासकीय कन्या माध्यमिक शाला (दक्षिणी खण्ड) चौपड़ा,</t>
  </si>
  <si>
    <t>नगर विदिशा-2</t>
  </si>
  <si>
    <t>कन्या प्राथमिक शाला भवन चौपड़ा</t>
  </si>
  <si>
    <t>नगर विदिशा-3</t>
  </si>
  <si>
    <t>शासकीय कन्या माध्यमिक शाला भवन (उत्तरी खण्ड) चौपड़ा,</t>
  </si>
  <si>
    <t>नगर विदिशा-4</t>
  </si>
  <si>
    <t>शासकीय कन्या माध्यमिक शाला भवन (अतिरिक्त कक्ष) चौपड़ा</t>
  </si>
  <si>
    <t>नगर विदिशा-5</t>
  </si>
  <si>
    <t>शासकीय प्राथमिक शाला भवन (उत्तरी खण्ड) रायपुरा</t>
  </si>
  <si>
    <t>नगर विदिशा-6</t>
  </si>
  <si>
    <t>शासकीय हाईस्कूल कन्या चौपड़ा रायपुरा विदिशा</t>
  </si>
  <si>
    <t>नगर विदिशा-7</t>
  </si>
  <si>
    <t>जिला परिवहन अधिकारी कार्यालय (उत्तरी खण्ड)</t>
  </si>
  <si>
    <t>नगर विदिशा-8</t>
  </si>
  <si>
    <t>शासकीय माध्यमिक विद्यालय तोपपुरा विदिशा</t>
  </si>
  <si>
    <t>नगर विदिशा-9</t>
  </si>
  <si>
    <t>जिला परिवहन अधिकारी कार्यालय (पश्चिमी खण्ड)</t>
  </si>
  <si>
    <t>नगर विदिशा-10</t>
  </si>
  <si>
    <t>शासकीय बालक प्राथमिक शाला भवन तोपपुरा विदिशा</t>
  </si>
  <si>
    <t>नगर विदिशा-11</t>
  </si>
  <si>
    <t>लो.स्वा.या. विभाग कैश काउन्टर</t>
  </si>
  <si>
    <t>नगर विदिशा-12</t>
  </si>
  <si>
    <t>लो.स्वा.या. विभाग सहा. यंत्री कक्ष</t>
  </si>
  <si>
    <t>नगर विदिशा-13</t>
  </si>
  <si>
    <t>कौशल पब्लिक स्कूल गुप्तेश्वर मंदिर के पास अंदरकिला विदिशा</t>
  </si>
  <si>
    <t>नगर विदिशा-14</t>
  </si>
  <si>
    <t>लो.स्वा.या.वि. ग्रामीण उपखण्ड विदिशा</t>
  </si>
  <si>
    <t>नगर विदिशा-15</t>
  </si>
  <si>
    <t>अम्बेडकर मंगल भवन, रंगियापुरा मेन हॉल (पूर्वी खण्ड)</t>
  </si>
  <si>
    <t>नगर विदिशा-16</t>
  </si>
  <si>
    <t>अम्बेडकर मंगल भवन, रंगियापुरा (पश्चिमी खण्ड)</t>
  </si>
  <si>
    <t>नगर विदिशा-17</t>
  </si>
  <si>
    <t>शासकीय प्राथमिक शाला भवन रंगियापुरा, नगरपालिका भवन</t>
  </si>
  <si>
    <t>नगर विदिशा-18</t>
  </si>
  <si>
    <t>महाराष्ट्र समाज भवन (उत्तरी खण्ड) पेढ़ी, विदिशा</t>
  </si>
  <si>
    <t>नगर विदिशा-19</t>
  </si>
  <si>
    <t>महाराष्ट्र समाज भवन (पश्चिमी खण्ड) पेढ़ी, विदिशा</t>
  </si>
  <si>
    <t>नगर विदिशा-20</t>
  </si>
  <si>
    <t>शासकीय प्राथमिक शाला भवन दुर्ग खाई रोड</t>
  </si>
  <si>
    <t>नगर विदिशा-21</t>
  </si>
  <si>
    <t>शासकीय प्राथमिक शाला भवन अंदर किला खाई रोड</t>
  </si>
  <si>
    <t>नगर विदिशा-22</t>
  </si>
  <si>
    <t>शासकीय उत्कृष्ठ उ.मा. विद्यालय विदिशा</t>
  </si>
  <si>
    <t>नगर विदिशा-23</t>
  </si>
  <si>
    <t>शा. माध्य. विद्यालय पेढ़ी स्कूल, खाईरोड कमरा (दक्षिणी खण्ड)</t>
  </si>
  <si>
    <t>नगर विदिशा-24</t>
  </si>
  <si>
    <t>शास. माध्यमिक विद्यालय पेढ़ी खाईरोड (उ.ख.) विदिशा</t>
  </si>
  <si>
    <t>नगर विदिशा-25</t>
  </si>
  <si>
    <t>शास. प्रा.शा.बालक नंदबाना (खाई बस्ती) विदिशा</t>
  </si>
  <si>
    <t>नगर विदिशा-26</t>
  </si>
  <si>
    <t>मानस शिशु मंदिर हा०से० स्कूल, गुलाब वाटिका के पास, विदिशा</t>
  </si>
  <si>
    <t>नगर विदिशा-27</t>
  </si>
  <si>
    <t>शा.मा. विद्यालय माधवगंज-1, नीमताल कमरा-10, उत्तरीखण्ड</t>
  </si>
  <si>
    <t>नगर विदिशा-28</t>
  </si>
  <si>
    <t>शास. माध्य. शाला माधवगंज-1, कमरा-9, (पश्चिमी खण्ड) नीमताल</t>
  </si>
  <si>
    <t>नगर विदिशा-29</t>
  </si>
  <si>
    <t>कार्या. सहा. यंत्री, म.प्र.हाऊ. बोर्ड, भवन इन्दिराकाम्पलेक्स</t>
  </si>
  <si>
    <t>नगर विदिशा-30</t>
  </si>
  <si>
    <t>शास. प्राथ. शाला भवन, नाना का बाग, भगतसिंह कॉलोनी, विदिशा</t>
  </si>
  <si>
    <t>नगर विदिशा-31</t>
  </si>
  <si>
    <t>म.ल.बा.क.उ.मा.विद्यालय कमरा-14. (पूर्वीखण्ड)</t>
  </si>
  <si>
    <t>नगर विदिशा-32</t>
  </si>
  <si>
    <t>सार्वजनिक भोजनालय सेवा समिति पुराना चिकित्सालय कक्ष क्र. 01</t>
  </si>
  <si>
    <t>नगर विदिशा-33</t>
  </si>
  <si>
    <t>सार्वजनिक भोजनालय सेवा समिति पुराना चिकित्सालय कक्ष क्र. 02</t>
  </si>
  <si>
    <t>नगर विदिशा-34</t>
  </si>
  <si>
    <t>शास. माध्य. विद्यालय. माधवगंज-1, पूर्वी कक्ष-प्रथम</t>
  </si>
  <si>
    <t>नगर विदिशा-35</t>
  </si>
  <si>
    <t>शा. मा. विद्या. माधवगंज-1, पूर्वी कक्ष-द्वितीय</t>
  </si>
  <si>
    <t>नगर विदिशा-36</t>
  </si>
  <si>
    <t>मारवाड़ी अग्रवाल पंचा. धर्मशाला नंदबाना (पू०खण्ड)</t>
  </si>
  <si>
    <t>नगर विदिशा-37</t>
  </si>
  <si>
    <t>मारवाड़ी अग्रवाल पंचा. धर्मशाला नंदबाना (प०खण्ड)</t>
  </si>
  <si>
    <t>नगर विदिशा-38</t>
  </si>
  <si>
    <t>प्राथमिक कन्या शाला नंदवाना नवीन भवन (पू.भाग)</t>
  </si>
  <si>
    <t>नगर विदिशा-39</t>
  </si>
  <si>
    <t>शा.मा.शा. नवीन भवन द.भाग नंदवाना</t>
  </si>
  <si>
    <t>नगर विदिशा-40</t>
  </si>
  <si>
    <t>पुराना चिकित्सालय मेडीकल हॉल (नगर पालिका) विदिशा</t>
  </si>
  <si>
    <t>नगर विदिशा-41</t>
  </si>
  <si>
    <t>गोयल धर्मशाला मेन हाल विदिशा</t>
  </si>
  <si>
    <t>नगर विदिशा-42</t>
  </si>
  <si>
    <t>सत्संग भवन, पुराना बस स्टेण्ड, बालविहार</t>
  </si>
  <si>
    <t>नगर विदिशा-43</t>
  </si>
  <si>
    <t>माहेश्वरी सेवा ट्रस्ट धर्मशाला तलैया विदिशा</t>
  </si>
  <si>
    <t>नगर विदिशा-44</t>
  </si>
  <si>
    <t>श्रीकृष्ण हाईस्कूल चूनेवाली गली ढलकपुरा विदिशा</t>
  </si>
  <si>
    <t>नगर विदिशा-45</t>
  </si>
  <si>
    <t>टाउन हाल न.पा. (उत्तरी खण्ड) विदिशा</t>
  </si>
  <si>
    <t>नगर विदिशा-46</t>
  </si>
  <si>
    <t>टाउन हाल न.पा. (दक्षिणी खण्ड) विदिशा</t>
  </si>
  <si>
    <t>नगर विदिशा-47</t>
  </si>
  <si>
    <t>अयोध्या भवन रामलीला मैदान विदिशा</t>
  </si>
  <si>
    <t>नगर विदिशा-48</t>
  </si>
  <si>
    <t>नवीन प्रा.शा. जतरापुरा विदिशा</t>
  </si>
  <si>
    <t>नगर विदिशा-49</t>
  </si>
  <si>
    <t>नवीन प्रा.शा. जतरापुरा कक्ष -3 विदिशा</t>
  </si>
  <si>
    <t>नगर विदिशा-50</t>
  </si>
  <si>
    <t>जमनाबाई पब्लिक स्कूल (प्रायवेट) राघवजी कालोनी विदिशा</t>
  </si>
  <si>
    <t>नगर विदिशा-51</t>
  </si>
  <si>
    <t>नवीन शा.प्रा.शा.अनिवार्य तोपपुरा विदिशा</t>
  </si>
  <si>
    <t>नगर विदिशा-52</t>
  </si>
  <si>
    <t>संजय निकुज ट्रेनिंग सेंटर पश्चिमी खण्ड- 1 जतरापुरा</t>
  </si>
  <si>
    <t>नगर विदिशा-53</t>
  </si>
  <si>
    <t>बेतवा उद्यान, संजय निकुंज पूर्व ट्रेनिंग सेन्टर</t>
  </si>
  <si>
    <t>नगर विदिशा-54</t>
  </si>
  <si>
    <t>श्री रामलीला ग्राउण्ड (लंका भवन), विदिशा</t>
  </si>
  <si>
    <t>नगर विदिशा-55</t>
  </si>
  <si>
    <t>चौरसिया समाज धर्मशाला (प्राइवेट) रीठा फाटक रोड़ विदिशा</t>
  </si>
  <si>
    <t>नगर विदिशा-56</t>
  </si>
  <si>
    <t>माध्यमिक शाला, बरईपुरा, श्रीराम नगर चौराहा, विदिशा</t>
  </si>
  <si>
    <t>नगर विदिशा-57</t>
  </si>
  <si>
    <t>कार्यालय सहायक कृषि यंत्री, हलयंत्र शाखा विदिशा</t>
  </si>
  <si>
    <t>नगर विदिशा-58</t>
  </si>
  <si>
    <t>शास उ०मा०वि० बरईपुरा (पुराना भवन), खण्ड-1, श्रीराम नगर चौराहा, विदिशा</t>
  </si>
  <si>
    <t>नगर विदिशा-59</t>
  </si>
  <si>
    <t>शास. प्राथ. शाला भवन, बरईपुरा, विदिशा</t>
  </si>
  <si>
    <t>नगर विदिशा-60</t>
  </si>
  <si>
    <t>शास उ०मा०वि० बरईपुरा (पुराना भवन), खण्ड-2, श्रीराम नगर चौराहा, विदिशा</t>
  </si>
  <si>
    <t>नगर विदिशा-61</t>
  </si>
  <si>
    <t>.शा. बा. प्रा शाला खरीफाटक अर्जुन नगर पूर्वी खण्ड विदिशा</t>
  </si>
  <si>
    <t>नगर विदिशा-62</t>
  </si>
  <si>
    <t>प्रा.शा. बा. खरीफाटक अर्जुन नगर पश्चिमी खण्ड विदिशा</t>
  </si>
  <si>
    <t>नगर विदिशा-63</t>
  </si>
  <si>
    <t>शासकीय डिस्ट्रिक्ट वेटनरी हॉस्पिटल, विदिशा</t>
  </si>
  <si>
    <t>नगर विदिशा-64</t>
  </si>
  <si>
    <t>शासकीय पशु चिकित्सालय, पशु चिकित्सा कक्ष श्रीराम नगर (पूर्वी खंड) विदिशा</t>
  </si>
  <si>
    <t>नगर विदिशा-65</t>
  </si>
  <si>
    <t>शासकीय पशु चिकित्सालय, पशु चिकित्सा कक्ष श्रीराम नगर (पश्चिमी खंड) विदिशा</t>
  </si>
  <si>
    <t>नगर विदिशा-66</t>
  </si>
  <si>
    <t>पशु चिकित्सालय श्रीरामनगर गर्भाधान केन्द्र (पूर्वी खण्ड)</t>
  </si>
  <si>
    <t>नगर विदिशा-67</t>
  </si>
  <si>
    <t>पशुचिकित्सालय केन्द्र, श्रीरामनगर गर्भाधान केन्द्र (पश्चिमी खण्ड)</t>
  </si>
  <si>
    <t>नगर विदिशा-68</t>
  </si>
  <si>
    <t>शा.प्रा.शा. लुहांगीपुरा क्र-1, उत्तरीखण्ड</t>
  </si>
  <si>
    <t>नगर विदिशा-69</t>
  </si>
  <si>
    <t>शा.प्रा. शा. लुहांगीपुरा क्र-1, दक्षिणी खण्ड</t>
  </si>
  <si>
    <t>नगर विदिशा-70</t>
  </si>
  <si>
    <t>जैन भवन गोलालारी धर्मशाला (पूर्वी खण्ड)</t>
  </si>
  <si>
    <t>नगर विदिशा-71</t>
  </si>
  <si>
    <t>जैन भवन गोलालारी धर्मशाला (पश्चिमी खण्ड)</t>
  </si>
  <si>
    <t>नगर विदिशा-72</t>
  </si>
  <si>
    <t>शा उ०मा०वि० बरईपुरा, नवीन भवन (पूर्वी खण्ड), श्रीराम नगर चौराहा, विदिशा</t>
  </si>
  <si>
    <t>नगर विदिशा-73</t>
  </si>
  <si>
    <t>उ०मा०वि० बरईपुरा, नवीन भवन (पश्चिमी खण्ड), श्रीराम नगर चौराहा, विदिशा</t>
  </si>
  <si>
    <t>नगर विदिशा-74</t>
  </si>
  <si>
    <t>कार्या. कृषि उपज मण्डी कमेटी कक्ष (उत्तरी खण्ड)</t>
  </si>
  <si>
    <t>नगर विदिशा-75</t>
  </si>
  <si>
    <t>कृषि सेवा एवं सूचना केन्द्र मण्डी विदिशा</t>
  </si>
  <si>
    <t>नगर विदिशा-76</t>
  </si>
  <si>
    <t>शा.प्री मेट्रिक बालक छात्रावास छात्रहाल (उत्तरीखण्ड) विदिशा</t>
  </si>
  <si>
    <t>नगर विदिशा-77</t>
  </si>
  <si>
    <t>शा.प्री. मेट्रिक बालक छात्रावास पुरानाहॉल</t>
  </si>
  <si>
    <t>नगर विदिशा-78</t>
  </si>
  <si>
    <t>लक्ष्मीबाई अग्रवाल धर्मशाला, (उत्तरी खण्ड)</t>
  </si>
  <si>
    <t>नगर विदिशा-79</t>
  </si>
  <si>
    <t>जिला आबकारी अधिकारी कार्यालाय कक्ष खण्ड-1</t>
  </si>
  <si>
    <t>नगर विदिशा-80</t>
  </si>
  <si>
    <t>जिला आबकारी विभाग (कन्ट्रोल रूम), रेल्वे स्टेशन के पास, विदिशा</t>
  </si>
  <si>
    <t>नगर विदिशा-81</t>
  </si>
  <si>
    <t>कार्यालय कृषी उपज मंडी कमेटी कक्ष क्रं.03 विदिशा</t>
  </si>
  <si>
    <t>नगर विदिशा-82</t>
  </si>
  <si>
    <t>गिरधर गार्डन, अरिहन्त विहार गेट के सामने, विदिशा</t>
  </si>
  <si>
    <t>नगर विदिशा-83</t>
  </si>
  <si>
    <t>महर्षि विद्या मंदिर पब्लिक स्कूल अरिहंत बिहार फेस-1 मेनरोड विदिशा</t>
  </si>
  <si>
    <t>नगर विदिशा-84</t>
  </si>
  <si>
    <t>कार्यालय कृषी उपज मंडी कमेटी कक्ष क्र 01 विदिशा</t>
  </si>
  <si>
    <t>नगर विदिशा-85</t>
  </si>
  <si>
    <t>सेंटमेरी हायर सेकेंडरी स्कूल ( सी, व्लाक) सागर रोड, विदिशा</t>
  </si>
  <si>
    <t>नगर विदिशा-86</t>
  </si>
  <si>
    <t>ट्रिनिटी कान्वेन्ट स्कूल कक्षा स्टेन्डर्ड 2 सी विदिशा</t>
  </si>
  <si>
    <t>नगर विदिशा-87</t>
  </si>
  <si>
    <t>ट्रिनिटी कान्वेन्ट स्कूल कक्षा 1 ए नर्सरी ए विदिशा</t>
  </si>
  <si>
    <t>नगर विदिशा-88</t>
  </si>
  <si>
    <t>ट्रिनिटी कान्वेन्ट स्कूल कक्षा स्टेन्डर्ड 2 डी विदिशा</t>
  </si>
  <si>
    <t>नगर विदिशा-89</t>
  </si>
  <si>
    <t>सेन्ट मेरी कॉलेज, सागर रोड कक्ष-2 (पूर्वी खण्ड) विदिशा</t>
  </si>
  <si>
    <t>नगर विदिशा-90</t>
  </si>
  <si>
    <t>ट्रिनिटी कान्वेन्ट स्कूल कक्षा 1 बी नर्सरी बी विदिशा</t>
  </si>
  <si>
    <t>नगर विदिशा-91</t>
  </si>
  <si>
    <t>शा. कन्या. प्राथमिक शाला स्टेशन एरिया ट्रिनिटी कांन्वेंट के सामने</t>
  </si>
  <si>
    <t>नगर विदिशा-92</t>
  </si>
  <si>
    <t>सेन्ट मेरी कॉलेज, सागर रोड कक्ष-5 (पश्चिमी खण्ड) विदिशा</t>
  </si>
  <si>
    <t>नगर विदिशा-93</t>
  </si>
  <si>
    <t>सेन्ट मेरी हा०से० स्कूल, सागर रोड, विदिशा</t>
  </si>
  <si>
    <t>नगर विदिशा-94</t>
  </si>
  <si>
    <t>सेंन्ट मेरी कॉलेज सागर रोड विदिशा</t>
  </si>
  <si>
    <t>नगर विदिशा-95</t>
  </si>
  <si>
    <t>टेगौर बुनियादी प्रशिक्षण केन्द्र मेनहाल दक्षिणी खण्ड</t>
  </si>
  <si>
    <t>नगर विदिशा-96</t>
  </si>
  <si>
    <t>शा.प्राथ. शाला. पीतलमिल (डाईट परिसर)</t>
  </si>
  <si>
    <t>नगर विदिशा-97</t>
  </si>
  <si>
    <t>टेगौर बुनियादी प्रशिक्षण केन्द्र, कमरा-2</t>
  </si>
  <si>
    <t>नगर विदिशा-98</t>
  </si>
  <si>
    <t>आदिम जाति एवं अनु० जाति कल्याण विभाग, विदिशा</t>
  </si>
  <si>
    <t>नगर विदिशा-99</t>
  </si>
  <si>
    <t>मेवाराम मैरिज गार्डन पूरनपुरा गली नं. 05</t>
  </si>
  <si>
    <t>नगर विदिशा-100</t>
  </si>
  <si>
    <t>श्रीकृष्ण न्यास धर्मशाला कृष्णा कॉलोनी विदिशा</t>
  </si>
  <si>
    <t>नगर विदिशा-101</t>
  </si>
  <si>
    <t>सेवा भारती कृष्णा कॉलोनी विदिशा</t>
  </si>
  <si>
    <t>नगर विदिशा-102</t>
  </si>
  <si>
    <t>महाराणा प्रताप कॉलेज विदिशा</t>
  </si>
  <si>
    <t>नगर विदिशा-103</t>
  </si>
  <si>
    <t>ब्राइट फयूचर कॉनवेन्ट स्कूल, पूरनपुरा</t>
  </si>
  <si>
    <t>नगर विदिशा-104</t>
  </si>
  <si>
    <t>शा. कन्या उ.मा.वि., शेरपुरा कक्ष क्र०-7 (पूर्वी खण्ड), विदिशा</t>
  </si>
  <si>
    <t>नगर विदिशा-105</t>
  </si>
  <si>
    <t>शा. कन्या उ.मा.वि., शेरपुरा कक्ष क्र0-10 (पश्चिमी खण्ड), विदिशा</t>
  </si>
  <si>
    <t>नगर विदिशा-106</t>
  </si>
  <si>
    <t>शा. कार्यालय सिंचाई विभाग कार्यपालन यंत्री तकनीकी कक्ष विदिशा</t>
  </si>
  <si>
    <t>नगर विदिशा-107</t>
  </si>
  <si>
    <t>शा. कार्यालय सिंचाई विभाग (लेखा कक्ष) विदिशा</t>
  </si>
  <si>
    <t>नगर विदिशा-108</t>
  </si>
  <si>
    <t>कार्या. अनु. अधि. जल संसाधन विभाग, उपसंभाग क्र.-2 कक्ष, विदिशा</t>
  </si>
  <si>
    <t>नगर विदिशा-109</t>
  </si>
  <si>
    <t>कार्या. अनु. अधि. उपसंभाग क्र. 5 सिंचाई विभाग</t>
  </si>
  <si>
    <t>नगर विदिशा-110</t>
  </si>
  <si>
    <t>शा.क.प्रा.शा. (उ.ख.) खरीफाटक विदिशा</t>
  </si>
  <si>
    <t>नगर विदिशा-111</t>
  </si>
  <si>
    <t>शा.क.प्रा.शा. (द.ख.) खरीफाटक विदिशा</t>
  </si>
  <si>
    <t>नगर विदिशा-112</t>
  </si>
  <si>
    <t>जिला विकलांग एवं पुनर्वास केंद्र (फिजियो थेरेपिस्ट कक्ष), विदिशा</t>
  </si>
  <si>
    <t>नगर विदिशा-113</t>
  </si>
  <si>
    <t>जिला विकलांग एवं पुनर्वास केंद्र (स्टोर कक्ष), विदिशा</t>
  </si>
  <si>
    <t>नगर विदिशा-114</t>
  </si>
  <si>
    <t>शा.प्रा.शा. दुर्गा नगर (हॉल) श्रीकृष्ण कालोनी (उत्तरी खण्ड)</t>
  </si>
  <si>
    <t>नगर विदिशा-115</t>
  </si>
  <si>
    <t>शा.प्रा.शा. दुर्गा नगर श्रीकृष्ण कालोनी (दक्षिणीखण्ड)</t>
  </si>
  <si>
    <t>नगर विदिशा-116</t>
  </si>
  <si>
    <t>कार्या. डिस्ट्रिक्ट होमगार्ड दक्षिणीखण्ड</t>
  </si>
  <si>
    <t>नगर विदिशा-117</t>
  </si>
  <si>
    <t>इको सेन्टर विदिशा सा. वन मण्डल डिपो दुर्गा नगर पूर्वी खण्ड</t>
  </si>
  <si>
    <t>नगर विदिशा-118</t>
  </si>
  <si>
    <t>इको सेन्टर विदिशा सा. वन मण्डल डिपो दुर्गा नगर (पश्चिमी खण्ड)</t>
  </si>
  <si>
    <t>नगर विदिशा-119</t>
  </si>
  <si>
    <t>पी.पी.एम. हाई स्कूल हाजीवली तालाब, विदिशा</t>
  </si>
  <si>
    <t>नगर विदिशा-120</t>
  </si>
  <si>
    <t>कार्या डिस्ट्रिक्ट कमान्डेंट होमगार्ड उत्तरी खण्ड</t>
  </si>
  <si>
    <t>नगर विदिशा-121</t>
  </si>
  <si>
    <t>कार्या, डिस्ट्रिक्ट कर्मोन्डेन्ट होमगार्ड नवीन भवन सैनिक वैरिक क्रमांक-02</t>
  </si>
  <si>
    <t>नगर विदिशा-122</t>
  </si>
  <si>
    <t>मगधम जूनियर स्कूल क्रांति चौक आज्ञाराम कॉलोनी विदिशा</t>
  </si>
  <si>
    <t>नगर विदिशा-123</t>
  </si>
  <si>
    <t>सेन्ट्रल एकेडमी हायर सेकेण्ड्री स्कूल (N2 कक्ष पश्चिमी खण्ड) विदिशा</t>
  </si>
  <si>
    <t>नगर विदिशा-124</t>
  </si>
  <si>
    <t>सेन्ट्रल एकेडमी हायर सेकेण्ड्री स्कूल (पूर्वी खण्ड) विदिशा</t>
  </si>
  <si>
    <t>नगर विदिशा-125</t>
  </si>
  <si>
    <t>शा.मा.विद्या. माधवगंज क्र.02, सवार लाइन</t>
  </si>
  <si>
    <t>नगर विदिशा-126</t>
  </si>
  <si>
    <t>एस.एस.एल.जैन कॉलेज कमरा न. 3 पश्चिमी खण्ड</t>
  </si>
  <si>
    <t>नगर विदिशा-127</t>
  </si>
  <si>
    <t>शासकीय प्राथमिक शाला भवन, पुलिस लाइन, विदिशा</t>
  </si>
  <si>
    <t>नगर विदिशा-128</t>
  </si>
  <si>
    <t>सनमति हाई स्कूल, पूरनपुरा गली नं0-5, विदिशा</t>
  </si>
  <si>
    <t>नगर विदिशा-129</t>
  </si>
  <si>
    <t>एस.एस.एल.जैन कॉलेज कमरा न. 2 (पश्चिमी खण्ड)</t>
  </si>
  <si>
    <t>नगर विदिशा-130</t>
  </si>
  <si>
    <t>एस.एस.एल.जैन कॉलेज, (पूर्वीखण्ड)</t>
  </si>
  <si>
    <t>बराखेडा</t>
  </si>
  <si>
    <t>शासकीय प्राथमिक शाला भवन बराखेडा</t>
  </si>
  <si>
    <t>मिर्जापुर (नगर विदिशा)</t>
  </si>
  <si>
    <t>शासकीय प्राथमिक शाला भवन मिर्जापुर</t>
  </si>
  <si>
    <t>धतूरिया</t>
  </si>
  <si>
    <t>शासकीय प्राथमिक शाला भवन धतूरिया</t>
  </si>
  <si>
    <t>कराखेडी</t>
  </si>
  <si>
    <t>शासकीय नवीन हाई स्कूल भवन कराखेडी</t>
  </si>
  <si>
    <t>रूसल्ला</t>
  </si>
  <si>
    <t>शासकीय प्राथमिक शाला भवन रूसल्ला</t>
  </si>
  <si>
    <t>डाबर</t>
  </si>
  <si>
    <t>शासकीय प्राथमिक शाला भवन डाबर</t>
  </si>
  <si>
    <t>तमोरिया-1 (नगर विदिशा)</t>
  </si>
  <si>
    <t>विनायक माध्यमिक विद्यालय कक्ष क्र.-5 पश्चिमी खण्ड तमोरिया-1</t>
  </si>
  <si>
    <t>तमोरिया-2 (नगर विदिशा)</t>
  </si>
  <si>
    <t>विनायक माध्यमिक विद्यालय कक्ष क्र.-8 उत्तरी खण्ड तमोरिया -2</t>
  </si>
  <si>
    <t>चिडोरिया</t>
  </si>
  <si>
    <t>शासकीय प्राथमिक शाला भवन चिडोरिया</t>
  </si>
  <si>
    <t>गुरारिया हवेली</t>
  </si>
  <si>
    <t>शासकीय प्राथमिक शाला भवन गुरारिया हवेली</t>
  </si>
  <si>
    <t>टीलाखेड़ी-1 (नगर विदिशा)</t>
  </si>
  <si>
    <t>शासकीय प्राथमिक शाला टीलाखेड़ी</t>
  </si>
  <si>
    <t>टीलाखेड़ी-2 (नगर विदिशा)</t>
  </si>
  <si>
    <t>शासकीय माध्यमिक शाला भवन टीलाखेड़ी</t>
  </si>
  <si>
    <t>टीलाखेड़ी-3 (नगर विदिशा)</t>
  </si>
  <si>
    <t>शासकीय उ.मा.वि. माघवगंज क्रमांक-2 (नवीन भवन कक्ष क्रमांक 11)</t>
  </si>
  <si>
    <t>टीलाखेड़ी-4 (नगर विदिशा)</t>
  </si>
  <si>
    <t>शा.उ.मा.वि.माधवगंज-2</t>
  </si>
  <si>
    <t>सोठिया</t>
  </si>
  <si>
    <t>शासकीय माध्यमिक शाला भवन सोठिया</t>
  </si>
  <si>
    <t>पठारी हवेली</t>
  </si>
  <si>
    <t>शासकीय पंचायत भवन, पठारी हवेली</t>
  </si>
  <si>
    <t>परसोरा हवेली</t>
  </si>
  <si>
    <t>शास. पंचायत भवन परसोरा हवेली</t>
  </si>
  <si>
    <t>भॉरिया</t>
  </si>
  <si>
    <t>शासकीय नवीन प्राथमिक शाला भवन भोरिया</t>
  </si>
  <si>
    <t>मदनखेडी,</t>
  </si>
  <si>
    <t>शासकीय प्राथमिक शाला भवन मदनखेडी,</t>
  </si>
  <si>
    <t>बरखेडा कछवा</t>
  </si>
  <si>
    <t>शासकीय सामुदायिक भवन बरखेडा कछवा</t>
  </si>
  <si>
    <t>मूंगोद</t>
  </si>
  <si>
    <t>शासकीय प्राथमिक शाला भवन मूंगोद</t>
  </si>
  <si>
    <t>पड़ायत</t>
  </si>
  <si>
    <t>शासकीय प्राथमिक शाला भवन पड़रायत</t>
  </si>
  <si>
    <t>खाईखेड़ा</t>
  </si>
  <si>
    <t>शास. प्राथ. शाला भवन, खाईखेड़ा</t>
  </si>
  <si>
    <t>ठर्र-1</t>
  </si>
  <si>
    <t>शासकीय माध्यमिक शाला भवन खण्ड-1 ठर्र</t>
  </si>
  <si>
    <t>ठर्र-2</t>
  </si>
  <si>
    <t>शासकीय माध्यमिक शाला भवन खण्ड-2 ठर्र</t>
  </si>
  <si>
    <t>पीपरहूँठा</t>
  </si>
  <si>
    <t>शासकीय प्राथमिक शाला भवन पीपरहूँठा</t>
  </si>
  <si>
    <t>परसूखेड़ी</t>
  </si>
  <si>
    <t>मा.शा. भवन शासकीय परसूखेड़ी</t>
  </si>
  <si>
    <t>जैतपुरा</t>
  </si>
  <si>
    <t>शासकीय प्राथमिक शाला भवन जैतपुरा</t>
  </si>
  <si>
    <t>कछवा</t>
  </si>
  <si>
    <t>शासकीय हिम्मत सिंह पटेल उच्चतर माध्यमिक विद्यालय कछवा</t>
  </si>
  <si>
    <t>हॉसुआ</t>
  </si>
  <si>
    <t>शासकीय प्राथमिक शाला भवन हॉसुआ</t>
  </si>
  <si>
    <t>बेरखेड़ी जेतू</t>
  </si>
  <si>
    <t>शासकीय प्राथमिक शाला भवन बेरखेड़ी जेतू</t>
  </si>
  <si>
    <t>देवराजपुर</t>
  </si>
  <si>
    <t>शासकीय प्राथमिक शाला भवन देवराजपुर</t>
  </si>
  <si>
    <t>खरबई</t>
  </si>
  <si>
    <t>शासकीय माध्यमिक शाला भवन खरबई</t>
  </si>
  <si>
    <t>गोबरहेला</t>
  </si>
  <si>
    <t>शासकीय प्राथमिक शाला भवन गोबरहेला</t>
  </si>
  <si>
    <t>आदमपुर</t>
  </si>
  <si>
    <t>शासकीय प्राथमिक शाला भवन आदमपुर</t>
  </si>
  <si>
    <t>भाटनी</t>
  </si>
  <si>
    <t>शासकीय प्राथमिक शाला भवन भाटनी</t>
  </si>
  <si>
    <t>अहमदपुर कस्बा-1</t>
  </si>
  <si>
    <t>शासकीय माध्यमिक विद्यालय (पूर्वी भाग) अहमदपुर कस्बा</t>
  </si>
  <si>
    <t>अहमदपुर कस्बा-2</t>
  </si>
  <si>
    <t>शासकीय माध्यमिक विद्यालय भवन (पश्चिमी भाग) अहमदपुर कस्बा</t>
  </si>
  <si>
    <t>बेरखेडी (अहमदपुर)</t>
  </si>
  <si>
    <t>पंचायत भवन बेरखेडी (अहमदपुर)</t>
  </si>
  <si>
    <t>सांगई</t>
  </si>
  <si>
    <t>शासकीय नवीन प्राथमिक शाला भवन सांगई</t>
  </si>
  <si>
    <t>डंगरवाड़ा</t>
  </si>
  <si>
    <t>शासकीय प्राथमिक शाला भवन डंगरवाड़ा</t>
  </si>
  <si>
    <t>सौंथर</t>
  </si>
  <si>
    <t>पंचायत भवन साँथर</t>
  </si>
  <si>
    <t>झिरनियाँ</t>
  </si>
  <si>
    <t>शासकीय प्राथमिक शाला भवन झिरनियाँ</t>
  </si>
  <si>
    <t>रोड़ा</t>
  </si>
  <si>
    <t>शासकीय नवीन प्राथमिक शाला भवन ग्राम रोड़ा</t>
  </si>
  <si>
    <t>घाटखेड़ी</t>
  </si>
  <si>
    <t>शासकीय प्राथमिक शाला भवन, ग्राम घाटखेड़ी</t>
  </si>
  <si>
    <t>कांकरखेड़ी</t>
  </si>
  <si>
    <t>शासकीय प्राथमिक शाला भवन, कांकरखेड़ी</t>
  </si>
  <si>
    <t>करारिया अहमदपुर</t>
  </si>
  <si>
    <t>शासकीय प्राथमिक शाला भवन, करारिया अहमदपुर</t>
  </si>
  <si>
    <t>सतपाड़ा अहमदपुर</t>
  </si>
  <si>
    <t>शासकीय प्राथमिक शाला भवन, सतपाड़ा अहमदपुर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</si>
</sst>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Cambria"/>
      <family val="1"/>
    </font>
    <font>
      <sz val="9"/>
      <color rgb="FF000000"/>
      <name val="Cambria"/>
      <family val="2"/>
    </font>
    <font>
      <sz val="9"/>
      <name val="Cambria"/>
      <family val="1"/>
    </font>
    <font>
      <b/>
      <sz val="9"/>
      <color rgb="FF000000"/>
      <name val="Cambria"/>
      <family val="2"/>
    </font>
    <font>
      <sz val="9"/>
      <color theme="1"/>
      <name val="Cambria"/>
      <family val="2"/>
    </font>
    <font>
      <b/>
      <vertAlign val="subscript"/>
      <sz val="1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shrinkToFit="1"/>
    </xf>
    <xf numFmtId="1" fontId="6" fillId="3" borderId="1" xfId="0" applyNumberFormat="1" applyFont="1" applyFill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center" vertical="top" shrinkToFit="1"/>
    </xf>
    <xf numFmtId="1" fontId="3" fillId="4" borderId="1" xfId="0" applyNumberFormat="1" applyFont="1" applyFill="1" applyBorder="1" applyAlignment="1">
      <alignment horizontal="center" vertical="top" shrinkToFit="1"/>
    </xf>
    <xf numFmtId="0" fontId="0" fillId="0" borderId="1" xfId="0" applyBorder="1"/>
    <xf numFmtId="0" fontId="0" fillId="2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/>
    <xf numFmtId="1" fontId="0" fillId="2" borderId="1" xfId="0" applyNumberFormat="1" applyFill="1" applyBorder="1"/>
    <xf numFmtId="1" fontId="0" fillId="4" borderId="1" xfId="0" applyNumberFormat="1" applyFill="1" applyBorder="1"/>
    <xf numFmtId="1" fontId="0" fillId="3" borderId="1" xfId="0" applyNumberFormat="1" applyFill="1" applyBorder="1"/>
    <xf numFmtId="0" fontId="2" fillId="0" borderId="2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1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1" fontId="5" fillId="0" borderId="5" xfId="0" applyNumberFormat="1" applyFont="1" applyBorder="1" applyAlignment="1">
      <alignment horizontal="center" vertical="center" shrinkToFit="1"/>
    </xf>
    <xf numFmtId="1" fontId="5" fillId="0" borderId="7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17"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theme="3" tint="0.749961851863155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theme="3" tint="0.749961851863155"/>
        </patternFill>
      </fill>
    </dxf>
    <dxf>
      <fill>
        <patternFill patternType="solid">
          <fgColor rgb="FFE9713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Outlier!$T$3:$T$277</c:f>
              <c:numCache>
                <c:formatCode>0</c:formatCode>
                <c:ptCount val="275"/>
                <c:pt idx="0">
                  <c:v>89.583333333333343</c:v>
                </c:pt>
                <c:pt idx="1">
                  <c:v>72.182006204756973</c:v>
                </c:pt>
                <c:pt idx="2">
                  <c:v>79.225352112676063</c:v>
                </c:pt>
                <c:pt idx="3">
                  <c:v>79.075144508670519</c:v>
                </c:pt>
                <c:pt idx="4">
                  <c:v>83.299798792756548</c:v>
                </c:pt>
                <c:pt idx="5">
                  <c:v>71.501014198782968</c:v>
                </c:pt>
                <c:pt idx="6">
                  <c:v>84.959349593495944</c:v>
                </c:pt>
                <c:pt idx="7">
                  <c:v>79.837398373983731</c:v>
                </c:pt>
                <c:pt idx="8">
                  <c:v>82.027649769585253</c:v>
                </c:pt>
                <c:pt idx="9">
                  <c:v>77.41935483870968</c:v>
                </c:pt>
                <c:pt idx="10">
                  <c:v>87.859007832898172</c:v>
                </c:pt>
                <c:pt idx="11">
                  <c:v>83.752860411899306</c:v>
                </c:pt>
                <c:pt idx="12">
                  <c:v>78.245614035087712</c:v>
                </c:pt>
                <c:pt idx="13">
                  <c:v>75.486827033218788</c:v>
                </c:pt>
                <c:pt idx="14">
                  <c:v>71.589840075258707</c:v>
                </c:pt>
                <c:pt idx="15">
                  <c:v>77.978339350180505</c:v>
                </c:pt>
                <c:pt idx="16">
                  <c:v>84.044943820224717</c:v>
                </c:pt>
                <c:pt idx="17">
                  <c:v>82.586427656850191</c:v>
                </c:pt>
                <c:pt idx="18">
                  <c:v>82.924226254002136</c:v>
                </c:pt>
                <c:pt idx="19">
                  <c:v>86.393659180977551</c:v>
                </c:pt>
                <c:pt idx="20">
                  <c:v>82.985553772070631</c:v>
                </c:pt>
                <c:pt idx="21">
                  <c:v>83.093525179856115</c:v>
                </c:pt>
                <c:pt idx="22">
                  <c:v>81.227436823104696</c:v>
                </c:pt>
                <c:pt idx="23">
                  <c:v>81.54981549815497</c:v>
                </c:pt>
                <c:pt idx="24">
                  <c:v>72.209821428571431</c:v>
                </c:pt>
                <c:pt idx="25">
                  <c:v>83.395755305867667</c:v>
                </c:pt>
                <c:pt idx="26">
                  <c:v>73.096976016684039</c:v>
                </c:pt>
                <c:pt idx="27">
                  <c:v>82.453151618398635</c:v>
                </c:pt>
                <c:pt idx="28">
                  <c:v>80.711354309165529</c:v>
                </c:pt>
                <c:pt idx="29">
                  <c:v>82.718120805369139</c:v>
                </c:pt>
                <c:pt idx="30">
                  <c:v>82.421227197346596</c:v>
                </c:pt>
                <c:pt idx="31">
                  <c:v>83.215130023640654</c:v>
                </c:pt>
                <c:pt idx="32">
                  <c:v>83.149779735682813</c:v>
                </c:pt>
                <c:pt idx="33">
                  <c:v>85.928143712574851</c:v>
                </c:pt>
                <c:pt idx="34">
                  <c:v>81.003584229390682</c:v>
                </c:pt>
                <c:pt idx="35">
                  <c:v>70.862800565770868</c:v>
                </c:pt>
                <c:pt idx="36">
                  <c:v>87.305122494432069</c:v>
                </c:pt>
                <c:pt idx="37">
                  <c:v>81.183611532625193</c:v>
                </c:pt>
                <c:pt idx="38">
                  <c:v>71.664943123061008</c:v>
                </c:pt>
                <c:pt idx="39">
                  <c:v>85.549132947976886</c:v>
                </c:pt>
                <c:pt idx="40">
                  <c:v>80.144404332129966</c:v>
                </c:pt>
                <c:pt idx="41">
                  <c:v>83.001531393568158</c:v>
                </c:pt>
                <c:pt idx="42">
                  <c:v>81.818181818181827</c:v>
                </c:pt>
                <c:pt idx="43">
                  <c:v>81.057268722466958</c:v>
                </c:pt>
                <c:pt idx="44">
                  <c:v>79.618593563766396</c:v>
                </c:pt>
                <c:pt idx="45">
                  <c:v>88.703703703703709</c:v>
                </c:pt>
                <c:pt idx="46">
                  <c:v>76.526717557251914</c:v>
                </c:pt>
                <c:pt idx="47">
                  <c:v>79.721900347624569</c:v>
                </c:pt>
                <c:pt idx="48">
                  <c:v>74.5631067961165</c:v>
                </c:pt>
                <c:pt idx="49">
                  <c:v>86.030428769017988</c:v>
                </c:pt>
                <c:pt idx="50">
                  <c:v>78.177150192554564</c:v>
                </c:pt>
                <c:pt idx="51">
                  <c:v>76.043956043956044</c:v>
                </c:pt>
                <c:pt idx="52">
                  <c:v>71.875</c:v>
                </c:pt>
                <c:pt idx="53">
                  <c:v>80.033840947546537</c:v>
                </c:pt>
                <c:pt idx="54">
                  <c:v>74.30167597765363</c:v>
                </c:pt>
                <c:pt idx="55">
                  <c:v>69.083155650319824</c:v>
                </c:pt>
                <c:pt idx="56">
                  <c:v>75.795053003533567</c:v>
                </c:pt>
                <c:pt idx="57">
                  <c:v>75.359116022099442</c:v>
                </c:pt>
                <c:pt idx="58">
                  <c:v>84.21875</c:v>
                </c:pt>
                <c:pt idx="59">
                  <c:v>81.333333333333329</c:v>
                </c:pt>
                <c:pt idx="60">
                  <c:v>82.095490716180379</c:v>
                </c:pt>
                <c:pt idx="61">
                  <c:v>78.599735799207394</c:v>
                </c:pt>
                <c:pt idx="62">
                  <c:v>72.408293460925037</c:v>
                </c:pt>
                <c:pt idx="63">
                  <c:v>80.597014925373131</c:v>
                </c:pt>
                <c:pt idx="64">
                  <c:v>78.600823045267489</c:v>
                </c:pt>
                <c:pt idx="65">
                  <c:v>73.755334281650079</c:v>
                </c:pt>
                <c:pt idx="66">
                  <c:v>80.212954747116243</c:v>
                </c:pt>
                <c:pt idx="67">
                  <c:v>92.658227848101276</c:v>
                </c:pt>
                <c:pt idx="68">
                  <c:v>77.565632458233893</c:v>
                </c:pt>
                <c:pt idx="69">
                  <c:v>83.486238532110093</c:v>
                </c:pt>
                <c:pt idx="70">
                  <c:v>77.196652719665266</c:v>
                </c:pt>
                <c:pt idx="71">
                  <c:v>83.70607028753993</c:v>
                </c:pt>
                <c:pt idx="72">
                  <c:v>70.862800565770868</c:v>
                </c:pt>
                <c:pt idx="73">
                  <c:v>81.278962001853571</c:v>
                </c:pt>
                <c:pt idx="74">
                  <c:v>81.556195965417871</c:v>
                </c:pt>
                <c:pt idx="75">
                  <c:v>77.386934673366838</c:v>
                </c:pt>
                <c:pt idx="76">
                  <c:v>75.590551181102356</c:v>
                </c:pt>
                <c:pt idx="77">
                  <c:v>70.661896243291594</c:v>
                </c:pt>
                <c:pt idx="78">
                  <c:v>82.50790305584826</c:v>
                </c:pt>
                <c:pt idx="79">
                  <c:v>84.779706275033377</c:v>
                </c:pt>
                <c:pt idx="80">
                  <c:v>83.85608856088561</c:v>
                </c:pt>
                <c:pt idx="81">
                  <c:v>81.041257367387033</c:v>
                </c:pt>
                <c:pt idx="82">
                  <c:v>83.064516129032256</c:v>
                </c:pt>
                <c:pt idx="83">
                  <c:v>82.394366197183103</c:v>
                </c:pt>
                <c:pt idx="84">
                  <c:v>85.887541345093723</c:v>
                </c:pt>
                <c:pt idx="85">
                  <c:v>73.193916349809882</c:v>
                </c:pt>
                <c:pt idx="86">
                  <c:v>83.709273182957389</c:v>
                </c:pt>
                <c:pt idx="87">
                  <c:v>87.135922330097088</c:v>
                </c:pt>
                <c:pt idx="88">
                  <c:v>82.622950819672141</c:v>
                </c:pt>
                <c:pt idx="89">
                  <c:v>81.481481481481481</c:v>
                </c:pt>
                <c:pt idx="90">
                  <c:v>91.913746630727772</c:v>
                </c:pt>
                <c:pt idx="91">
                  <c:v>86.281588447653434</c:v>
                </c:pt>
                <c:pt idx="92">
                  <c:v>78.481945467943987</c:v>
                </c:pt>
                <c:pt idx="93">
                  <c:v>81.024096385542165</c:v>
                </c:pt>
                <c:pt idx="94">
                  <c:v>87.171052631578945</c:v>
                </c:pt>
                <c:pt idx="95">
                  <c:v>81.543624161073822</c:v>
                </c:pt>
                <c:pt idx="96">
                  <c:v>81.772575250836127</c:v>
                </c:pt>
                <c:pt idx="97">
                  <c:v>66.472642607683355</c:v>
                </c:pt>
                <c:pt idx="98">
                  <c:v>68.650217706821479</c:v>
                </c:pt>
                <c:pt idx="99">
                  <c:v>75.320512820512818</c:v>
                </c:pt>
                <c:pt idx="100">
                  <c:v>68.700959023539667</c:v>
                </c:pt>
                <c:pt idx="101">
                  <c:v>77.84232365145229</c:v>
                </c:pt>
                <c:pt idx="102">
                  <c:v>71.950207468879668</c:v>
                </c:pt>
                <c:pt idx="103">
                  <c:v>54.291845493562228</c:v>
                </c:pt>
                <c:pt idx="104">
                  <c:v>74.463519313304715</c:v>
                </c:pt>
                <c:pt idx="105">
                  <c:v>71.122230164403149</c:v>
                </c:pt>
                <c:pt idx="106">
                  <c:v>68.355995055624234</c:v>
                </c:pt>
                <c:pt idx="107">
                  <c:v>72.551130247578044</c:v>
                </c:pt>
                <c:pt idx="108">
                  <c:v>72.735760971055086</c:v>
                </c:pt>
                <c:pt idx="109">
                  <c:v>74.74832214765101</c:v>
                </c:pt>
                <c:pt idx="110">
                  <c:v>69.48669201520913</c:v>
                </c:pt>
                <c:pt idx="111">
                  <c:v>71.393643031784833</c:v>
                </c:pt>
                <c:pt idx="112">
                  <c:v>71.680216802168019</c:v>
                </c:pt>
                <c:pt idx="113">
                  <c:v>77.777777777777786</c:v>
                </c:pt>
                <c:pt idx="114">
                  <c:v>66.427718040621258</c:v>
                </c:pt>
                <c:pt idx="115">
                  <c:v>68.992248062015506</c:v>
                </c:pt>
                <c:pt idx="116">
                  <c:v>69.090909090909093</c:v>
                </c:pt>
                <c:pt idx="117">
                  <c:v>75.777777777777771</c:v>
                </c:pt>
                <c:pt idx="118">
                  <c:v>99.896800825593388</c:v>
                </c:pt>
                <c:pt idx="119">
                  <c:v>78.373983739837399</c:v>
                </c:pt>
                <c:pt idx="120">
                  <c:v>78.626692456479688</c:v>
                </c:pt>
                <c:pt idx="121">
                  <c:v>89.709762532981529</c:v>
                </c:pt>
                <c:pt idx="122">
                  <c:v>72.91242362525459</c:v>
                </c:pt>
                <c:pt idx="123">
                  <c:v>78.84615384615384</c:v>
                </c:pt>
                <c:pt idx="124">
                  <c:v>73.65930599369085</c:v>
                </c:pt>
                <c:pt idx="125">
                  <c:v>71.115173674588661</c:v>
                </c:pt>
                <c:pt idx="126">
                  <c:v>74.614472123368927</c:v>
                </c:pt>
                <c:pt idx="127">
                  <c:v>79.933481152993352</c:v>
                </c:pt>
                <c:pt idx="128">
                  <c:v>72.067901234567898</c:v>
                </c:pt>
                <c:pt idx="129">
                  <c:v>70.893371757925067</c:v>
                </c:pt>
                <c:pt idx="130">
                  <c:v>82.320441988950279</c:v>
                </c:pt>
                <c:pt idx="131">
                  <c:v>80.208333333333343</c:v>
                </c:pt>
                <c:pt idx="132">
                  <c:v>76.991150442477874</c:v>
                </c:pt>
                <c:pt idx="133">
                  <c:v>80.261011419249598</c:v>
                </c:pt>
                <c:pt idx="134">
                  <c:v>76.252319109461965</c:v>
                </c:pt>
                <c:pt idx="135">
                  <c:v>72.787821122740255</c:v>
                </c:pt>
                <c:pt idx="136">
                  <c:v>66.792809839167461</c:v>
                </c:pt>
                <c:pt idx="137">
                  <c:v>75.516224188790559</c:v>
                </c:pt>
                <c:pt idx="138">
                  <c:v>68.885869565217391</c:v>
                </c:pt>
                <c:pt idx="139">
                  <c:v>69.675925925925924</c:v>
                </c:pt>
                <c:pt idx="140">
                  <c:v>78.94736842105263</c:v>
                </c:pt>
                <c:pt idx="141">
                  <c:v>79.098360655737707</c:v>
                </c:pt>
                <c:pt idx="142">
                  <c:v>82.943143812709025</c:v>
                </c:pt>
                <c:pt idx="143">
                  <c:v>79.763186221743808</c:v>
                </c:pt>
                <c:pt idx="144">
                  <c:v>78.704612365063781</c:v>
                </c:pt>
                <c:pt idx="145">
                  <c:v>82.502443792766371</c:v>
                </c:pt>
                <c:pt idx="146">
                  <c:v>77.460317460317469</c:v>
                </c:pt>
                <c:pt idx="147">
                  <c:v>76.746242263483637</c:v>
                </c:pt>
                <c:pt idx="148">
                  <c:v>74.306269270298046</c:v>
                </c:pt>
                <c:pt idx="149">
                  <c:v>73.376623376623371</c:v>
                </c:pt>
                <c:pt idx="150">
                  <c:v>84.558216350123857</c:v>
                </c:pt>
                <c:pt idx="151">
                  <c:v>79.508890770533441</c:v>
                </c:pt>
                <c:pt idx="152">
                  <c:v>76.246830092983942</c:v>
                </c:pt>
                <c:pt idx="153">
                  <c:v>72.291666666666671</c:v>
                </c:pt>
                <c:pt idx="154">
                  <c:v>76.774193548387089</c:v>
                </c:pt>
                <c:pt idx="155">
                  <c:v>59.95174909529554</c:v>
                </c:pt>
                <c:pt idx="156">
                  <c:v>81.9848975188781</c:v>
                </c:pt>
                <c:pt idx="157">
                  <c:v>80.585365853658544</c:v>
                </c:pt>
                <c:pt idx="158">
                  <c:v>73.041709053916577</c:v>
                </c:pt>
                <c:pt idx="159">
                  <c:v>72.335844994617872</c:v>
                </c:pt>
                <c:pt idx="160">
                  <c:v>118.63488624052006</c:v>
                </c:pt>
                <c:pt idx="161">
                  <c:v>69.537815126050418</c:v>
                </c:pt>
                <c:pt idx="162">
                  <c:v>70.046620046620049</c:v>
                </c:pt>
                <c:pt idx="163">
                  <c:v>67.041522491349482</c:v>
                </c:pt>
                <c:pt idx="164">
                  <c:v>64.788732394366207</c:v>
                </c:pt>
                <c:pt idx="165">
                  <c:v>72.280701754385973</c:v>
                </c:pt>
                <c:pt idx="166">
                  <c:v>71.32963988919667</c:v>
                </c:pt>
                <c:pt idx="167">
                  <c:v>78.447121820615791</c:v>
                </c:pt>
                <c:pt idx="168">
                  <c:v>66.048237476808907</c:v>
                </c:pt>
                <c:pt idx="169">
                  <c:v>71.074380165289256</c:v>
                </c:pt>
                <c:pt idx="170">
                  <c:v>61.0062893081761</c:v>
                </c:pt>
                <c:pt idx="171">
                  <c:v>70.617906683480456</c:v>
                </c:pt>
                <c:pt idx="172">
                  <c:v>77.882352941176464</c:v>
                </c:pt>
                <c:pt idx="173">
                  <c:v>75.702811244979912</c:v>
                </c:pt>
                <c:pt idx="174">
                  <c:v>69.776119402985074</c:v>
                </c:pt>
                <c:pt idx="175">
                  <c:v>68.700265251989393</c:v>
                </c:pt>
                <c:pt idx="176">
                  <c:v>76.923076923076934</c:v>
                </c:pt>
                <c:pt idx="177">
                  <c:v>61.224489795918366</c:v>
                </c:pt>
                <c:pt idx="178">
                  <c:v>62.537165510406346</c:v>
                </c:pt>
                <c:pt idx="179">
                  <c:v>66.334164588528679</c:v>
                </c:pt>
                <c:pt idx="180">
                  <c:v>69.118982742960938</c:v>
                </c:pt>
                <c:pt idx="181">
                  <c:v>75.048543689320397</c:v>
                </c:pt>
                <c:pt idx="182">
                  <c:v>65.34749034749035</c:v>
                </c:pt>
                <c:pt idx="183">
                  <c:v>68.961973278520034</c:v>
                </c:pt>
                <c:pt idx="184">
                  <c:v>63.129973474801062</c:v>
                </c:pt>
                <c:pt idx="185">
                  <c:v>70.469798657718115</c:v>
                </c:pt>
                <c:pt idx="186">
                  <c:v>71.05263157894737</c:v>
                </c:pt>
                <c:pt idx="187">
                  <c:v>68.404588112617319</c:v>
                </c:pt>
                <c:pt idx="188">
                  <c:v>77.515400410677614</c:v>
                </c:pt>
                <c:pt idx="189">
                  <c:v>73.391304347826093</c:v>
                </c:pt>
                <c:pt idx="190">
                  <c:v>77.505919494869772</c:v>
                </c:pt>
                <c:pt idx="191">
                  <c:v>75.220372184133197</c:v>
                </c:pt>
                <c:pt idx="192">
                  <c:v>72.342621259029926</c:v>
                </c:pt>
                <c:pt idx="193">
                  <c:v>69.300911854103347</c:v>
                </c:pt>
                <c:pt idx="194">
                  <c:v>54.751131221719461</c:v>
                </c:pt>
                <c:pt idx="195">
                  <c:v>66.80261011419249</c:v>
                </c:pt>
                <c:pt idx="196">
                  <c:v>67.067307692307693</c:v>
                </c:pt>
                <c:pt idx="197">
                  <c:v>74.543080939947785</c:v>
                </c:pt>
                <c:pt idx="198">
                  <c:v>76.814326107445808</c:v>
                </c:pt>
                <c:pt idx="199">
                  <c:v>58.986928104575163</c:v>
                </c:pt>
                <c:pt idx="200">
                  <c:v>61.871508379888276</c:v>
                </c:pt>
                <c:pt idx="201">
                  <c:v>60.377358490566039</c:v>
                </c:pt>
                <c:pt idx="202">
                  <c:v>67.20338983050847</c:v>
                </c:pt>
                <c:pt idx="203">
                  <c:v>71.649831649831654</c:v>
                </c:pt>
                <c:pt idx="204">
                  <c:v>68.818514007308167</c:v>
                </c:pt>
                <c:pt idx="205">
                  <c:v>73.532550693703314</c:v>
                </c:pt>
                <c:pt idx="206">
                  <c:v>74.338883447600395</c:v>
                </c:pt>
                <c:pt idx="207">
                  <c:v>64.809902740937218</c:v>
                </c:pt>
                <c:pt idx="208">
                  <c:v>58.864696734059095</c:v>
                </c:pt>
                <c:pt idx="209">
                  <c:v>64.804964539007088</c:v>
                </c:pt>
                <c:pt idx="210">
                  <c:v>65.580182529335076</c:v>
                </c:pt>
                <c:pt idx="211">
                  <c:v>61.957868649318456</c:v>
                </c:pt>
                <c:pt idx="212">
                  <c:v>70.489844683393059</c:v>
                </c:pt>
                <c:pt idx="213">
                  <c:v>73.443983402489636</c:v>
                </c:pt>
                <c:pt idx="214">
                  <c:v>72.171651495448629</c:v>
                </c:pt>
                <c:pt idx="215">
                  <c:v>70.12383900928792</c:v>
                </c:pt>
                <c:pt idx="216">
                  <c:v>70.384615384615387</c:v>
                </c:pt>
                <c:pt idx="217">
                  <c:v>69.418386491557229</c:v>
                </c:pt>
                <c:pt idx="218">
                  <c:v>63.644524236983848</c:v>
                </c:pt>
                <c:pt idx="219">
                  <c:v>70.258136924803594</c:v>
                </c:pt>
                <c:pt idx="220">
                  <c:v>73.948717948717942</c:v>
                </c:pt>
                <c:pt idx="221">
                  <c:v>71.15666178623718</c:v>
                </c:pt>
                <c:pt idx="222">
                  <c:v>64.069952305246431</c:v>
                </c:pt>
                <c:pt idx="223">
                  <c:v>38.918205804749341</c:v>
                </c:pt>
                <c:pt idx="224">
                  <c:v>78.352692713833164</c:v>
                </c:pt>
                <c:pt idx="225">
                  <c:v>64.496124031007753</c:v>
                </c:pt>
                <c:pt idx="226">
                  <c:v>67.209113100081368</c:v>
                </c:pt>
                <c:pt idx="227">
                  <c:v>85.593220338983059</c:v>
                </c:pt>
                <c:pt idx="228">
                  <c:v>80.555555555555557</c:v>
                </c:pt>
                <c:pt idx="229">
                  <c:v>78.637200736648253</c:v>
                </c:pt>
                <c:pt idx="230">
                  <c:v>81.980519480519476</c:v>
                </c:pt>
                <c:pt idx="231">
                  <c:v>86.946902654867259</c:v>
                </c:pt>
                <c:pt idx="232">
                  <c:v>74.639423076923066</c:v>
                </c:pt>
                <c:pt idx="233">
                  <c:v>69.063545150501668</c:v>
                </c:pt>
                <c:pt idx="234">
                  <c:v>69.325153374233125</c:v>
                </c:pt>
                <c:pt idx="235">
                  <c:v>86.096256684491976</c:v>
                </c:pt>
                <c:pt idx="236">
                  <c:v>87.252124645892351</c:v>
                </c:pt>
                <c:pt idx="237">
                  <c:v>70.226773957571325</c:v>
                </c:pt>
                <c:pt idx="238">
                  <c:v>72.572815533980588</c:v>
                </c:pt>
                <c:pt idx="239">
                  <c:v>65.467128027681667</c:v>
                </c:pt>
                <c:pt idx="240">
                  <c:v>71.870794078061905</c:v>
                </c:pt>
                <c:pt idx="241">
                  <c:v>84.003925417075564</c:v>
                </c:pt>
                <c:pt idx="242">
                  <c:v>74.282982791586988</c:v>
                </c:pt>
                <c:pt idx="243">
                  <c:v>83.045977011494259</c:v>
                </c:pt>
                <c:pt idx="244">
                  <c:v>85.850556438791742</c:v>
                </c:pt>
                <c:pt idx="245">
                  <c:v>80.793650793650798</c:v>
                </c:pt>
                <c:pt idx="246">
                  <c:v>80.078636959370911</c:v>
                </c:pt>
                <c:pt idx="247">
                  <c:v>83.490566037735846</c:v>
                </c:pt>
                <c:pt idx="248">
                  <c:v>73.819163292847506</c:v>
                </c:pt>
                <c:pt idx="249">
                  <c:v>79.818181818181827</c:v>
                </c:pt>
                <c:pt idx="250">
                  <c:v>75.790513833992094</c:v>
                </c:pt>
                <c:pt idx="251">
                  <c:v>76.143141153081501</c:v>
                </c:pt>
                <c:pt idx="252">
                  <c:v>79.782608695652172</c:v>
                </c:pt>
                <c:pt idx="253">
                  <c:v>87.685459940652819</c:v>
                </c:pt>
                <c:pt idx="254">
                  <c:v>76.863504356243951</c:v>
                </c:pt>
                <c:pt idx="255">
                  <c:v>83.656957928802584</c:v>
                </c:pt>
                <c:pt idx="256">
                  <c:v>82.79742765273312</c:v>
                </c:pt>
                <c:pt idx="257">
                  <c:v>68.726235741444867</c:v>
                </c:pt>
                <c:pt idx="258">
                  <c:v>80.659670164917543</c:v>
                </c:pt>
                <c:pt idx="259">
                  <c:v>85.61643835616438</c:v>
                </c:pt>
                <c:pt idx="260">
                  <c:v>87.173100871731009</c:v>
                </c:pt>
                <c:pt idx="261">
                  <c:v>81.451612903225808</c:v>
                </c:pt>
                <c:pt idx="262">
                  <c:v>88.352272727272734</c:v>
                </c:pt>
                <c:pt idx="263">
                  <c:v>81.699846860643191</c:v>
                </c:pt>
                <c:pt idx="264">
                  <c:v>76.10294117647058</c:v>
                </c:pt>
                <c:pt idx="265">
                  <c:v>84.182305630026804</c:v>
                </c:pt>
                <c:pt idx="266">
                  <c:v>73.954372623574145</c:v>
                </c:pt>
                <c:pt idx="267">
                  <c:v>74.04651162790698</c:v>
                </c:pt>
                <c:pt idx="268">
                  <c:v>73.145539906103281</c:v>
                </c:pt>
                <c:pt idx="269">
                  <c:v>80.180180180180187</c:v>
                </c:pt>
                <c:pt idx="270">
                  <c:v>83.879093198992436</c:v>
                </c:pt>
                <c:pt idx="271">
                  <c:v>70.604395604395606</c:v>
                </c:pt>
                <c:pt idx="272">
                  <c:v>74.93309545049064</c:v>
                </c:pt>
                <c:pt idx="273">
                  <c:v>76.976421636615811</c:v>
                </c:pt>
                <c:pt idx="274">
                  <c:v>81.544502617801058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DB-4814-9579-F12BA83E0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243184"/>
        <c:axId val="1563259984"/>
      </c:scatterChart>
      <c:valAx>
        <c:axId val="156324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59984"/>
        <c:crosses val="autoZero"/>
        <c:crossBetween val="midCat"/>
      </c:valAx>
      <c:valAx>
        <c:axId val="15632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43184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r>
              <a:rPr lang="en-US" baseline="0"/>
              <a:t> positive  VS Voter Turnout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Outlier!$S$3:$S$277</c:f>
              <c:numCache>
                <c:formatCode>0</c:formatCode>
                <c:ptCount val="275"/>
                <c:pt idx="0">
                  <c:v>60</c:v>
                </c:pt>
                <c:pt idx="1">
                  <c:v>232</c:v>
                </c:pt>
                <c:pt idx="2">
                  <c:v>70</c:v>
                </c:pt>
                <c:pt idx="3">
                  <c:v>194</c:v>
                </c:pt>
                <c:pt idx="4">
                  <c:v>38</c:v>
                </c:pt>
                <c:pt idx="5">
                  <c:v>141</c:v>
                </c:pt>
                <c:pt idx="6">
                  <c:v>6</c:v>
                </c:pt>
                <c:pt idx="7">
                  <c:v>137</c:v>
                </c:pt>
                <c:pt idx="8">
                  <c:v>76</c:v>
                </c:pt>
                <c:pt idx="9">
                  <c:v>58</c:v>
                </c:pt>
                <c:pt idx="10">
                  <c:v>165</c:v>
                </c:pt>
                <c:pt idx="11">
                  <c:v>175</c:v>
                </c:pt>
                <c:pt idx="12">
                  <c:v>115</c:v>
                </c:pt>
                <c:pt idx="13">
                  <c:v>16</c:v>
                </c:pt>
                <c:pt idx="14">
                  <c:v>233</c:v>
                </c:pt>
                <c:pt idx="15">
                  <c:v>211</c:v>
                </c:pt>
                <c:pt idx="16">
                  <c:v>279</c:v>
                </c:pt>
                <c:pt idx="17">
                  <c:v>91</c:v>
                </c:pt>
                <c:pt idx="18">
                  <c:v>287</c:v>
                </c:pt>
                <c:pt idx="19">
                  <c:v>73</c:v>
                </c:pt>
                <c:pt idx="20">
                  <c:v>144</c:v>
                </c:pt>
                <c:pt idx="21">
                  <c:v>23</c:v>
                </c:pt>
                <c:pt idx="22">
                  <c:v>135</c:v>
                </c:pt>
                <c:pt idx="23">
                  <c:v>148</c:v>
                </c:pt>
                <c:pt idx="24">
                  <c:v>247</c:v>
                </c:pt>
                <c:pt idx="25">
                  <c:v>96</c:v>
                </c:pt>
                <c:pt idx="26">
                  <c:v>157</c:v>
                </c:pt>
                <c:pt idx="27">
                  <c:v>52</c:v>
                </c:pt>
                <c:pt idx="28">
                  <c:v>209</c:v>
                </c:pt>
                <c:pt idx="29">
                  <c:v>209</c:v>
                </c:pt>
                <c:pt idx="30">
                  <c:v>59</c:v>
                </c:pt>
                <c:pt idx="31">
                  <c:v>3</c:v>
                </c:pt>
                <c:pt idx="32">
                  <c:v>27</c:v>
                </c:pt>
                <c:pt idx="33">
                  <c:v>104</c:v>
                </c:pt>
                <c:pt idx="34">
                  <c:v>80</c:v>
                </c:pt>
                <c:pt idx="35">
                  <c:v>5</c:v>
                </c:pt>
                <c:pt idx="36">
                  <c:v>13</c:v>
                </c:pt>
                <c:pt idx="37">
                  <c:v>85</c:v>
                </c:pt>
                <c:pt idx="38">
                  <c:v>123</c:v>
                </c:pt>
                <c:pt idx="39">
                  <c:v>219</c:v>
                </c:pt>
                <c:pt idx="40">
                  <c:v>119</c:v>
                </c:pt>
                <c:pt idx="41">
                  <c:v>119</c:v>
                </c:pt>
                <c:pt idx="42">
                  <c:v>179</c:v>
                </c:pt>
                <c:pt idx="43">
                  <c:v>209</c:v>
                </c:pt>
                <c:pt idx="44">
                  <c:v>179</c:v>
                </c:pt>
                <c:pt idx="45">
                  <c:v>228</c:v>
                </c:pt>
                <c:pt idx="46">
                  <c:v>137</c:v>
                </c:pt>
                <c:pt idx="47">
                  <c:v>79</c:v>
                </c:pt>
                <c:pt idx="48">
                  <c:v>118</c:v>
                </c:pt>
                <c:pt idx="49">
                  <c:v>198</c:v>
                </c:pt>
                <c:pt idx="50">
                  <c:v>347</c:v>
                </c:pt>
                <c:pt idx="51">
                  <c:v>13</c:v>
                </c:pt>
                <c:pt idx="52">
                  <c:v>215</c:v>
                </c:pt>
                <c:pt idx="53">
                  <c:v>62</c:v>
                </c:pt>
                <c:pt idx="54">
                  <c:v>75</c:v>
                </c:pt>
                <c:pt idx="55">
                  <c:v>140</c:v>
                </c:pt>
                <c:pt idx="56">
                  <c:v>545</c:v>
                </c:pt>
                <c:pt idx="57">
                  <c:v>256</c:v>
                </c:pt>
                <c:pt idx="58">
                  <c:v>127</c:v>
                </c:pt>
                <c:pt idx="59">
                  <c:v>89</c:v>
                </c:pt>
                <c:pt idx="60">
                  <c:v>172</c:v>
                </c:pt>
                <c:pt idx="61">
                  <c:v>154</c:v>
                </c:pt>
                <c:pt idx="62">
                  <c:v>180</c:v>
                </c:pt>
                <c:pt idx="63">
                  <c:v>115</c:v>
                </c:pt>
                <c:pt idx="64">
                  <c:v>133</c:v>
                </c:pt>
                <c:pt idx="65">
                  <c:v>238</c:v>
                </c:pt>
                <c:pt idx="66">
                  <c:v>354</c:v>
                </c:pt>
                <c:pt idx="67">
                  <c:v>17</c:v>
                </c:pt>
                <c:pt idx="68">
                  <c:v>28</c:v>
                </c:pt>
                <c:pt idx="69">
                  <c:v>90</c:v>
                </c:pt>
                <c:pt idx="70">
                  <c:v>149</c:v>
                </c:pt>
                <c:pt idx="71">
                  <c:v>5</c:v>
                </c:pt>
                <c:pt idx="72">
                  <c:v>51</c:v>
                </c:pt>
                <c:pt idx="73">
                  <c:v>27</c:v>
                </c:pt>
                <c:pt idx="74">
                  <c:v>246</c:v>
                </c:pt>
                <c:pt idx="75">
                  <c:v>182</c:v>
                </c:pt>
                <c:pt idx="76">
                  <c:v>159</c:v>
                </c:pt>
                <c:pt idx="77">
                  <c:v>65</c:v>
                </c:pt>
                <c:pt idx="78">
                  <c:v>106</c:v>
                </c:pt>
                <c:pt idx="79">
                  <c:v>139</c:v>
                </c:pt>
                <c:pt idx="80">
                  <c:v>397</c:v>
                </c:pt>
                <c:pt idx="81">
                  <c:v>184</c:v>
                </c:pt>
                <c:pt idx="82">
                  <c:v>100</c:v>
                </c:pt>
                <c:pt idx="83">
                  <c:v>152</c:v>
                </c:pt>
                <c:pt idx="84">
                  <c:v>126</c:v>
                </c:pt>
                <c:pt idx="85">
                  <c:v>33</c:v>
                </c:pt>
                <c:pt idx="86">
                  <c:v>39</c:v>
                </c:pt>
                <c:pt idx="87">
                  <c:v>155</c:v>
                </c:pt>
                <c:pt idx="88">
                  <c:v>42</c:v>
                </c:pt>
                <c:pt idx="89">
                  <c:v>92</c:v>
                </c:pt>
                <c:pt idx="90">
                  <c:v>65</c:v>
                </c:pt>
                <c:pt idx="91">
                  <c:v>15</c:v>
                </c:pt>
                <c:pt idx="92">
                  <c:v>344</c:v>
                </c:pt>
                <c:pt idx="93">
                  <c:v>303</c:v>
                </c:pt>
                <c:pt idx="94">
                  <c:v>225</c:v>
                </c:pt>
                <c:pt idx="95">
                  <c:v>34</c:v>
                </c:pt>
                <c:pt idx="96">
                  <c:v>88</c:v>
                </c:pt>
                <c:pt idx="97">
                  <c:v>185</c:v>
                </c:pt>
                <c:pt idx="98">
                  <c:v>21</c:v>
                </c:pt>
                <c:pt idx="99">
                  <c:v>2</c:v>
                </c:pt>
                <c:pt idx="100">
                  <c:v>188</c:v>
                </c:pt>
                <c:pt idx="101">
                  <c:v>88</c:v>
                </c:pt>
                <c:pt idx="102">
                  <c:v>128</c:v>
                </c:pt>
                <c:pt idx="103">
                  <c:v>87</c:v>
                </c:pt>
                <c:pt idx="104">
                  <c:v>64</c:v>
                </c:pt>
                <c:pt idx="105">
                  <c:v>341</c:v>
                </c:pt>
                <c:pt idx="106">
                  <c:v>122</c:v>
                </c:pt>
                <c:pt idx="107">
                  <c:v>69</c:v>
                </c:pt>
                <c:pt idx="108">
                  <c:v>43</c:v>
                </c:pt>
                <c:pt idx="109">
                  <c:v>206</c:v>
                </c:pt>
                <c:pt idx="110">
                  <c:v>53</c:v>
                </c:pt>
                <c:pt idx="111">
                  <c:v>18</c:v>
                </c:pt>
                <c:pt idx="112">
                  <c:v>0</c:v>
                </c:pt>
                <c:pt idx="113">
                  <c:v>178</c:v>
                </c:pt>
                <c:pt idx="114">
                  <c:v>11</c:v>
                </c:pt>
                <c:pt idx="115">
                  <c:v>87</c:v>
                </c:pt>
                <c:pt idx="116">
                  <c:v>83</c:v>
                </c:pt>
                <c:pt idx="117">
                  <c:v>458</c:v>
                </c:pt>
                <c:pt idx="118">
                  <c:v>259</c:v>
                </c:pt>
                <c:pt idx="119">
                  <c:v>78</c:v>
                </c:pt>
                <c:pt idx="120">
                  <c:v>104</c:v>
                </c:pt>
                <c:pt idx="121">
                  <c:v>112</c:v>
                </c:pt>
                <c:pt idx="122">
                  <c:v>468</c:v>
                </c:pt>
                <c:pt idx="123">
                  <c:v>8</c:v>
                </c:pt>
                <c:pt idx="124">
                  <c:v>60</c:v>
                </c:pt>
                <c:pt idx="125">
                  <c:v>68</c:v>
                </c:pt>
                <c:pt idx="126">
                  <c:v>189</c:v>
                </c:pt>
                <c:pt idx="127">
                  <c:v>3</c:v>
                </c:pt>
                <c:pt idx="128">
                  <c:v>35</c:v>
                </c:pt>
                <c:pt idx="129">
                  <c:v>56</c:v>
                </c:pt>
                <c:pt idx="130">
                  <c:v>44</c:v>
                </c:pt>
                <c:pt idx="131">
                  <c:v>127</c:v>
                </c:pt>
                <c:pt idx="132">
                  <c:v>187</c:v>
                </c:pt>
                <c:pt idx="133">
                  <c:v>3</c:v>
                </c:pt>
                <c:pt idx="134">
                  <c:v>12</c:v>
                </c:pt>
                <c:pt idx="135">
                  <c:v>367</c:v>
                </c:pt>
                <c:pt idx="136">
                  <c:v>66</c:v>
                </c:pt>
                <c:pt idx="137">
                  <c:v>109</c:v>
                </c:pt>
                <c:pt idx="138">
                  <c:v>78</c:v>
                </c:pt>
                <c:pt idx="139">
                  <c:v>26</c:v>
                </c:pt>
                <c:pt idx="140">
                  <c:v>192</c:v>
                </c:pt>
                <c:pt idx="141">
                  <c:v>42</c:v>
                </c:pt>
                <c:pt idx="142">
                  <c:v>102</c:v>
                </c:pt>
                <c:pt idx="143">
                  <c:v>321</c:v>
                </c:pt>
                <c:pt idx="144">
                  <c:v>208</c:v>
                </c:pt>
                <c:pt idx="145">
                  <c:v>224</c:v>
                </c:pt>
                <c:pt idx="146">
                  <c:v>274</c:v>
                </c:pt>
                <c:pt idx="147">
                  <c:v>411</c:v>
                </c:pt>
                <c:pt idx="148">
                  <c:v>245</c:v>
                </c:pt>
                <c:pt idx="149">
                  <c:v>314</c:v>
                </c:pt>
                <c:pt idx="150">
                  <c:v>336</c:v>
                </c:pt>
                <c:pt idx="151">
                  <c:v>108</c:v>
                </c:pt>
                <c:pt idx="152">
                  <c:v>195</c:v>
                </c:pt>
                <c:pt idx="153">
                  <c:v>111</c:v>
                </c:pt>
                <c:pt idx="154">
                  <c:v>78</c:v>
                </c:pt>
                <c:pt idx="155">
                  <c:v>8</c:v>
                </c:pt>
                <c:pt idx="156">
                  <c:v>29</c:v>
                </c:pt>
                <c:pt idx="157">
                  <c:v>46</c:v>
                </c:pt>
                <c:pt idx="158">
                  <c:v>76</c:v>
                </c:pt>
                <c:pt idx="159">
                  <c:v>120</c:v>
                </c:pt>
                <c:pt idx="160">
                  <c:v>536</c:v>
                </c:pt>
                <c:pt idx="161">
                  <c:v>97</c:v>
                </c:pt>
                <c:pt idx="162">
                  <c:v>209</c:v>
                </c:pt>
                <c:pt idx="163">
                  <c:v>386</c:v>
                </c:pt>
                <c:pt idx="164">
                  <c:v>110</c:v>
                </c:pt>
                <c:pt idx="165">
                  <c:v>152</c:v>
                </c:pt>
                <c:pt idx="166">
                  <c:v>18</c:v>
                </c:pt>
                <c:pt idx="167">
                  <c:v>69</c:v>
                </c:pt>
                <c:pt idx="168">
                  <c:v>307</c:v>
                </c:pt>
                <c:pt idx="169">
                  <c:v>110</c:v>
                </c:pt>
                <c:pt idx="170">
                  <c:v>64</c:v>
                </c:pt>
                <c:pt idx="171">
                  <c:v>192</c:v>
                </c:pt>
                <c:pt idx="172">
                  <c:v>48</c:v>
                </c:pt>
                <c:pt idx="173">
                  <c:v>19</c:v>
                </c:pt>
                <c:pt idx="174">
                  <c:v>69</c:v>
                </c:pt>
                <c:pt idx="175">
                  <c:v>13</c:v>
                </c:pt>
                <c:pt idx="176">
                  <c:v>52</c:v>
                </c:pt>
                <c:pt idx="177">
                  <c:v>10</c:v>
                </c:pt>
                <c:pt idx="178">
                  <c:v>92</c:v>
                </c:pt>
                <c:pt idx="179">
                  <c:v>93</c:v>
                </c:pt>
                <c:pt idx="180">
                  <c:v>20</c:v>
                </c:pt>
                <c:pt idx="181">
                  <c:v>42</c:v>
                </c:pt>
                <c:pt idx="182">
                  <c:v>313</c:v>
                </c:pt>
                <c:pt idx="183">
                  <c:v>215</c:v>
                </c:pt>
                <c:pt idx="184">
                  <c:v>203</c:v>
                </c:pt>
                <c:pt idx="185">
                  <c:v>197</c:v>
                </c:pt>
                <c:pt idx="186">
                  <c:v>144</c:v>
                </c:pt>
                <c:pt idx="187">
                  <c:v>127</c:v>
                </c:pt>
                <c:pt idx="188">
                  <c:v>263</c:v>
                </c:pt>
                <c:pt idx="189">
                  <c:v>210</c:v>
                </c:pt>
                <c:pt idx="190">
                  <c:v>169</c:v>
                </c:pt>
                <c:pt idx="191">
                  <c:v>13</c:v>
                </c:pt>
                <c:pt idx="192">
                  <c:v>207</c:v>
                </c:pt>
                <c:pt idx="193">
                  <c:v>97</c:v>
                </c:pt>
                <c:pt idx="194">
                  <c:v>16</c:v>
                </c:pt>
                <c:pt idx="195">
                  <c:v>189</c:v>
                </c:pt>
                <c:pt idx="196">
                  <c:v>86</c:v>
                </c:pt>
                <c:pt idx="197">
                  <c:v>114</c:v>
                </c:pt>
                <c:pt idx="198">
                  <c:v>138</c:v>
                </c:pt>
                <c:pt idx="199">
                  <c:v>120</c:v>
                </c:pt>
                <c:pt idx="200">
                  <c:v>49</c:v>
                </c:pt>
                <c:pt idx="201">
                  <c:v>68</c:v>
                </c:pt>
                <c:pt idx="202">
                  <c:v>242</c:v>
                </c:pt>
                <c:pt idx="203">
                  <c:v>194</c:v>
                </c:pt>
                <c:pt idx="204">
                  <c:v>167</c:v>
                </c:pt>
                <c:pt idx="205">
                  <c:v>148</c:v>
                </c:pt>
                <c:pt idx="206">
                  <c:v>220</c:v>
                </c:pt>
                <c:pt idx="207">
                  <c:v>259</c:v>
                </c:pt>
                <c:pt idx="208">
                  <c:v>139</c:v>
                </c:pt>
                <c:pt idx="209">
                  <c:v>124</c:v>
                </c:pt>
                <c:pt idx="210">
                  <c:v>144</c:v>
                </c:pt>
                <c:pt idx="211">
                  <c:v>66</c:v>
                </c:pt>
                <c:pt idx="212">
                  <c:v>45</c:v>
                </c:pt>
                <c:pt idx="213">
                  <c:v>61</c:v>
                </c:pt>
                <c:pt idx="214">
                  <c:v>21</c:v>
                </c:pt>
                <c:pt idx="215">
                  <c:v>109</c:v>
                </c:pt>
                <c:pt idx="216">
                  <c:v>43</c:v>
                </c:pt>
                <c:pt idx="217">
                  <c:v>110</c:v>
                </c:pt>
                <c:pt idx="218">
                  <c:v>69</c:v>
                </c:pt>
                <c:pt idx="219">
                  <c:v>33</c:v>
                </c:pt>
                <c:pt idx="220">
                  <c:v>190</c:v>
                </c:pt>
                <c:pt idx="221">
                  <c:v>3</c:v>
                </c:pt>
                <c:pt idx="222">
                  <c:v>204</c:v>
                </c:pt>
                <c:pt idx="223">
                  <c:v>74</c:v>
                </c:pt>
                <c:pt idx="224">
                  <c:v>222</c:v>
                </c:pt>
                <c:pt idx="225">
                  <c:v>193</c:v>
                </c:pt>
                <c:pt idx="226">
                  <c:v>205</c:v>
                </c:pt>
                <c:pt idx="227">
                  <c:v>81</c:v>
                </c:pt>
                <c:pt idx="228">
                  <c:v>154</c:v>
                </c:pt>
                <c:pt idx="229">
                  <c:v>90</c:v>
                </c:pt>
                <c:pt idx="230">
                  <c:v>96</c:v>
                </c:pt>
                <c:pt idx="231">
                  <c:v>50</c:v>
                </c:pt>
                <c:pt idx="232">
                  <c:v>1</c:v>
                </c:pt>
                <c:pt idx="233">
                  <c:v>254</c:v>
                </c:pt>
                <c:pt idx="234">
                  <c:v>451</c:v>
                </c:pt>
                <c:pt idx="235">
                  <c:v>45</c:v>
                </c:pt>
                <c:pt idx="236">
                  <c:v>164</c:v>
                </c:pt>
                <c:pt idx="237">
                  <c:v>316</c:v>
                </c:pt>
                <c:pt idx="238">
                  <c:v>273</c:v>
                </c:pt>
                <c:pt idx="239">
                  <c:v>232</c:v>
                </c:pt>
                <c:pt idx="240">
                  <c:v>184</c:v>
                </c:pt>
                <c:pt idx="241">
                  <c:v>208</c:v>
                </c:pt>
                <c:pt idx="242">
                  <c:v>176</c:v>
                </c:pt>
                <c:pt idx="243">
                  <c:v>108</c:v>
                </c:pt>
                <c:pt idx="244">
                  <c:v>60</c:v>
                </c:pt>
                <c:pt idx="245">
                  <c:v>120</c:v>
                </c:pt>
                <c:pt idx="246">
                  <c:v>78</c:v>
                </c:pt>
                <c:pt idx="247">
                  <c:v>217</c:v>
                </c:pt>
                <c:pt idx="248">
                  <c:v>4</c:v>
                </c:pt>
                <c:pt idx="249">
                  <c:v>176</c:v>
                </c:pt>
                <c:pt idx="250">
                  <c:v>46</c:v>
                </c:pt>
                <c:pt idx="251">
                  <c:v>41</c:v>
                </c:pt>
                <c:pt idx="252">
                  <c:v>200</c:v>
                </c:pt>
                <c:pt idx="253">
                  <c:v>58</c:v>
                </c:pt>
                <c:pt idx="254">
                  <c:v>31</c:v>
                </c:pt>
                <c:pt idx="255">
                  <c:v>62</c:v>
                </c:pt>
                <c:pt idx="256">
                  <c:v>122</c:v>
                </c:pt>
                <c:pt idx="257">
                  <c:v>310</c:v>
                </c:pt>
                <c:pt idx="258">
                  <c:v>106</c:v>
                </c:pt>
                <c:pt idx="259">
                  <c:v>16</c:v>
                </c:pt>
                <c:pt idx="260">
                  <c:v>177</c:v>
                </c:pt>
                <c:pt idx="261">
                  <c:v>17</c:v>
                </c:pt>
                <c:pt idx="262">
                  <c:v>101</c:v>
                </c:pt>
                <c:pt idx="263">
                  <c:v>588</c:v>
                </c:pt>
                <c:pt idx="264">
                  <c:v>408</c:v>
                </c:pt>
                <c:pt idx="265">
                  <c:v>112</c:v>
                </c:pt>
                <c:pt idx="266">
                  <c:v>170</c:v>
                </c:pt>
                <c:pt idx="267">
                  <c:v>185</c:v>
                </c:pt>
                <c:pt idx="268">
                  <c:v>243</c:v>
                </c:pt>
                <c:pt idx="269">
                  <c:v>50</c:v>
                </c:pt>
                <c:pt idx="270">
                  <c:v>1</c:v>
                </c:pt>
                <c:pt idx="271">
                  <c:v>40</c:v>
                </c:pt>
                <c:pt idx="272">
                  <c:v>145</c:v>
                </c:pt>
                <c:pt idx="273">
                  <c:v>304</c:v>
                </c:pt>
                <c:pt idx="274">
                  <c:v>210</c:v>
                </c:pt>
              </c:numCache>
            </c:numRef>
          </c:xVal>
          <c:yVal>
            <c:numRef>
              <c:f>Outlier!$T$3:$T$277</c:f>
              <c:numCache>
                <c:formatCode>0</c:formatCode>
                <c:ptCount val="275"/>
                <c:pt idx="0">
                  <c:v>89.583333333333343</c:v>
                </c:pt>
                <c:pt idx="1">
                  <c:v>72.182006204756973</c:v>
                </c:pt>
                <c:pt idx="2">
                  <c:v>79.225352112676063</c:v>
                </c:pt>
                <c:pt idx="3">
                  <c:v>79.075144508670519</c:v>
                </c:pt>
                <c:pt idx="4">
                  <c:v>83.299798792756548</c:v>
                </c:pt>
                <c:pt idx="5">
                  <c:v>71.501014198782968</c:v>
                </c:pt>
                <c:pt idx="6">
                  <c:v>84.959349593495944</c:v>
                </c:pt>
                <c:pt idx="7">
                  <c:v>79.837398373983731</c:v>
                </c:pt>
                <c:pt idx="8">
                  <c:v>82.027649769585253</c:v>
                </c:pt>
                <c:pt idx="9">
                  <c:v>77.41935483870968</c:v>
                </c:pt>
                <c:pt idx="10">
                  <c:v>87.859007832898172</c:v>
                </c:pt>
                <c:pt idx="11">
                  <c:v>83.752860411899306</c:v>
                </c:pt>
                <c:pt idx="12">
                  <c:v>78.245614035087712</c:v>
                </c:pt>
                <c:pt idx="13">
                  <c:v>75.486827033218788</c:v>
                </c:pt>
                <c:pt idx="14">
                  <c:v>71.589840075258707</c:v>
                </c:pt>
                <c:pt idx="15">
                  <c:v>77.978339350180505</c:v>
                </c:pt>
                <c:pt idx="16">
                  <c:v>84.044943820224717</c:v>
                </c:pt>
                <c:pt idx="17">
                  <c:v>82.586427656850191</c:v>
                </c:pt>
                <c:pt idx="18">
                  <c:v>82.924226254002136</c:v>
                </c:pt>
                <c:pt idx="19">
                  <c:v>86.393659180977551</c:v>
                </c:pt>
                <c:pt idx="20">
                  <c:v>82.985553772070631</c:v>
                </c:pt>
                <c:pt idx="21">
                  <c:v>83.093525179856115</c:v>
                </c:pt>
                <c:pt idx="22">
                  <c:v>81.227436823104696</c:v>
                </c:pt>
                <c:pt idx="23">
                  <c:v>81.54981549815497</c:v>
                </c:pt>
                <c:pt idx="24">
                  <c:v>72.209821428571431</c:v>
                </c:pt>
                <c:pt idx="25">
                  <c:v>83.395755305867667</c:v>
                </c:pt>
                <c:pt idx="26">
                  <c:v>73.096976016684039</c:v>
                </c:pt>
                <c:pt idx="27">
                  <c:v>82.453151618398635</c:v>
                </c:pt>
                <c:pt idx="28">
                  <c:v>80.711354309165529</c:v>
                </c:pt>
                <c:pt idx="29">
                  <c:v>82.718120805369139</c:v>
                </c:pt>
                <c:pt idx="30">
                  <c:v>82.421227197346596</c:v>
                </c:pt>
                <c:pt idx="31">
                  <c:v>83.215130023640654</c:v>
                </c:pt>
                <c:pt idx="32">
                  <c:v>83.149779735682813</c:v>
                </c:pt>
                <c:pt idx="33">
                  <c:v>85.928143712574851</c:v>
                </c:pt>
                <c:pt idx="34">
                  <c:v>81.003584229390682</c:v>
                </c:pt>
                <c:pt idx="35">
                  <c:v>70.862800565770868</c:v>
                </c:pt>
                <c:pt idx="36">
                  <c:v>87.305122494432069</c:v>
                </c:pt>
                <c:pt idx="37">
                  <c:v>81.183611532625193</c:v>
                </c:pt>
                <c:pt idx="38">
                  <c:v>71.664943123061008</c:v>
                </c:pt>
                <c:pt idx="39">
                  <c:v>85.549132947976886</c:v>
                </c:pt>
                <c:pt idx="40">
                  <c:v>80.144404332129966</c:v>
                </c:pt>
                <c:pt idx="41">
                  <c:v>83.001531393568158</c:v>
                </c:pt>
                <c:pt idx="42">
                  <c:v>81.818181818181827</c:v>
                </c:pt>
                <c:pt idx="43">
                  <c:v>81.057268722466958</c:v>
                </c:pt>
                <c:pt idx="44">
                  <c:v>79.618593563766396</c:v>
                </c:pt>
                <c:pt idx="45">
                  <c:v>88.703703703703709</c:v>
                </c:pt>
                <c:pt idx="46">
                  <c:v>76.526717557251914</c:v>
                </c:pt>
                <c:pt idx="47">
                  <c:v>79.721900347624569</c:v>
                </c:pt>
                <c:pt idx="48">
                  <c:v>74.5631067961165</c:v>
                </c:pt>
                <c:pt idx="49">
                  <c:v>86.030428769017988</c:v>
                </c:pt>
                <c:pt idx="50">
                  <c:v>78.177150192554564</c:v>
                </c:pt>
                <c:pt idx="51">
                  <c:v>76.043956043956044</c:v>
                </c:pt>
                <c:pt idx="52">
                  <c:v>71.875</c:v>
                </c:pt>
                <c:pt idx="53">
                  <c:v>80.033840947546537</c:v>
                </c:pt>
                <c:pt idx="54">
                  <c:v>74.30167597765363</c:v>
                </c:pt>
                <c:pt idx="55">
                  <c:v>69.083155650319824</c:v>
                </c:pt>
                <c:pt idx="56">
                  <c:v>75.795053003533567</c:v>
                </c:pt>
                <c:pt idx="57">
                  <c:v>75.359116022099442</c:v>
                </c:pt>
                <c:pt idx="58">
                  <c:v>84.21875</c:v>
                </c:pt>
                <c:pt idx="59">
                  <c:v>81.333333333333329</c:v>
                </c:pt>
                <c:pt idx="60">
                  <c:v>82.095490716180379</c:v>
                </c:pt>
                <c:pt idx="61">
                  <c:v>78.599735799207394</c:v>
                </c:pt>
                <c:pt idx="62">
                  <c:v>72.408293460925037</c:v>
                </c:pt>
                <c:pt idx="63">
                  <c:v>80.597014925373131</c:v>
                </c:pt>
                <c:pt idx="64">
                  <c:v>78.600823045267489</c:v>
                </c:pt>
                <c:pt idx="65">
                  <c:v>73.755334281650079</c:v>
                </c:pt>
                <c:pt idx="66">
                  <c:v>80.212954747116243</c:v>
                </c:pt>
                <c:pt idx="67">
                  <c:v>92.658227848101276</c:v>
                </c:pt>
                <c:pt idx="68">
                  <c:v>77.565632458233893</c:v>
                </c:pt>
                <c:pt idx="69">
                  <c:v>83.486238532110093</c:v>
                </c:pt>
                <c:pt idx="70">
                  <c:v>77.196652719665266</c:v>
                </c:pt>
                <c:pt idx="71">
                  <c:v>83.70607028753993</c:v>
                </c:pt>
                <c:pt idx="72">
                  <c:v>70.862800565770868</c:v>
                </c:pt>
                <c:pt idx="73">
                  <c:v>81.278962001853571</c:v>
                </c:pt>
                <c:pt idx="74">
                  <c:v>81.556195965417871</c:v>
                </c:pt>
                <c:pt idx="75">
                  <c:v>77.386934673366838</c:v>
                </c:pt>
                <c:pt idx="76">
                  <c:v>75.590551181102356</c:v>
                </c:pt>
                <c:pt idx="77">
                  <c:v>70.661896243291594</c:v>
                </c:pt>
                <c:pt idx="78">
                  <c:v>82.50790305584826</c:v>
                </c:pt>
                <c:pt idx="79">
                  <c:v>84.779706275033377</c:v>
                </c:pt>
                <c:pt idx="80">
                  <c:v>83.85608856088561</c:v>
                </c:pt>
                <c:pt idx="81">
                  <c:v>81.041257367387033</c:v>
                </c:pt>
                <c:pt idx="82">
                  <c:v>83.064516129032256</c:v>
                </c:pt>
                <c:pt idx="83">
                  <c:v>82.394366197183103</c:v>
                </c:pt>
                <c:pt idx="84">
                  <c:v>85.887541345093723</c:v>
                </c:pt>
                <c:pt idx="85">
                  <c:v>73.193916349809882</c:v>
                </c:pt>
                <c:pt idx="86">
                  <c:v>83.709273182957389</c:v>
                </c:pt>
                <c:pt idx="87">
                  <c:v>87.135922330097088</c:v>
                </c:pt>
                <c:pt idx="88">
                  <c:v>82.622950819672141</c:v>
                </c:pt>
                <c:pt idx="89">
                  <c:v>81.481481481481481</c:v>
                </c:pt>
                <c:pt idx="90">
                  <c:v>91.913746630727772</c:v>
                </c:pt>
                <c:pt idx="91">
                  <c:v>86.281588447653434</c:v>
                </c:pt>
                <c:pt idx="92">
                  <c:v>78.481945467943987</c:v>
                </c:pt>
                <c:pt idx="93">
                  <c:v>81.024096385542165</c:v>
                </c:pt>
                <c:pt idx="94">
                  <c:v>87.171052631578945</c:v>
                </c:pt>
                <c:pt idx="95">
                  <c:v>81.543624161073822</c:v>
                </c:pt>
                <c:pt idx="96">
                  <c:v>81.772575250836127</c:v>
                </c:pt>
                <c:pt idx="97">
                  <c:v>66.472642607683355</c:v>
                </c:pt>
                <c:pt idx="98">
                  <c:v>68.650217706821479</c:v>
                </c:pt>
                <c:pt idx="99">
                  <c:v>75.320512820512818</c:v>
                </c:pt>
                <c:pt idx="100">
                  <c:v>68.700959023539667</c:v>
                </c:pt>
                <c:pt idx="101">
                  <c:v>77.84232365145229</c:v>
                </c:pt>
                <c:pt idx="102">
                  <c:v>71.950207468879668</c:v>
                </c:pt>
                <c:pt idx="103">
                  <c:v>54.291845493562228</c:v>
                </c:pt>
                <c:pt idx="104">
                  <c:v>74.463519313304715</c:v>
                </c:pt>
                <c:pt idx="105">
                  <c:v>71.122230164403149</c:v>
                </c:pt>
                <c:pt idx="106">
                  <c:v>68.355995055624234</c:v>
                </c:pt>
                <c:pt idx="107">
                  <c:v>72.551130247578044</c:v>
                </c:pt>
                <c:pt idx="108">
                  <c:v>72.735760971055086</c:v>
                </c:pt>
                <c:pt idx="109">
                  <c:v>74.74832214765101</c:v>
                </c:pt>
                <c:pt idx="110">
                  <c:v>69.48669201520913</c:v>
                </c:pt>
                <c:pt idx="111">
                  <c:v>71.393643031784833</c:v>
                </c:pt>
                <c:pt idx="112">
                  <c:v>71.680216802168019</c:v>
                </c:pt>
                <c:pt idx="113">
                  <c:v>77.777777777777786</c:v>
                </c:pt>
                <c:pt idx="114">
                  <c:v>66.427718040621258</c:v>
                </c:pt>
                <c:pt idx="115">
                  <c:v>68.992248062015506</c:v>
                </c:pt>
                <c:pt idx="116">
                  <c:v>69.090909090909093</c:v>
                </c:pt>
                <c:pt idx="117">
                  <c:v>75.777777777777771</c:v>
                </c:pt>
                <c:pt idx="118">
                  <c:v>99.896800825593388</c:v>
                </c:pt>
                <c:pt idx="119">
                  <c:v>78.373983739837399</c:v>
                </c:pt>
                <c:pt idx="120">
                  <c:v>78.626692456479688</c:v>
                </c:pt>
                <c:pt idx="121">
                  <c:v>89.709762532981529</c:v>
                </c:pt>
                <c:pt idx="122">
                  <c:v>72.91242362525459</c:v>
                </c:pt>
                <c:pt idx="123">
                  <c:v>78.84615384615384</c:v>
                </c:pt>
                <c:pt idx="124">
                  <c:v>73.65930599369085</c:v>
                </c:pt>
                <c:pt idx="125">
                  <c:v>71.115173674588661</c:v>
                </c:pt>
                <c:pt idx="126">
                  <c:v>74.614472123368927</c:v>
                </c:pt>
                <c:pt idx="127">
                  <c:v>79.933481152993352</c:v>
                </c:pt>
                <c:pt idx="128">
                  <c:v>72.067901234567898</c:v>
                </c:pt>
                <c:pt idx="129">
                  <c:v>70.893371757925067</c:v>
                </c:pt>
                <c:pt idx="130">
                  <c:v>82.320441988950279</c:v>
                </c:pt>
                <c:pt idx="131">
                  <c:v>80.208333333333343</c:v>
                </c:pt>
                <c:pt idx="132">
                  <c:v>76.991150442477874</c:v>
                </c:pt>
                <c:pt idx="133">
                  <c:v>80.261011419249598</c:v>
                </c:pt>
                <c:pt idx="134">
                  <c:v>76.252319109461965</c:v>
                </c:pt>
                <c:pt idx="135">
                  <c:v>72.787821122740255</c:v>
                </c:pt>
                <c:pt idx="136">
                  <c:v>66.792809839167461</c:v>
                </c:pt>
                <c:pt idx="137">
                  <c:v>75.516224188790559</c:v>
                </c:pt>
                <c:pt idx="138">
                  <c:v>68.885869565217391</c:v>
                </c:pt>
                <c:pt idx="139">
                  <c:v>69.675925925925924</c:v>
                </c:pt>
                <c:pt idx="140">
                  <c:v>78.94736842105263</c:v>
                </c:pt>
                <c:pt idx="141">
                  <c:v>79.098360655737707</c:v>
                </c:pt>
                <c:pt idx="142">
                  <c:v>82.943143812709025</c:v>
                </c:pt>
                <c:pt idx="143">
                  <c:v>79.763186221743808</c:v>
                </c:pt>
                <c:pt idx="144">
                  <c:v>78.704612365063781</c:v>
                </c:pt>
                <c:pt idx="145">
                  <c:v>82.502443792766371</c:v>
                </c:pt>
                <c:pt idx="146">
                  <c:v>77.460317460317469</c:v>
                </c:pt>
                <c:pt idx="147">
                  <c:v>76.746242263483637</c:v>
                </c:pt>
                <c:pt idx="148">
                  <c:v>74.306269270298046</c:v>
                </c:pt>
                <c:pt idx="149">
                  <c:v>73.376623376623371</c:v>
                </c:pt>
                <c:pt idx="150">
                  <c:v>84.558216350123857</c:v>
                </c:pt>
                <c:pt idx="151">
                  <c:v>79.508890770533441</c:v>
                </c:pt>
                <c:pt idx="152">
                  <c:v>76.246830092983942</c:v>
                </c:pt>
                <c:pt idx="153">
                  <c:v>72.291666666666671</c:v>
                </c:pt>
                <c:pt idx="154">
                  <c:v>76.774193548387089</c:v>
                </c:pt>
                <c:pt idx="155">
                  <c:v>59.95174909529554</c:v>
                </c:pt>
                <c:pt idx="156">
                  <c:v>81.9848975188781</c:v>
                </c:pt>
                <c:pt idx="157">
                  <c:v>80.585365853658544</c:v>
                </c:pt>
                <c:pt idx="158">
                  <c:v>73.041709053916577</c:v>
                </c:pt>
                <c:pt idx="159">
                  <c:v>72.335844994617872</c:v>
                </c:pt>
                <c:pt idx="160">
                  <c:v>118.63488624052006</c:v>
                </c:pt>
                <c:pt idx="161">
                  <c:v>69.537815126050418</c:v>
                </c:pt>
                <c:pt idx="162">
                  <c:v>70.046620046620049</c:v>
                </c:pt>
                <c:pt idx="163">
                  <c:v>67.041522491349482</c:v>
                </c:pt>
                <c:pt idx="164">
                  <c:v>64.788732394366207</c:v>
                </c:pt>
                <c:pt idx="165">
                  <c:v>72.280701754385973</c:v>
                </c:pt>
                <c:pt idx="166">
                  <c:v>71.32963988919667</c:v>
                </c:pt>
                <c:pt idx="167">
                  <c:v>78.447121820615791</c:v>
                </c:pt>
                <c:pt idx="168">
                  <c:v>66.048237476808907</c:v>
                </c:pt>
                <c:pt idx="169">
                  <c:v>71.074380165289256</c:v>
                </c:pt>
                <c:pt idx="170">
                  <c:v>61.0062893081761</c:v>
                </c:pt>
                <c:pt idx="171">
                  <c:v>70.617906683480456</c:v>
                </c:pt>
                <c:pt idx="172">
                  <c:v>77.882352941176464</c:v>
                </c:pt>
                <c:pt idx="173">
                  <c:v>75.702811244979912</c:v>
                </c:pt>
                <c:pt idx="174">
                  <c:v>69.776119402985074</c:v>
                </c:pt>
                <c:pt idx="175">
                  <c:v>68.700265251989393</c:v>
                </c:pt>
                <c:pt idx="176">
                  <c:v>76.923076923076934</c:v>
                </c:pt>
                <c:pt idx="177">
                  <c:v>61.224489795918366</c:v>
                </c:pt>
                <c:pt idx="178">
                  <c:v>62.537165510406346</c:v>
                </c:pt>
                <c:pt idx="179">
                  <c:v>66.334164588528679</c:v>
                </c:pt>
                <c:pt idx="180">
                  <c:v>69.118982742960938</c:v>
                </c:pt>
                <c:pt idx="181">
                  <c:v>75.048543689320397</c:v>
                </c:pt>
                <c:pt idx="182">
                  <c:v>65.34749034749035</c:v>
                </c:pt>
                <c:pt idx="183">
                  <c:v>68.961973278520034</c:v>
                </c:pt>
                <c:pt idx="184">
                  <c:v>63.129973474801062</c:v>
                </c:pt>
                <c:pt idx="185">
                  <c:v>70.469798657718115</c:v>
                </c:pt>
                <c:pt idx="186">
                  <c:v>71.05263157894737</c:v>
                </c:pt>
                <c:pt idx="187">
                  <c:v>68.404588112617319</c:v>
                </c:pt>
                <c:pt idx="188">
                  <c:v>77.515400410677614</c:v>
                </c:pt>
                <c:pt idx="189">
                  <c:v>73.391304347826093</c:v>
                </c:pt>
                <c:pt idx="190">
                  <c:v>77.505919494869772</c:v>
                </c:pt>
                <c:pt idx="191">
                  <c:v>75.220372184133197</c:v>
                </c:pt>
                <c:pt idx="192">
                  <c:v>72.342621259029926</c:v>
                </c:pt>
                <c:pt idx="193">
                  <c:v>69.300911854103347</c:v>
                </c:pt>
                <c:pt idx="194">
                  <c:v>54.751131221719461</c:v>
                </c:pt>
                <c:pt idx="195">
                  <c:v>66.80261011419249</c:v>
                </c:pt>
                <c:pt idx="196">
                  <c:v>67.067307692307693</c:v>
                </c:pt>
                <c:pt idx="197">
                  <c:v>74.543080939947785</c:v>
                </c:pt>
                <c:pt idx="198">
                  <c:v>76.814326107445808</c:v>
                </c:pt>
                <c:pt idx="199">
                  <c:v>58.986928104575163</c:v>
                </c:pt>
                <c:pt idx="200">
                  <c:v>61.871508379888276</c:v>
                </c:pt>
                <c:pt idx="201">
                  <c:v>60.377358490566039</c:v>
                </c:pt>
                <c:pt idx="202">
                  <c:v>67.20338983050847</c:v>
                </c:pt>
                <c:pt idx="203">
                  <c:v>71.649831649831654</c:v>
                </c:pt>
                <c:pt idx="204">
                  <c:v>68.818514007308167</c:v>
                </c:pt>
                <c:pt idx="205">
                  <c:v>73.532550693703314</c:v>
                </c:pt>
                <c:pt idx="206">
                  <c:v>74.338883447600395</c:v>
                </c:pt>
                <c:pt idx="207">
                  <c:v>64.809902740937218</c:v>
                </c:pt>
                <c:pt idx="208">
                  <c:v>58.864696734059095</c:v>
                </c:pt>
                <c:pt idx="209">
                  <c:v>64.804964539007088</c:v>
                </c:pt>
                <c:pt idx="210">
                  <c:v>65.580182529335076</c:v>
                </c:pt>
                <c:pt idx="211">
                  <c:v>61.957868649318456</c:v>
                </c:pt>
                <c:pt idx="212">
                  <c:v>70.489844683393059</c:v>
                </c:pt>
                <c:pt idx="213">
                  <c:v>73.443983402489636</c:v>
                </c:pt>
                <c:pt idx="214">
                  <c:v>72.171651495448629</c:v>
                </c:pt>
                <c:pt idx="215">
                  <c:v>70.12383900928792</c:v>
                </c:pt>
                <c:pt idx="216">
                  <c:v>70.384615384615387</c:v>
                </c:pt>
                <c:pt idx="217">
                  <c:v>69.418386491557229</c:v>
                </c:pt>
                <c:pt idx="218">
                  <c:v>63.644524236983848</c:v>
                </c:pt>
                <c:pt idx="219">
                  <c:v>70.258136924803594</c:v>
                </c:pt>
                <c:pt idx="220">
                  <c:v>73.948717948717942</c:v>
                </c:pt>
                <c:pt idx="221">
                  <c:v>71.15666178623718</c:v>
                </c:pt>
                <c:pt idx="222">
                  <c:v>64.069952305246431</c:v>
                </c:pt>
                <c:pt idx="223">
                  <c:v>38.918205804749341</c:v>
                </c:pt>
                <c:pt idx="224">
                  <c:v>78.352692713833164</c:v>
                </c:pt>
                <c:pt idx="225">
                  <c:v>64.496124031007753</c:v>
                </c:pt>
                <c:pt idx="226">
                  <c:v>67.209113100081368</c:v>
                </c:pt>
                <c:pt idx="227">
                  <c:v>85.593220338983059</c:v>
                </c:pt>
                <c:pt idx="228">
                  <c:v>80.555555555555557</c:v>
                </c:pt>
                <c:pt idx="229">
                  <c:v>78.637200736648253</c:v>
                </c:pt>
                <c:pt idx="230">
                  <c:v>81.980519480519476</c:v>
                </c:pt>
                <c:pt idx="231">
                  <c:v>86.946902654867259</c:v>
                </c:pt>
                <c:pt idx="232">
                  <c:v>74.639423076923066</c:v>
                </c:pt>
                <c:pt idx="233">
                  <c:v>69.063545150501668</c:v>
                </c:pt>
                <c:pt idx="234">
                  <c:v>69.325153374233125</c:v>
                </c:pt>
                <c:pt idx="235">
                  <c:v>86.096256684491976</c:v>
                </c:pt>
                <c:pt idx="236">
                  <c:v>87.252124645892351</c:v>
                </c:pt>
                <c:pt idx="237">
                  <c:v>70.226773957571325</c:v>
                </c:pt>
                <c:pt idx="238">
                  <c:v>72.572815533980588</c:v>
                </c:pt>
                <c:pt idx="239">
                  <c:v>65.467128027681667</c:v>
                </c:pt>
                <c:pt idx="240">
                  <c:v>71.870794078061905</c:v>
                </c:pt>
                <c:pt idx="241">
                  <c:v>84.003925417075564</c:v>
                </c:pt>
                <c:pt idx="242">
                  <c:v>74.282982791586988</c:v>
                </c:pt>
                <c:pt idx="243">
                  <c:v>83.045977011494259</c:v>
                </c:pt>
                <c:pt idx="244">
                  <c:v>85.850556438791742</c:v>
                </c:pt>
                <c:pt idx="245">
                  <c:v>80.793650793650798</c:v>
                </c:pt>
                <c:pt idx="246">
                  <c:v>80.078636959370911</c:v>
                </c:pt>
                <c:pt idx="247">
                  <c:v>83.490566037735846</c:v>
                </c:pt>
                <c:pt idx="248">
                  <c:v>73.819163292847506</c:v>
                </c:pt>
                <c:pt idx="249">
                  <c:v>79.818181818181827</c:v>
                </c:pt>
                <c:pt idx="250">
                  <c:v>75.790513833992094</c:v>
                </c:pt>
                <c:pt idx="251">
                  <c:v>76.143141153081501</c:v>
                </c:pt>
                <c:pt idx="252">
                  <c:v>79.782608695652172</c:v>
                </c:pt>
                <c:pt idx="253">
                  <c:v>87.685459940652819</c:v>
                </c:pt>
                <c:pt idx="254">
                  <c:v>76.863504356243951</c:v>
                </c:pt>
                <c:pt idx="255">
                  <c:v>83.656957928802584</c:v>
                </c:pt>
                <c:pt idx="256">
                  <c:v>82.79742765273312</c:v>
                </c:pt>
                <c:pt idx="257">
                  <c:v>68.726235741444867</c:v>
                </c:pt>
                <c:pt idx="258">
                  <c:v>80.659670164917543</c:v>
                </c:pt>
                <c:pt idx="259">
                  <c:v>85.61643835616438</c:v>
                </c:pt>
                <c:pt idx="260">
                  <c:v>87.173100871731009</c:v>
                </c:pt>
                <c:pt idx="261">
                  <c:v>81.451612903225808</c:v>
                </c:pt>
                <c:pt idx="262">
                  <c:v>88.352272727272734</c:v>
                </c:pt>
                <c:pt idx="263">
                  <c:v>81.699846860643191</c:v>
                </c:pt>
                <c:pt idx="264">
                  <c:v>76.10294117647058</c:v>
                </c:pt>
                <c:pt idx="265">
                  <c:v>84.182305630026804</c:v>
                </c:pt>
                <c:pt idx="266">
                  <c:v>73.954372623574145</c:v>
                </c:pt>
                <c:pt idx="267">
                  <c:v>74.04651162790698</c:v>
                </c:pt>
                <c:pt idx="268">
                  <c:v>73.145539906103281</c:v>
                </c:pt>
                <c:pt idx="269">
                  <c:v>80.180180180180187</c:v>
                </c:pt>
                <c:pt idx="270">
                  <c:v>83.879093198992436</c:v>
                </c:pt>
                <c:pt idx="271">
                  <c:v>70.604395604395606</c:v>
                </c:pt>
                <c:pt idx="272">
                  <c:v>74.93309545049064</c:v>
                </c:pt>
                <c:pt idx="273">
                  <c:v>76.976421636615811</c:v>
                </c:pt>
                <c:pt idx="274">
                  <c:v>81.544502617801058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B-4538-9BA2-8A07C403C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096000"/>
        <c:axId val="1626096480"/>
      </c:scatterChart>
      <c:valAx>
        <c:axId val="162609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96480"/>
        <c:crosses val="autoZero"/>
        <c:crossBetween val="midCat"/>
      </c:valAx>
      <c:valAx>
        <c:axId val="16260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9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BJP VS INC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62671665968349E-2"/>
          <c:y val="9.1835133351574949E-2"/>
          <c:w val="0.69695641446786016"/>
          <c:h val="0.801327772567048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Analysis!$T$3:$T$35</c:f>
              <c:numCache>
                <c:formatCode>0</c:formatCode>
                <c:ptCount val="33"/>
                <c:pt idx="0">
                  <c:v>83.299798792756548</c:v>
                </c:pt>
                <c:pt idx="1">
                  <c:v>84.959349593495944</c:v>
                </c:pt>
                <c:pt idx="2">
                  <c:v>83.093525179856115</c:v>
                </c:pt>
                <c:pt idx="3">
                  <c:v>83.215130023640654</c:v>
                </c:pt>
                <c:pt idx="4">
                  <c:v>83.149779735682813</c:v>
                </c:pt>
                <c:pt idx="5">
                  <c:v>87.305122494432069</c:v>
                </c:pt>
                <c:pt idx="6">
                  <c:v>92.658227848101276</c:v>
                </c:pt>
                <c:pt idx="7">
                  <c:v>83.70607028753993</c:v>
                </c:pt>
                <c:pt idx="8">
                  <c:v>81.278962001853571</c:v>
                </c:pt>
                <c:pt idx="9">
                  <c:v>83.709273182957389</c:v>
                </c:pt>
                <c:pt idx="10">
                  <c:v>82.622950819672141</c:v>
                </c:pt>
                <c:pt idx="11">
                  <c:v>86.281588447653434</c:v>
                </c:pt>
                <c:pt idx="12">
                  <c:v>81.543624161073822</c:v>
                </c:pt>
                <c:pt idx="13">
                  <c:v>68.650217706821479</c:v>
                </c:pt>
                <c:pt idx="14">
                  <c:v>66.427718040621258</c:v>
                </c:pt>
                <c:pt idx="15">
                  <c:v>82.320441988950279</c:v>
                </c:pt>
                <c:pt idx="16">
                  <c:v>80.261011419249598</c:v>
                </c:pt>
                <c:pt idx="17">
                  <c:v>69.675925925925924</c:v>
                </c:pt>
                <c:pt idx="18">
                  <c:v>59.95174909529554</c:v>
                </c:pt>
                <c:pt idx="19">
                  <c:v>81.9848975188781</c:v>
                </c:pt>
                <c:pt idx="20">
                  <c:v>80.585365853658544</c:v>
                </c:pt>
                <c:pt idx="21">
                  <c:v>118.63488624052006</c:v>
                </c:pt>
                <c:pt idx="22">
                  <c:v>68.700265251989393</c:v>
                </c:pt>
                <c:pt idx="23">
                  <c:v>61.224489795918366</c:v>
                </c:pt>
                <c:pt idx="24">
                  <c:v>69.118982742960938</c:v>
                </c:pt>
                <c:pt idx="25">
                  <c:v>54.751131221719461</c:v>
                </c:pt>
                <c:pt idx="26">
                  <c:v>61.871508379888276</c:v>
                </c:pt>
                <c:pt idx="27">
                  <c:v>69.325153374233125</c:v>
                </c:pt>
                <c:pt idx="28">
                  <c:v>86.096256684491976</c:v>
                </c:pt>
                <c:pt idx="29">
                  <c:v>85.61643835616438</c:v>
                </c:pt>
                <c:pt idx="30">
                  <c:v>81.451612903225808</c:v>
                </c:pt>
                <c:pt idx="31">
                  <c:v>81.699846860643191</c:v>
                </c:pt>
                <c:pt idx="32">
                  <c:v>83.879093198992436</c:v>
                </c:pt>
              </c:numCache>
            </c:numRef>
          </c:xVal>
          <c:yVal>
            <c:numRef>
              <c:f>Analysis!$U$3:$U$35</c:f>
              <c:numCache>
                <c:formatCode>General</c:formatCode>
                <c:ptCount val="33"/>
                <c:pt idx="0">
                  <c:v>38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13</c:v>
                </c:pt>
                <c:pt idx="6">
                  <c:v>17</c:v>
                </c:pt>
                <c:pt idx="7">
                  <c:v>5</c:v>
                </c:pt>
                <c:pt idx="8">
                  <c:v>27</c:v>
                </c:pt>
                <c:pt idx="9">
                  <c:v>#N/A</c:v>
                </c:pt>
                <c:pt idx="10">
                  <c:v>42</c:v>
                </c:pt>
                <c:pt idx="11">
                  <c:v>#N/A</c:v>
                </c:pt>
                <c:pt idx="12">
                  <c:v>34</c:v>
                </c:pt>
                <c:pt idx="13">
                  <c:v>#N/A</c:v>
                </c:pt>
                <c:pt idx="14">
                  <c:v>11</c:v>
                </c:pt>
                <c:pt idx="15">
                  <c:v>44</c:v>
                </c:pt>
                <c:pt idx="16">
                  <c:v>#N/A</c:v>
                </c:pt>
                <c:pt idx="17">
                  <c:v>26</c:v>
                </c:pt>
                <c:pt idx="18">
                  <c:v>8</c:v>
                </c:pt>
                <c:pt idx="19">
                  <c:v>#N/A</c:v>
                </c:pt>
                <c:pt idx="20">
                  <c:v>46</c:v>
                </c:pt>
                <c:pt idx="21">
                  <c:v>536</c:v>
                </c:pt>
                <c:pt idx="22">
                  <c:v>13</c:v>
                </c:pt>
                <c:pt idx="23">
                  <c:v>10</c:v>
                </c:pt>
                <c:pt idx="24">
                  <c:v>20</c:v>
                </c:pt>
                <c:pt idx="25">
                  <c:v>16</c:v>
                </c:pt>
                <c:pt idx="26">
                  <c:v>#N/A</c:v>
                </c:pt>
                <c:pt idx="27">
                  <c:v>451</c:v>
                </c:pt>
                <c:pt idx="28">
                  <c:v>#N/A</c:v>
                </c:pt>
                <c:pt idx="29">
                  <c:v>#N/A</c:v>
                </c:pt>
                <c:pt idx="30">
                  <c:v>17</c:v>
                </c:pt>
                <c:pt idx="31">
                  <c:v>588</c:v>
                </c:pt>
                <c:pt idx="3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A-444A-B904-BB8B0CDAE88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F0"/>
              </a:soli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Analysis!$T$3:$T$35</c:f>
              <c:numCache>
                <c:formatCode>0</c:formatCode>
                <c:ptCount val="33"/>
                <c:pt idx="0">
                  <c:v>83.299798792756548</c:v>
                </c:pt>
                <c:pt idx="1">
                  <c:v>84.959349593495944</c:v>
                </c:pt>
                <c:pt idx="2">
                  <c:v>83.093525179856115</c:v>
                </c:pt>
                <c:pt idx="3">
                  <c:v>83.215130023640654</c:v>
                </c:pt>
                <c:pt idx="4">
                  <c:v>83.149779735682813</c:v>
                </c:pt>
                <c:pt idx="5">
                  <c:v>87.305122494432069</c:v>
                </c:pt>
                <c:pt idx="6">
                  <c:v>92.658227848101276</c:v>
                </c:pt>
                <c:pt idx="7">
                  <c:v>83.70607028753993</c:v>
                </c:pt>
                <c:pt idx="8">
                  <c:v>81.278962001853571</c:v>
                </c:pt>
                <c:pt idx="9">
                  <c:v>83.709273182957389</c:v>
                </c:pt>
                <c:pt idx="10">
                  <c:v>82.622950819672141</c:v>
                </c:pt>
                <c:pt idx="11">
                  <c:v>86.281588447653434</c:v>
                </c:pt>
                <c:pt idx="12">
                  <c:v>81.543624161073822</c:v>
                </c:pt>
                <c:pt idx="13">
                  <c:v>68.650217706821479</c:v>
                </c:pt>
                <c:pt idx="14">
                  <c:v>66.427718040621258</c:v>
                </c:pt>
                <c:pt idx="15">
                  <c:v>82.320441988950279</c:v>
                </c:pt>
                <c:pt idx="16">
                  <c:v>80.261011419249598</c:v>
                </c:pt>
                <c:pt idx="17">
                  <c:v>69.675925925925924</c:v>
                </c:pt>
                <c:pt idx="18">
                  <c:v>59.95174909529554</c:v>
                </c:pt>
                <c:pt idx="19">
                  <c:v>81.9848975188781</c:v>
                </c:pt>
                <c:pt idx="20">
                  <c:v>80.585365853658544</c:v>
                </c:pt>
                <c:pt idx="21">
                  <c:v>118.63488624052006</c:v>
                </c:pt>
                <c:pt idx="22">
                  <c:v>68.700265251989393</c:v>
                </c:pt>
                <c:pt idx="23">
                  <c:v>61.224489795918366</c:v>
                </c:pt>
                <c:pt idx="24">
                  <c:v>69.118982742960938</c:v>
                </c:pt>
                <c:pt idx="25">
                  <c:v>54.751131221719461</c:v>
                </c:pt>
                <c:pt idx="26">
                  <c:v>61.871508379888276</c:v>
                </c:pt>
                <c:pt idx="27">
                  <c:v>69.325153374233125</c:v>
                </c:pt>
                <c:pt idx="28">
                  <c:v>86.096256684491976</c:v>
                </c:pt>
                <c:pt idx="29">
                  <c:v>85.61643835616438</c:v>
                </c:pt>
                <c:pt idx="30">
                  <c:v>81.451612903225808</c:v>
                </c:pt>
                <c:pt idx="31">
                  <c:v>81.699846860643191</c:v>
                </c:pt>
                <c:pt idx="32">
                  <c:v>83.879093198992436</c:v>
                </c:pt>
              </c:numCache>
            </c:numRef>
          </c:xVal>
          <c:yVal>
            <c:numRef>
              <c:f>Analysis!$V$3:$V$35</c:f>
              <c:numCache>
                <c:formatCode>General</c:formatCode>
                <c:ptCount val="33"/>
                <c:pt idx="0">
                  <c:v>#N/A</c:v>
                </c:pt>
                <c:pt idx="1">
                  <c:v>6</c:v>
                </c:pt>
                <c:pt idx="2">
                  <c:v>23</c:v>
                </c:pt>
                <c:pt idx="3">
                  <c:v>3</c:v>
                </c:pt>
                <c:pt idx="4">
                  <c:v>27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39</c:v>
                </c:pt>
                <c:pt idx="10">
                  <c:v>#N/A</c:v>
                </c:pt>
                <c:pt idx="11">
                  <c:v>15</c:v>
                </c:pt>
                <c:pt idx="12">
                  <c:v>#N/A</c:v>
                </c:pt>
                <c:pt idx="13">
                  <c:v>21</c:v>
                </c:pt>
                <c:pt idx="14">
                  <c:v>#N/A</c:v>
                </c:pt>
                <c:pt idx="15">
                  <c:v>#N/A</c:v>
                </c:pt>
                <c:pt idx="16">
                  <c:v>3</c:v>
                </c:pt>
                <c:pt idx="17">
                  <c:v>#N/A</c:v>
                </c:pt>
                <c:pt idx="18">
                  <c:v>#N/A</c:v>
                </c:pt>
                <c:pt idx="19">
                  <c:v>29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49</c:v>
                </c:pt>
                <c:pt idx="27">
                  <c:v>#N/A</c:v>
                </c:pt>
                <c:pt idx="28">
                  <c:v>45</c:v>
                </c:pt>
                <c:pt idx="29">
                  <c:v>16</c:v>
                </c:pt>
                <c:pt idx="30">
                  <c:v>#N/A</c:v>
                </c:pt>
                <c:pt idx="31">
                  <c:v>#N/A</c:v>
                </c:pt>
                <c:pt idx="3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1A-444A-B904-BB8B0CDAE88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26066240"/>
        <c:axId val="1626067200"/>
      </c:scatterChart>
      <c:valAx>
        <c:axId val="162606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67200"/>
        <c:crosses val="autoZero"/>
        <c:crossBetween val="midCat"/>
      </c:valAx>
      <c:valAx>
        <c:axId val="162606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6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438149</xdr:colOff>
      <xdr:row>250</xdr:row>
      <xdr:rowOff>28575</xdr:rowOff>
    </xdr:from>
    <xdr:to>
      <xdr:col>31</xdr:col>
      <xdr:colOff>104774</xdr:colOff>
      <xdr:row>285</xdr:row>
      <xdr:rowOff>28574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B61101-1D17-0C08-ABDC-0F1F6F6BC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542925</xdr:colOff>
      <xdr:row>0</xdr:row>
      <xdr:rowOff>214312</xdr:rowOff>
    </xdr:from>
    <xdr:to>
      <xdr:col>33</xdr:col>
      <xdr:colOff>276225</xdr:colOff>
      <xdr:row>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C058C99-119A-101D-B1A0-AE6F77406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295274</xdr:colOff>
      <xdr:row>2</xdr:row>
      <xdr:rowOff>0</xdr:rowOff>
    </xdr:from>
    <xdr:to>
      <xdr:col>30</xdr:col>
      <xdr:colOff>95250</xdr:colOff>
      <xdr:row>30</xdr:row>
      <xdr:rowOff>133352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3CD2B-AF9A-CED0-076E-53416741E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FD01-0CA3-4B34-A317-FA8580135567}">
  <dimension ref="A1:U280"/>
  <sheetViews>
    <sheetView tabSelected="1" workbookViewId="0">
      <selection activeCell="C3" sqref="C3:C278"/>
    </sheetView>
  </sheetViews>
  <sheetFormatPr defaultRowHeight="14"/>
  <cols>
    <col min="21" max="21" width="14.4140625" customWidth="1"/>
  </cols>
  <sheetData>
    <row r="1" spans="1:21" ht="57.5">
      <c r="A1" s="20" t="s">
        <v>0</v>
      </c>
      <c r="B1" s="21" t="s">
        <v>1</v>
      </c>
      <c r="C1" s="21"/>
      <c r="D1" s="22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0" t="s">
        <v>15</v>
      </c>
      <c r="R1" s="1" t="s">
        <v>16</v>
      </c>
      <c r="S1" s="1" t="s">
        <v>17</v>
      </c>
      <c r="T1" s="25" t="s">
        <v>18</v>
      </c>
      <c r="U1" s="2" t="s">
        <v>19</v>
      </c>
    </row>
    <row r="2" spans="1:21" ht="34.5">
      <c r="A2" s="20"/>
      <c r="B2" s="21"/>
      <c r="C2" s="21"/>
      <c r="D2" s="22"/>
      <c r="E2" s="23" t="s">
        <v>20</v>
      </c>
      <c r="F2" s="23" t="s">
        <v>21</v>
      </c>
      <c r="G2" s="23"/>
      <c r="H2" s="23"/>
      <c r="I2" s="23"/>
      <c r="J2" s="23"/>
      <c r="K2" s="23"/>
      <c r="L2" s="23"/>
      <c r="M2" s="23"/>
      <c r="N2" s="24"/>
      <c r="O2" s="24"/>
      <c r="P2" s="24"/>
      <c r="Q2" s="20"/>
      <c r="R2" s="1"/>
      <c r="S2" s="1"/>
      <c r="T2" s="2"/>
      <c r="U2" s="2"/>
    </row>
    <row r="3" spans="1:21">
      <c r="A3" s="26">
        <v>1</v>
      </c>
      <c r="B3" s="26">
        <v>1</v>
      </c>
      <c r="C3" s="4" t="s">
        <v>34</v>
      </c>
      <c r="D3" s="26">
        <v>2</v>
      </c>
      <c r="E3" s="26">
        <v>220</v>
      </c>
      <c r="F3" s="26">
        <v>160</v>
      </c>
      <c r="G3" s="26">
        <v>1</v>
      </c>
      <c r="H3" s="26">
        <v>0</v>
      </c>
      <c r="I3" s="26">
        <v>0</v>
      </c>
      <c r="J3" s="26">
        <v>1</v>
      </c>
      <c r="K3" s="26">
        <v>1</v>
      </c>
      <c r="L3" s="26">
        <v>1</v>
      </c>
      <c r="M3" s="26">
        <v>0</v>
      </c>
      <c r="N3" s="26">
        <v>386</v>
      </c>
      <c r="O3" s="26">
        <v>0</v>
      </c>
      <c r="P3" s="26">
        <v>1</v>
      </c>
      <c r="Q3" s="27">
        <v>387</v>
      </c>
      <c r="R3" s="3">
        <v>0</v>
      </c>
      <c r="S3" s="3">
        <v>432</v>
      </c>
      <c r="T3" s="28">
        <f>MAX(E3,F3)-MIN(E3,F3)</f>
        <v>60</v>
      </c>
      <c r="U3" s="4"/>
    </row>
    <row r="4" spans="1:21">
      <c r="A4" s="26">
        <v>2</v>
      </c>
      <c r="B4" s="26">
        <v>2</v>
      </c>
      <c r="C4" s="4" t="s">
        <v>36</v>
      </c>
      <c r="D4" s="26">
        <v>8</v>
      </c>
      <c r="E4" s="26">
        <v>454</v>
      </c>
      <c r="F4" s="26">
        <v>222</v>
      </c>
      <c r="G4" s="26">
        <v>2</v>
      </c>
      <c r="H4" s="26">
        <v>0</v>
      </c>
      <c r="I4" s="26">
        <v>1</v>
      </c>
      <c r="J4" s="26">
        <v>0</v>
      </c>
      <c r="K4" s="26">
        <v>2</v>
      </c>
      <c r="L4" s="26">
        <v>1</v>
      </c>
      <c r="M4" s="26">
        <v>1</v>
      </c>
      <c r="N4" s="26">
        <v>691</v>
      </c>
      <c r="O4" s="26">
        <v>0</v>
      </c>
      <c r="P4" s="26">
        <v>7</v>
      </c>
      <c r="Q4" s="27">
        <v>698</v>
      </c>
      <c r="R4" s="3">
        <v>0</v>
      </c>
      <c r="S4" s="3">
        <v>967</v>
      </c>
      <c r="T4" s="28">
        <f t="shared" ref="T4:T67" si="0">MAX(E4,F4)-MIN(E4,F4)</f>
        <v>232</v>
      </c>
      <c r="U4" s="4"/>
    </row>
    <row r="5" spans="1:21">
      <c r="A5" s="26">
        <v>3</v>
      </c>
      <c r="B5" s="26">
        <v>3</v>
      </c>
      <c r="C5" s="4" t="s">
        <v>38</v>
      </c>
      <c r="D5" s="26">
        <v>6</v>
      </c>
      <c r="E5" s="26">
        <v>360</v>
      </c>
      <c r="F5" s="26">
        <v>290</v>
      </c>
      <c r="G5" s="26">
        <v>5</v>
      </c>
      <c r="H5" s="26">
        <v>2</v>
      </c>
      <c r="I5" s="26">
        <v>0</v>
      </c>
      <c r="J5" s="26">
        <v>2</v>
      </c>
      <c r="K5" s="26">
        <v>0</v>
      </c>
      <c r="L5" s="26">
        <v>1</v>
      </c>
      <c r="M5" s="26">
        <v>3</v>
      </c>
      <c r="N5" s="26">
        <v>669</v>
      </c>
      <c r="O5" s="26">
        <v>0</v>
      </c>
      <c r="P5" s="26">
        <v>6</v>
      </c>
      <c r="Q5" s="27">
        <v>675</v>
      </c>
      <c r="R5" s="3">
        <v>0</v>
      </c>
      <c r="S5" s="3">
        <v>852</v>
      </c>
      <c r="T5" s="28">
        <f t="shared" si="0"/>
        <v>70</v>
      </c>
      <c r="U5" s="4"/>
    </row>
    <row r="6" spans="1:21">
      <c r="A6" s="26">
        <v>4</v>
      </c>
      <c r="B6" s="26">
        <v>4</v>
      </c>
      <c r="C6" s="4" t="s">
        <v>40</v>
      </c>
      <c r="D6" s="26">
        <v>3</v>
      </c>
      <c r="E6" s="26">
        <v>428</v>
      </c>
      <c r="F6" s="26">
        <v>234</v>
      </c>
      <c r="G6" s="26">
        <v>2</v>
      </c>
      <c r="H6" s="26">
        <v>0</v>
      </c>
      <c r="I6" s="26">
        <v>1</v>
      </c>
      <c r="J6" s="26">
        <v>0</v>
      </c>
      <c r="K6" s="26">
        <v>1</v>
      </c>
      <c r="L6" s="26">
        <v>7</v>
      </c>
      <c r="M6" s="26">
        <v>3</v>
      </c>
      <c r="N6" s="26">
        <v>679</v>
      </c>
      <c r="O6" s="26">
        <v>0</v>
      </c>
      <c r="P6" s="26">
        <v>5</v>
      </c>
      <c r="Q6" s="27">
        <v>684</v>
      </c>
      <c r="R6" s="3">
        <v>0</v>
      </c>
      <c r="S6" s="3">
        <v>865</v>
      </c>
      <c r="T6" s="28">
        <f t="shared" si="0"/>
        <v>194</v>
      </c>
      <c r="U6" s="4"/>
    </row>
    <row r="7" spans="1:21">
      <c r="A7" s="26">
        <v>5</v>
      </c>
      <c r="B7" s="26">
        <v>5</v>
      </c>
      <c r="C7" s="4" t="s">
        <v>42</v>
      </c>
      <c r="D7" s="26">
        <v>5</v>
      </c>
      <c r="E7" s="26">
        <v>222</v>
      </c>
      <c r="F7" s="26">
        <v>184</v>
      </c>
      <c r="G7" s="26">
        <v>2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1</v>
      </c>
      <c r="N7" s="26">
        <v>414</v>
      </c>
      <c r="O7" s="26">
        <v>0</v>
      </c>
      <c r="P7" s="26">
        <v>0</v>
      </c>
      <c r="Q7" s="27">
        <v>414</v>
      </c>
      <c r="R7" s="3">
        <v>0</v>
      </c>
      <c r="S7" s="3">
        <v>497</v>
      </c>
      <c r="T7" s="28">
        <f t="shared" si="0"/>
        <v>38</v>
      </c>
      <c r="U7" s="4"/>
    </row>
    <row r="8" spans="1:21">
      <c r="A8" s="26">
        <v>6</v>
      </c>
      <c r="B8" s="26">
        <v>6</v>
      </c>
      <c r="C8" s="4" t="s">
        <v>44</v>
      </c>
      <c r="D8" s="26">
        <v>6</v>
      </c>
      <c r="E8" s="26">
        <v>411</v>
      </c>
      <c r="F8" s="26">
        <v>270</v>
      </c>
      <c r="G8" s="26">
        <v>5</v>
      </c>
      <c r="H8" s="26">
        <v>0</v>
      </c>
      <c r="I8" s="26">
        <v>1</v>
      </c>
      <c r="J8" s="26">
        <v>2</v>
      </c>
      <c r="K8" s="26">
        <v>3</v>
      </c>
      <c r="L8" s="26">
        <v>1</v>
      </c>
      <c r="M8" s="26">
        <v>3</v>
      </c>
      <c r="N8" s="26">
        <v>702</v>
      </c>
      <c r="O8" s="26">
        <v>0</v>
      </c>
      <c r="P8" s="26">
        <v>3</v>
      </c>
      <c r="Q8" s="27">
        <v>705</v>
      </c>
      <c r="R8" s="3">
        <v>0</v>
      </c>
      <c r="S8" s="3">
        <v>986</v>
      </c>
      <c r="T8" s="28">
        <f t="shared" si="0"/>
        <v>141</v>
      </c>
      <c r="U8" s="4"/>
    </row>
    <row r="9" spans="1:21">
      <c r="A9" s="26">
        <v>7</v>
      </c>
      <c r="B9" s="26">
        <v>7</v>
      </c>
      <c r="C9" s="4" t="s">
        <v>46</v>
      </c>
      <c r="D9" s="26">
        <v>4</v>
      </c>
      <c r="E9" s="26">
        <v>198</v>
      </c>
      <c r="F9" s="26">
        <v>204</v>
      </c>
      <c r="G9" s="26">
        <v>1</v>
      </c>
      <c r="H9" s="26">
        <v>1</v>
      </c>
      <c r="I9" s="26">
        <v>0</v>
      </c>
      <c r="J9" s="26">
        <v>1</v>
      </c>
      <c r="K9" s="26">
        <v>0</v>
      </c>
      <c r="L9" s="26">
        <v>5</v>
      </c>
      <c r="M9" s="26">
        <v>2</v>
      </c>
      <c r="N9" s="26">
        <v>416</v>
      </c>
      <c r="O9" s="26">
        <v>0</v>
      </c>
      <c r="P9" s="26">
        <v>2</v>
      </c>
      <c r="Q9" s="27">
        <v>418</v>
      </c>
      <c r="R9" s="3">
        <v>0</v>
      </c>
      <c r="S9" s="3">
        <v>492</v>
      </c>
      <c r="T9" s="28">
        <f t="shared" si="0"/>
        <v>6</v>
      </c>
      <c r="U9" s="4"/>
    </row>
    <row r="10" spans="1:21">
      <c r="A10" s="26">
        <v>8</v>
      </c>
      <c r="B10" s="26">
        <v>8</v>
      </c>
      <c r="C10" s="4" t="s">
        <v>48</v>
      </c>
      <c r="D10" s="26">
        <v>3</v>
      </c>
      <c r="E10" s="26">
        <v>308</v>
      </c>
      <c r="F10" s="26">
        <v>171</v>
      </c>
      <c r="G10" s="26">
        <v>2</v>
      </c>
      <c r="H10" s="26">
        <v>0</v>
      </c>
      <c r="I10" s="26">
        <v>2</v>
      </c>
      <c r="J10" s="26">
        <v>0</v>
      </c>
      <c r="K10" s="26">
        <v>1</v>
      </c>
      <c r="L10" s="26">
        <v>2</v>
      </c>
      <c r="M10" s="26">
        <v>0</v>
      </c>
      <c r="N10" s="26">
        <v>489</v>
      </c>
      <c r="O10" s="26">
        <v>0</v>
      </c>
      <c r="P10" s="26">
        <v>2</v>
      </c>
      <c r="Q10" s="27">
        <v>491</v>
      </c>
      <c r="R10" s="3">
        <v>0</v>
      </c>
      <c r="S10" s="3">
        <v>615</v>
      </c>
      <c r="T10" s="28">
        <f t="shared" si="0"/>
        <v>137</v>
      </c>
      <c r="U10" s="4"/>
    </row>
    <row r="11" spans="1:21">
      <c r="A11" s="26">
        <v>9</v>
      </c>
      <c r="B11" s="26">
        <v>9</v>
      </c>
      <c r="C11" s="4" t="s">
        <v>50</v>
      </c>
      <c r="D11" s="26">
        <v>2</v>
      </c>
      <c r="E11" s="26">
        <v>214</v>
      </c>
      <c r="F11" s="26">
        <v>138</v>
      </c>
      <c r="G11" s="26">
        <v>0</v>
      </c>
      <c r="H11" s="26">
        <v>0</v>
      </c>
      <c r="I11" s="26">
        <v>0</v>
      </c>
      <c r="J11" s="26">
        <v>0</v>
      </c>
      <c r="K11" s="26">
        <v>1</v>
      </c>
      <c r="L11" s="26">
        <v>1</v>
      </c>
      <c r="M11" s="26">
        <v>0</v>
      </c>
      <c r="N11" s="26">
        <v>356</v>
      </c>
      <c r="O11" s="26">
        <v>0</v>
      </c>
      <c r="P11" s="26">
        <v>0</v>
      </c>
      <c r="Q11" s="27">
        <v>356</v>
      </c>
      <c r="R11" s="3">
        <v>0</v>
      </c>
      <c r="S11" s="3">
        <v>434</v>
      </c>
      <c r="T11" s="28">
        <f t="shared" si="0"/>
        <v>76</v>
      </c>
      <c r="U11" s="4"/>
    </row>
    <row r="12" spans="1:21">
      <c r="A12" s="26">
        <v>10</v>
      </c>
      <c r="B12" s="26">
        <v>10</v>
      </c>
      <c r="C12" s="4" t="s">
        <v>52</v>
      </c>
      <c r="D12" s="26">
        <v>8</v>
      </c>
      <c r="E12" s="26">
        <v>228</v>
      </c>
      <c r="F12" s="26">
        <v>170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2</v>
      </c>
      <c r="N12" s="26">
        <v>408</v>
      </c>
      <c r="O12" s="26">
        <v>0</v>
      </c>
      <c r="P12" s="26">
        <v>0</v>
      </c>
      <c r="Q12" s="27">
        <v>408</v>
      </c>
      <c r="R12" s="3">
        <v>0</v>
      </c>
      <c r="S12" s="3">
        <v>527</v>
      </c>
      <c r="T12" s="28">
        <f t="shared" si="0"/>
        <v>58</v>
      </c>
      <c r="U12" s="4"/>
    </row>
    <row r="13" spans="1:21">
      <c r="A13" s="26">
        <v>11</v>
      </c>
      <c r="B13" s="26">
        <v>11</v>
      </c>
      <c r="C13" s="4" t="s">
        <v>54</v>
      </c>
      <c r="D13" s="26">
        <v>2</v>
      </c>
      <c r="E13" s="26">
        <v>412</v>
      </c>
      <c r="F13" s="26">
        <v>247</v>
      </c>
      <c r="G13" s="26">
        <v>7</v>
      </c>
      <c r="H13" s="26">
        <v>1</v>
      </c>
      <c r="I13" s="26">
        <v>0</v>
      </c>
      <c r="J13" s="26">
        <v>1</v>
      </c>
      <c r="K13" s="26">
        <v>1</v>
      </c>
      <c r="L13" s="26">
        <v>1</v>
      </c>
      <c r="M13" s="26">
        <v>1</v>
      </c>
      <c r="N13" s="26">
        <v>673</v>
      </c>
      <c r="O13" s="26">
        <v>0</v>
      </c>
      <c r="P13" s="26">
        <v>0</v>
      </c>
      <c r="Q13" s="27">
        <v>673</v>
      </c>
      <c r="R13" s="3">
        <v>0</v>
      </c>
      <c r="S13" s="3">
        <v>766</v>
      </c>
      <c r="T13" s="28">
        <f t="shared" si="0"/>
        <v>165</v>
      </c>
      <c r="U13" s="4"/>
    </row>
    <row r="14" spans="1:21">
      <c r="A14" s="26">
        <v>12</v>
      </c>
      <c r="B14" s="26">
        <v>12</v>
      </c>
      <c r="C14" s="4" t="s">
        <v>56</v>
      </c>
      <c r="D14" s="26">
        <v>3</v>
      </c>
      <c r="E14" s="26">
        <v>265</v>
      </c>
      <c r="F14" s="26">
        <v>90</v>
      </c>
      <c r="G14" s="26">
        <v>1</v>
      </c>
      <c r="H14" s="26">
        <v>0</v>
      </c>
      <c r="I14" s="26">
        <v>1</v>
      </c>
      <c r="J14" s="26">
        <v>1</v>
      </c>
      <c r="K14" s="26">
        <v>1</v>
      </c>
      <c r="L14" s="26">
        <v>1</v>
      </c>
      <c r="M14" s="26">
        <v>1</v>
      </c>
      <c r="N14" s="26">
        <v>364</v>
      </c>
      <c r="O14" s="26">
        <v>0</v>
      </c>
      <c r="P14" s="26">
        <v>2</v>
      </c>
      <c r="Q14" s="27">
        <v>366</v>
      </c>
      <c r="R14" s="3">
        <v>0</v>
      </c>
      <c r="S14" s="3">
        <v>437</v>
      </c>
      <c r="T14" s="28">
        <f t="shared" si="0"/>
        <v>175</v>
      </c>
      <c r="U14" s="4"/>
    </row>
    <row r="15" spans="1:21">
      <c r="A15" s="26">
        <v>13</v>
      </c>
      <c r="B15" s="26">
        <v>13</v>
      </c>
      <c r="C15" s="4" t="s">
        <v>58</v>
      </c>
      <c r="D15" s="26">
        <v>4</v>
      </c>
      <c r="E15" s="26">
        <v>272</v>
      </c>
      <c r="F15" s="26">
        <v>157</v>
      </c>
      <c r="G15" s="26">
        <v>4</v>
      </c>
      <c r="H15" s="26">
        <v>0</v>
      </c>
      <c r="I15" s="26">
        <v>1</v>
      </c>
      <c r="J15" s="26">
        <v>1</v>
      </c>
      <c r="K15" s="26">
        <v>2</v>
      </c>
      <c r="L15" s="26">
        <v>2</v>
      </c>
      <c r="M15" s="26">
        <v>2</v>
      </c>
      <c r="N15" s="26">
        <v>445</v>
      </c>
      <c r="O15" s="26">
        <v>0</v>
      </c>
      <c r="P15" s="26">
        <v>1</v>
      </c>
      <c r="Q15" s="27">
        <v>446</v>
      </c>
      <c r="R15" s="3">
        <v>0</v>
      </c>
      <c r="S15" s="3">
        <v>570</v>
      </c>
      <c r="T15" s="28">
        <f t="shared" si="0"/>
        <v>115</v>
      </c>
      <c r="U15" s="4"/>
    </row>
    <row r="16" spans="1:21">
      <c r="A16" s="26">
        <v>14</v>
      </c>
      <c r="B16" s="26">
        <v>14</v>
      </c>
      <c r="C16" s="4" t="s">
        <v>60</v>
      </c>
      <c r="D16" s="26">
        <v>0</v>
      </c>
      <c r="E16" s="26">
        <v>317</v>
      </c>
      <c r="F16" s="26">
        <v>333</v>
      </c>
      <c r="G16" s="26">
        <v>0</v>
      </c>
      <c r="H16" s="26">
        <v>2</v>
      </c>
      <c r="I16" s="26">
        <v>0</v>
      </c>
      <c r="J16" s="26">
        <v>0</v>
      </c>
      <c r="K16" s="26">
        <v>0</v>
      </c>
      <c r="L16" s="26">
        <v>1</v>
      </c>
      <c r="M16" s="26">
        <v>0</v>
      </c>
      <c r="N16" s="26">
        <v>653</v>
      </c>
      <c r="O16" s="26">
        <v>0</v>
      </c>
      <c r="P16" s="26">
        <v>6</v>
      </c>
      <c r="Q16" s="27">
        <v>659</v>
      </c>
      <c r="R16" s="3">
        <v>0</v>
      </c>
      <c r="S16" s="3">
        <v>873</v>
      </c>
      <c r="T16" s="28">
        <f t="shared" si="0"/>
        <v>16</v>
      </c>
      <c r="U16" s="4"/>
    </row>
    <row r="17" spans="1:21">
      <c r="A17" s="26">
        <v>15</v>
      </c>
      <c r="B17" s="26">
        <v>15</v>
      </c>
      <c r="C17" s="4" t="s">
        <v>62</v>
      </c>
      <c r="D17" s="26">
        <v>9</v>
      </c>
      <c r="E17" s="26">
        <v>488</v>
      </c>
      <c r="F17" s="26">
        <v>255</v>
      </c>
      <c r="G17" s="26">
        <v>2</v>
      </c>
      <c r="H17" s="26">
        <v>1</v>
      </c>
      <c r="I17" s="26">
        <v>0</v>
      </c>
      <c r="J17" s="26">
        <v>0</v>
      </c>
      <c r="K17" s="26">
        <v>1</v>
      </c>
      <c r="L17" s="26">
        <v>0</v>
      </c>
      <c r="M17" s="26">
        <v>3</v>
      </c>
      <c r="N17" s="26">
        <v>759</v>
      </c>
      <c r="O17" s="26">
        <v>0</v>
      </c>
      <c r="P17" s="26">
        <v>2</v>
      </c>
      <c r="Q17" s="27">
        <v>761</v>
      </c>
      <c r="R17" s="3">
        <v>0</v>
      </c>
      <c r="S17" s="3">
        <v>1063</v>
      </c>
      <c r="T17" s="28">
        <f t="shared" si="0"/>
        <v>233</v>
      </c>
      <c r="U17" s="4"/>
    </row>
    <row r="18" spans="1:21">
      <c r="A18" s="26">
        <v>16</v>
      </c>
      <c r="B18" s="26">
        <v>16</v>
      </c>
      <c r="C18" s="4" t="s">
        <v>64</v>
      </c>
      <c r="D18" s="26">
        <v>3</v>
      </c>
      <c r="E18" s="26">
        <v>530</v>
      </c>
      <c r="F18" s="26">
        <v>319</v>
      </c>
      <c r="G18" s="26">
        <v>4</v>
      </c>
      <c r="H18" s="26">
        <v>1</v>
      </c>
      <c r="I18" s="26">
        <v>0</v>
      </c>
      <c r="J18" s="26">
        <v>0</v>
      </c>
      <c r="K18" s="26">
        <v>0</v>
      </c>
      <c r="L18" s="26">
        <v>0</v>
      </c>
      <c r="M18" s="26">
        <v>3</v>
      </c>
      <c r="N18" s="26">
        <v>860</v>
      </c>
      <c r="O18" s="26">
        <v>0</v>
      </c>
      <c r="P18" s="26">
        <v>4</v>
      </c>
      <c r="Q18" s="27">
        <v>864</v>
      </c>
      <c r="R18" s="3">
        <v>0</v>
      </c>
      <c r="S18" s="3">
        <v>1108</v>
      </c>
      <c r="T18" s="28">
        <f t="shared" si="0"/>
        <v>211</v>
      </c>
      <c r="U18" s="4"/>
    </row>
    <row r="19" spans="1:21">
      <c r="A19" s="26">
        <v>17</v>
      </c>
      <c r="B19" s="26">
        <v>17</v>
      </c>
      <c r="C19" s="4" t="s">
        <v>66</v>
      </c>
      <c r="D19" s="26">
        <v>4</v>
      </c>
      <c r="E19" s="26">
        <v>507</v>
      </c>
      <c r="F19" s="26">
        <v>228</v>
      </c>
      <c r="G19" s="26">
        <v>3</v>
      </c>
      <c r="H19" s="26">
        <v>0</v>
      </c>
      <c r="I19" s="26">
        <v>0</v>
      </c>
      <c r="J19" s="26">
        <v>0</v>
      </c>
      <c r="K19" s="26">
        <v>2</v>
      </c>
      <c r="L19" s="26">
        <v>2</v>
      </c>
      <c r="M19" s="26">
        <v>2</v>
      </c>
      <c r="N19" s="26">
        <v>748</v>
      </c>
      <c r="O19" s="26">
        <v>0</v>
      </c>
      <c r="P19" s="26">
        <v>0</v>
      </c>
      <c r="Q19" s="27">
        <v>748</v>
      </c>
      <c r="R19" s="3">
        <v>0</v>
      </c>
      <c r="S19" s="3">
        <v>890</v>
      </c>
      <c r="T19" s="28">
        <f t="shared" si="0"/>
        <v>279</v>
      </c>
      <c r="U19" s="4"/>
    </row>
    <row r="20" spans="1:21">
      <c r="A20" s="26">
        <v>18</v>
      </c>
      <c r="B20" s="26">
        <v>18</v>
      </c>
      <c r="C20" s="4" t="s">
        <v>68</v>
      </c>
      <c r="D20" s="26">
        <v>3</v>
      </c>
      <c r="E20" s="26">
        <v>360</v>
      </c>
      <c r="F20" s="26">
        <v>269</v>
      </c>
      <c r="G20" s="26">
        <v>8</v>
      </c>
      <c r="H20" s="26">
        <v>0</v>
      </c>
      <c r="I20" s="26">
        <v>0</v>
      </c>
      <c r="J20" s="26">
        <v>0</v>
      </c>
      <c r="K20" s="26">
        <v>1</v>
      </c>
      <c r="L20" s="26">
        <v>0</v>
      </c>
      <c r="M20" s="26">
        <v>1</v>
      </c>
      <c r="N20" s="26">
        <v>642</v>
      </c>
      <c r="O20" s="26">
        <v>0</v>
      </c>
      <c r="P20" s="26">
        <v>3</v>
      </c>
      <c r="Q20" s="27">
        <v>645</v>
      </c>
      <c r="R20" s="3">
        <v>0</v>
      </c>
      <c r="S20" s="3">
        <v>781</v>
      </c>
      <c r="T20" s="28">
        <f t="shared" si="0"/>
        <v>91</v>
      </c>
      <c r="U20" s="4"/>
    </row>
    <row r="21" spans="1:21">
      <c r="A21" s="26">
        <v>19</v>
      </c>
      <c r="B21" s="26">
        <v>19</v>
      </c>
      <c r="C21" s="4" t="s">
        <v>70</v>
      </c>
      <c r="D21" s="26">
        <v>5</v>
      </c>
      <c r="E21" s="26">
        <v>523</v>
      </c>
      <c r="F21" s="26">
        <v>236</v>
      </c>
      <c r="G21" s="26">
        <v>2</v>
      </c>
      <c r="H21" s="26">
        <v>0</v>
      </c>
      <c r="I21" s="26">
        <v>0</v>
      </c>
      <c r="J21" s="26">
        <v>0</v>
      </c>
      <c r="K21" s="26">
        <v>1</v>
      </c>
      <c r="L21" s="26">
        <v>1</v>
      </c>
      <c r="M21" s="26">
        <v>3</v>
      </c>
      <c r="N21" s="26">
        <v>771</v>
      </c>
      <c r="O21" s="26">
        <v>0</v>
      </c>
      <c r="P21" s="26">
        <v>6</v>
      </c>
      <c r="Q21" s="27">
        <v>777</v>
      </c>
      <c r="R21" s="3">
        <v>0</v>
      </c>
      <c r="S21" s="3">
        <v>937</v>
      </c>
      <c r="T21" s="28">
        <f t="shared" si="0"/>
        <v>287</v>
      </c>
      <c r="U21" s="4"/>
    </row>
    <row r="22" spans="1:21">
      <c r="A22" s="26">
        <v>20</v>
      </c>
      <c r="B22" s="26">
        <v>20</v>
      </c>
      <c r="C22" s="4" t="s">
        <v>72</v>
      </c>
      <c r="D22" s="26">
        <v>4</v>
      </c>
      <c r="E22" s="26">
        <v>357</v>
      </c>
      <c r="F22" s="26">
        <v>284</v>
      </c>
      <c r="G22" s="26">
        <v>4</v>
      </c>
      <c r="H22" s="26">
        <v>0</v>
      </c>
      <c r="I22" s="26">
        <v>0</v>
      </c>
      <c r="J22" s="26">
        <v>1</v>
      </c>
      <c r="K22" s="26">
        <v>0</v>
      </c>
      <c r="L22" s="26">
        <v>1</v>
      </c>
      <c r="M22" s="26">
        <v>2</v>
      </c>
      <c r="N22" s="26">
        <v>653</v>
      </c>
      <c r="O22" s="26">
        <v>0</v>
      </c>
      <c r="P22" s="26">
        <v>1</v>
      </c>
      <c r="Q22" s="27">
        <v>654</v>
      </c>
      <c r="R22" s="3">
        <v>0</v>
      </c>
      <c r="S22" s="3">
        <v>757</v>
      </c>
      <c r="T22" s="28">
        <f t="shared" si="0"/>
        <v>73</v>
      </c>
      <c r="U22" s="4"/>
    </row>
    <row r="23" spans="1:21">
      <c r="A23" s="26">
        <v>21</v>
      </c>
      <c r="B23" s="26">
        <v>21</v>
      </c>
      <c r="C23" s="4" t="s">
        <v>74</v>
      </c>
      <c r="D23" s="26">
        <v>2</v>
      </c>
      <c r="E23" s="26">
        <v>327</v>
      </c>
      <c r="F23" s="26">
        <v>183</v>
      </c>
      <c r="G23" s="26">
        <v>0</v>
      </c>
      <c r="H23" s="26">
        <v>0</v>
      </c>
      <c r="I23" s="26">
        <v>1</v>
      </c>
      <c r="J23" s="26">
        <v>0</v>
      </c>
      <c r="K23" s="26">
        <v>0</v>
      </c>
      <c r="L23" s="26">
        <v>1</v>
      </c>
      <c r="M23" s="26">
        <v>2</v>
      </c>
      <c r="N23" s="26">
        <v>516</v>
      </c>
      <c r="O23" s="26">
        <v>0</v>
      </c>
      <c r="P23" s="26">
        <v>1</v>
      </c>
      <c r="Q23" s="27">
        <v>517</v>
      </c>
      <c r="R23" s="3">
        <v>0</v>
      </c>
      <c r="S23" s="3">
        <v>623</v>
      </c>
      <c r="T23" s="28">
        <f t="shared" si="0"/>
        <v>144</v>
      </c>
      <c r="U23" s="4"/>
    </row>
    <row r="24" spans="1:21">
      <c r="A24" s="26">
        <v>22</v>
      </c>
      <c r="B24" s="26">
        <v>22</v>
      </c>
      <c r="C24" s="4" t="s">
        <v>76</v>
      </c>
      <c r="D24" s="26">
        <v>1</v>
      </c>
      <c r="E24" s="26">
        <v>214</v>
      </c>
      <c r="F24" s="26">
        <v>237</v>
      </c>
      <c r="G24" s="26">
        <v>3</v>
      </c>
      <c r="H24" s="26">
        <v>0</v>
      </c>
      <c r="I24" s="26">
        <v>0</v>
      </c>
      <c r="J24" s="26">
        <v>0</v>
      </c>
      <c r="K24" s="26">
        <v>1</v>
      </c>
      <c r="L24" s="26">
        <v>1</v>
      </c>
      <c r="M24" s="26">
        <v>4</v>
      </c>
      <c r="N24" s="26">
        <v>461</v>
      </c>
      <c r="O24" s="26">
        <v>0</v>
      </c>
      <c r="P24" s="26">
        <v>1</v>
      </c>
      <c r="Q24" s="27">
        <v>462</v>
      </c>
      <c r="R24" s="3">
        <v>0</v>
      </c>
      <c r="S24" s="3">
        <v>556</v>
      </c>
      <c r="T24" s="28">
        <f t="shared" si="0"/>
        <v>23</v>
      </c>
      <c r="U24" s="4"/>
    </row>
    <row r="25" spans="1:21">
      <c r="A25" s="26">
        <v>23</v>
      </c>
      <c r="B25" s="26">
        <v>23</v>
      </c>
      <c r="C25" s="4" t="s">
        <v>78</v>
      </c>
      <c r="D25" s="26">
        <v>5</v>
      </c>
      <c r="E25" s="26">
        <v>398</v>
      </c>
      <c r="F25" s="26">
        <v>263</v>
      </c>
      <c r="G25" s="26">
        <v>1</v>
      </c>
      <c r="H25" s="26">
        <v>1</v>
      </c>
      <c r="I25" s="26">
        <v>0</v>
      </c>
      <c r="J25" s="26">
        <v>0</v>
      </c>
      <c r="K25" s="26">
        <v>1</v>
      </c>
      <c r="L25" s="26">
        <v>1</v>
      </c>
      <c r="M25" s="26">
        <v>0</v>
      </c>
      <c r="N25" s="26">
        <v>670</v>
      </c>
      <c r="O25" s="26">
        <v>0</v>
      </c>
      <c r="P25" s="26">
        <v>5</v>
      </c>
      <c r="Q25" s="27">
        <v>675</v>
      </c>
      <c r="R25" s="3">
        <v>0</v>
      </c>
      <c r="S25" s="3">
        <v>831</v>
      </c>
      <c r="T25" s="28">
        <f t="shared" si="0"/>
        <v>135</v>
      </c>
      <c r="U25" s="4"/>
    </row>
    <row r="26" spans="1:21">
      <c r="A26" s="26">
        <v>24</v>
      </c>
      <c r="B26" s="26">
        <v>24</v>
      </c>
      <c r="C26" s="4" t="s">
        <v>80</v>
      </c>
      <c r="D26" s="26">
        <v>2</v>
      </c>
      <c r="E26" s="26">
        <v>289</v>
      </c>
      <c r="F26" s="26">
        <v>141</v>
      </c>
      <c r="G26" s="26">
        <v>1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2</v>
      </c>
      <c r="N26" s="26">
        <v>435</v>
      </c>
      <c r="O26" s="26">
        <v>0</v>
      </c>
      <c r="P26" s="26">
        <v>7</v>
      </c>
      <c r="Q26" s="27">
        <v>442</v>
      </c>
      <c r="R26" s="3">
        <v>0</v>
      </c>
      <c r="S26" s="3">
        <v>542</v>
      </c>
      <c r="T26" s="28">
        <f t="shared" si="0"/>
        <v>148</v>
      </c>
      <c r="U26" s="4"/>
    </row>
    <row r="27" spans="1:21">
      <c r="A27" s="26">
        <v>25</v>
      </c>
      <c r="B27" s="26">
        <v>25</v>
      </c>
      <c r="C27" s="4" t="s">
        <v>82</v>
      </c>
      <c r="D27" s="26">
        <v>3</v>
      </c>
      <c r="E27" s="26">
        <v>441</v>
      </c>
      <c r="F27" s="26">
        <v>194</v>
      </c>
      <c r="G27" s="26">
        <v>1</v>
      </c>
      <c r="H27" s="26">
        <v>2</v>
      </c>
      <c r="I27" s="26">
        <v>1</v>
      </c>
      <c r="J27" s="26">
        <v>0</v>
      </c>
      <c r="K27" s="26">
        <v>0</v>
      </c>
      <c r="L27" s="26">
        <v>1</v>
      </c>
      <c r="M27" s="26">
        <v>1</v>
      </c>
      <c r="N27" s="26">
        <v>644</v>
      </c>
      <c r="O27" s="26">
        <v>0</v>
      </c>
      <c r="P27" s="26">
        <v>3</v>
      </c>
      <c r="Q27" s="27">
        <v>647</v>
      </c>
      <c r="R27" s="3">
        <v>0</v>
      </c>
      <c r="S27" s="3">
        <v>896</v>
      </c>
      <c r="T27" s="28">
        <f t="shared" si="0"/>
        <v>247</v>
      </c>
      <c r="U27" s="4"/>
    </row>
    <row r="28" spans="1:21">
      <c r="A28" s="26">
        <v>26</v>
      </c>
      <c r="B28" s="26">
        <v>26</v>
      </c>
      <c r="C28" s="4" t="s">
        <v>84</v>
      </c>
      <c r="D28" s="26">
        <v>2</v>
      </c>
      <c r="E28" s="26">
        <v>373</v>
      </c>
      <c r="F28" s="26">
        <v>277</v>
      </c>
      <c r="G28" s="26">
        <v>2</v>
      </c>
      <c r="H28" s="26">
        <v>0</v>
      </c>
      <c r="I28" s="26">
        <v>0</v>
      </c>
      <c r="J28" s="26">
        <v>1</v>
      </c>
      <c r="K28" s="26">
        <v>1</v>
      </c>
      <c r="L28" s="26">
        <v>0</v>
      </c>
      <c r="M28" s="26">
        <v>5</v>
      </c>
      <c r="N28" s="26">
        <v>661</v>
      </c>
      <c r="O28" s="26">
        <v>0</v>
      </c>
      <c r="P28" s="26">
        <v>7</v>
      </c>
      <c r="Q28" s="27">
        <v>668</v>
      </c>
      <c r="R28" s="3">
        <v>0</v>
      </c>
      <c r="S28" s="3">
        <v>801</v>
      </c>
      <c r="T28" s="28">
        <f t="shared" si="0"/>
        <v>96</v>
      </c>
      <c r="U28" s="4"/>
    </row>
    <row r="29" spans="1:21">
      <c r="A29" s="26">
        <v>27</v>
      </c>
      <c r="B29" s="26">
        <v>27</v>
      </c>
      <c r="C29" s="4" t="s">
        <v>86</v>
      </c>
      <c r="D29" s="26">
        <v>3</v>
      </c>
      <c r="E29" s="26">
        <v>417</v>
      </c>
      <c r="F29" s="26">
        <v>260</v>
      </c>
      <c r="G29" s="26">
        <v>3</v>
      </c>
      <c r="H29" s="26">
        <v>0</v>
      </c>
      <c r="I29" s="26">
        <v>1</v>
      </c>
      <c r="J29" s="26">
        <v>2</v>
      </c>
      <c r="K29" s="26">
        <v>1</v>
      </c>
      <c r="L29" s="26">
        <v>3</v>
      </c>
      <c r="M29" s="26">
        <v>5</v>
      </c>
      <c r="N29" s="26">
        <v>695</v>
      </c>
      <c r="O29" s="26">
        <v>0</v>
      </c>
      <c r="P29" s="26">
        <v>6</v>
      </c>
      <c r="Q29" s="27">
        <v>701</v>
      </c>
      <c r="R29" s="3">
        <v>0</v>
      </c>
      <c r="S29" s="3">
        <v>959</v>
      </c>
      <c r="T29" s="28">
        <f t="shared" si="0"/>
        <v>157</v>
      </c>
      <c r="U29" s="4"/>
    </row>
    <row r="30" spans="1:21">
      <c r="A30" s="29">
        <v>28</v>
      </c>
      <c r="B30" s="29">
        <v>28</v>
      </c>
      <c r="C30" s="4" t="s">
        <v>88</v>
      </c>
      <c r="D30" s="26">
        <v>5</v>
      </c>
      <c r="E30" s="26">
        <v>259</v>
      </c>
      <c r="F30" s="26">
        <v>207</v>
      </c>
      <c r="G30" s="26">
        <v>4</v>
      </c>
      <c r="H30" s="26">
        <v>0</v>
      </c>
      <c r="I30" s="26">
        <v>0</v>
      </c>
      <c r="J30" s="26">
        <v>0</v>
      </c>
      <c r="K30" s="26">
        <v>1</v>
      </c>
      <c r="L30" s="26">
        <v>3</v>
      </c>
      <c r="M30" s="26">
        <v>2</v>
      </c>
      <c r="N30" s="26">
        <v>481</v>
      </c>
      <c r="O30" s="26">
        <v>0</v>
      </c>
      <c r="P30" s="26">
        <v>3</v>
      </c>
      <c r="Q30" s="27">
        <v>484</v>
      </c>
      <c r="R30" s="3">
        <v>0</v>
      </c>
      <c r="S30" s="3">
        <v>587</v>
      </c>
      <c r="T30" s="28">
        <f t="shared" si="0"/>
        <v>52</v>
      </c>
      <c r="U30" s="4"/>
    </row>
    <row r="31" spans="1:21">
      <c r="A31" s="26">
        <v>29</v>
      </c>
      <c r="B31" s="26">
        <v>29</v>
      </c>
      <c r="C31" s="4" t="s">
        <v>90</v>
      </c>
      <c r="D31" s="26">
        <v>3</v>
      </c>
      <c r="E31" s="26">
        <v>389</v>
      </c>
      <c r="F31" s="26">
        <v>180</v>
      </c>
      <c r="G31" s="26">
        <v>4</v>
      </c>
      <c r="H31" s="26">
        <v>0</v>
      </c>
      <c r="I31" s="26">
        <v>0</v>
      </c>
      <c r="J31" s="26">
        <v>0</v>
      </c>
      <c r="K31" s="26">
        <v>3</v>
      </c>
      <c r="L31" s="26">
        <v>5</v>
      </c>
      <c r="M31" s="26">
        <v>3</v>
      </c>
      <c r="N31" s="26">
        <v>587</v>
      </c>
      <c r="O31" s="26">
        <v>0</v>
      </c>
      <c r="P31" s="26">
        <v>3</v>
      </c>
      <c r="Q31" s="27">
        <v>590</v>
      </c>
      <c r="R31" s="3">
        <v>0</v>
      </c>
      <c r="S31" s="3">
        <v>731</v>
      </c>
      <c r="T31" s="28">
        <f t="shared" si="0"/>
        <v>209</v>
      </c>
      <c r="U31" s="4"/>
    </row>
    <row r="32" spans="1:21">
      <c r="A32" s="26">
        <v>30</v>
      </c>
      <c r="B32" s="26">
        <v>30</v>
      </c>
      <c r="C32" s="4" t="s">
        <v>92</v>
      </c>
      <c r="D32" s="26">
        <v>7</v>
      </c>
      <c r="E32" s="26">
        <v>587</v>
      </c>
      <c r="F32" s="26">
        <v>378</v>
      </c>
      <c r="G32" s="26">
        <v>5</v>
      </c>
      <c r="H32" s="26">
        <v>0</v>
      </c>
      <c r="I32" s="26">
        <v>1</v>
      </c>
      <c r="J32" s="26">
        <v>1</v>
      </c>
      <c r="K32" s="26">
        <v>0</v>
      </c>
      <c r="L32" s="26">
        <v>1</v>
      </c>
      <c r="M32" s="26">
        <v>3</v>
      </c>
      <c r="N32" s="26">
        <v>983</v>
      </c>
      <c r="O32" s="26">
        <v>0</v>
      </c>
      <c r="P32" s="26">
        <v>3</v>
      </c>
      <c r="Q32" s="27">
        <v>986</v>
      </c>
      <c r="R32" s="3">
        <v>0</v>
      </c>
      <c r="S32" s="3">
        <v>1192</v>
      </c>
      <c r="T32" s="28">
        <f t="shared" si="0"/>
        <v>209</v>
      </c>
      <c r="U32" s="4"/>
    </row>
    <row r="33" spans="1:21">
      <c r="A33" s="26">
        <v>31</v>
      </c>
      <c r="B33" s="26">
        <v>31</v>
      </c>
      <c r="C33" s="4" t="s">
        <v>94</v>
      </c>
      <c r="D33" s="26">
        <v>4</v>
      </c>
      <c r="E33" s="26">
        <v>216</v>
      </c>
      <c r="F33" s="26">
        <v>275</v>
      </c>
      <c r="G33" s="26">
        <v>2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497</v>
      </c>
      <c r="O33" s="26">
        <v>0</v>
      </c>
      <c r="P33" s="26">
        <v>0</v>
      </c>
      <c r="Q33" s="27">
        <v>497</v>
      </c>
      <c r="R33" s="3">
        <v>0</v>
      </c>
      <c r="S33" s="3">
        <v>603</v>
      </c>
      <c r="T33" s="28">
        <f t="shared" si="0"/>
        <v>59</v>
      </c>
      <c r="U33" s="4"/>
    </row>
    <row r="34" spans="1:21">
      <c r="A34" s="26">
        <v>32</v>
      </c>
      <c r="B34" s="26">
        <v>32</v>
      </c>
      <c r="C34" s="4" t="s">
        <v>96</v>
      </c>
      <c r="D34" s="26">
        <v>4</v>
      </c>
      <c r="E34" s="26">
        <v>169</v>
      </c>
      <c r="F34" s="26">
        <v>172</v>
      </c>
      <c r="G34" s="26">
        <v>3</v>
      </c>
      <c r="H34" s="26">
        <v>1</v>
      </c>
      <c r="I34" s="26">
        <v>0</v>
      </c>
      <c r="J34" s="26">
        <v>0</v>
      </c>
      <c r="K34" s="26">
        <v>1</v>
      </c>
      <c r="L34" s="26">
        <v>0</v>
      </c>
      <c r="M34" s="26">
        <v>1</v>
      </c>
      <c r="N34" s="26">
        <v>351</v>
      </c>
      <c r="O34" s="26">
        <v>0</v>
      </c>
      <c r="P34" s="26">
        <v>1</v>
      </c>
      <c r="Q34" s="27">
        <v>352</v>
      </c>
      <c r="R34" s="3">
        <v>0</v>
      </c>
      <c r="S34" s="3">
        <v>423</v>
      </c>
      <c r="T34" s="28">
        <f t="shared" si="0"/>
        <v>3</v>
      </c>
      <c r="U34" s="4"/>
    </row>
    <row r="35" spans="1:21">
      <c r="A35" s="26">
        <v>33</v>
      </c>
      <c r="B35" s="26">
        <v>33</v>
      </c>
      <c r="C35" s="4" t="s">
        <v>98</v>
      </c>
      <c r="D35" s="26">
        <v>2</v>
      </c>
      <c r="E35" s="26">
        <v>360</v>
      </c>
      <c r="F35" s="26">
        <v>387</v>
      </c>
      <c r="G35" s="26">
        <v>1</v>
      </c>
      <c r="H35" s="26">
        <v>0</v>
      </c>
      <c r="I35" s="26">
        <v>0</v>
      </c>
      <c r="J35" s="26">
        <v>1</v>
      </c>
      <c r="K35" s="26">
        <v>0</v>
      </c>
      <c r="L35" s="26">
        <v>0</v>
      </c>
      <c r="M35" s="26">
        <v>2</v>
      </c>
      <c r="N35" s="26">
        <v>753</v>
      </c>
      <c r="O35" s="26">
        <v>0</v>
      </c>
      <c r="P35" s="26">
        <v>2</v>
      </c>
      <c r="Q35" s="27">
        <v>755</v>
      </c>
      <c r="R35" s="3">
        <v>0</v>
      </c>
      <c r="S35" s="3">
        <v>908</v>
      </c>
      <c r="T35" s="28">
        <f t="shared" si="0"/>
        <v>27</v>
      </c>
      <c r="U35" s="4"/>
    </row>
    <row r="36" spans="1:21">
      <c r="A36" s="26">
        <v>34</v>
      </c>
      <c r="B36" s="26">
        <v>34</v>
      </c>
      <c r="C36" s="4" t="s">
        <v>100</v>
      </c>
      <c r="D36" s="26">
        <v>2</v>
      </c>
      <c r="E36" s="26">
        <v>191</v>
      </c>
      <c r="F36" s="26">
        <v>87</v>
      </c>
      <c r="G36" s="26">
        <v>3</v>
      </c>
      <c r="H36" s="26">
        <v>0</v>
      </c>
      <c r="I36" s="26">
        <v>1</v>
      </c>
      <c r="J36" s="26">
        <v>0</v>
      </c>
      <c r="K36" s="26">
        <v>0</v>
      </c>
      <c r="L36" s="26">
        <v>0</v>
      </c>
      <c r="M36" s="26">
        <v>1</v>
      </c>
      <c r="N36" s="26">
        <v>285</v>
      </c>
      <c r="O36" s="26">
        <v>0</v>
      </c>
      <c r="P36" s="26">
        <v>2</v>
      </c>
      <c r="Q36" s="27">
        <v>287</v>
      </c>
      <c r="R36" s="3">
        <v>0</v>
      </c>
      <c r="S36" s="3">
        <v>334</v>
      </c>
      <c r="T36" s="28">
        <f t="shared" si="0"/>
        <v>104</v>
      </c>
      <c r="U36" s="4"/>
    </row>
    <row r="37" spans="1:21">
      <c r="A37" s="26">
        <v>35</v>
      </c>
      <c r="B37" s="26">
        <v>35</v>
      </c>
      <c r="C37" s="4" t="s">
        <v>102</v>
      </c>
      <c r="D37" s="26">
        <v>1</v>
      </c>
      <c r="E37" s="26">
        <v>152</v>
      </c>
      <c r="F37" s="26">
        <v>72</v>
      </c>
      <c r="G37" s="26">
        <v>1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226</v>
      </c>
      <c r="O37" s="26">
        <v>0</v>
      </c>
      <c r="P37" s="26">
        <v>0</v>
      </c>
      <c r="Q37" s="27">
        <v>226</v>
      </c>
      <c r="R37" s="3">
        <v>0</v>
      </c>
      <c r="S37" s="3">
        <v>279</v>
      </c>
      <c r="T37" s="28">
        <f t="shared" si="0"/>
        <v>80</v>
      </c>
      <c r="U37" s="4"/>
    </row>
    <row r="38" spans="1:21">
      <c r="A38" s="26">
        <v>36</v>
      </c>
      <c r="B38" s="26">
        <v>36</v>
      </c>
      <c r="C38" s="4" t="s">
        <v>104</v>
      </c>
      <c r="D38" s="26">
        <v>6</v>
      </c>
      <c r="E38" s="26">
        <v>246</v>
      </c>
      <c r="F38" s="26">
        <v>241</v>
      </c>
      <c r="G38" s="26">
        <v>2</v>
      </c>
      <c r="H38" s="26">
        <v>0</v>
      </c>
      <c r="I38" s="26">
        <v>0</v>
      </c>
      <c r="J38" s="26">
        <v>0</v>
      </c>
      <c r="K38" s="26">
        <v>1</v>
      </c>
      <c r="L38" s="26">
        <v>2</v>
      </c>
      <c r="M38" s="26">
        <v>2</v>
      </c>
      <c r="N38" s="26">
        <v>500</v>
      </c>
      <c r="O38" s="26">
        <v>0</v>
      </c>
      <c r="P38" s="26">
        <v>1</v>
      </c>
      <c r="Q38" s="27">
        <v>501</v>
      </c>
      <c r="R38" s="3">
        <v>0</v>
      </c>
      <c r="S38" s="3">
        <v>707</v>
      </c>
      <c r="T38" s="28">
        <f t="shared" si="0"/>
        <v>5</v>
      </c>
      <c r="U38" s="4"/>
    </row>
    <row r="39" spans="1:21">
      <c r="A39" s="26">
        <v>37</v>
      </c>
      <c r="B39" s="26">
        <v>37</v>
      </c>
      <c r="C39" s="4" t="s">
        <v>106</v>
      </c>
      <c r="D39" s="26">
        <v>3</v>
      </c>
      <c r="E39" s="26">
        <v>198</v>
      </c>
      <c r="F39" s="26">
        <v>185</v>
      </c>
      <c r="G39" s="26">
        <v>2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2</v>
      </c>
      <c r="N39" s="26">
        <v>390</v>
      </c>
      <c r="O39" s="26">
        <v>0</v>
      </c>
      <c r="P39" s="26">
        <v>2</v>
      </c>
      <c r="Q39" s="27">
        <v>392</v>
      </c>
      <c r="R39" s="3">
        <v>0</v>
      </c>
      <c r="S39" s="3">
        <v>449</v>
      </c>
      <c r="T39" s="28">
        <f t="shared" si="0"/>
        <v>13</v>
      </c>
      <c r="U39" s="4"/>
    </row>
    <row r="40" spans="1:21">
      <c r="A40" s="26">
        <v>38</v>
      </c>
      <c r="B40" s="26">
        <v>38</v>
      </c>
      <c r="C40" s="4" t="s">
        <v>108</v>
      </c>
      <c r="D40" s="26">
        <v>1</v>
      </c>
      <c r="E40" s="26">
        <v>219</v>
      </c>
      <c r="F40" s="26">
        <v>304</v>
      </c>
      <c r="G40" s="26">
        <v>5</v>
      </c>
      <c r="H40" s="26">
        <v>0</v>
      </c>
      <c r="I40" s="26">
        <v>0</v>
      </c>
      <c r="J40" s="26">
        <v>0</v>
      </c>
      <c r="K40" s="26">
        <v>0</v>
      </c>
      <c r="L40" s="26">
        <v>2</v>
      </c>
      <c r="M40" s="26">
        <v>0</v>
      </c>
      <c r="N40" s="26">
        <v>531</v>
      </c>
      <c r="O40" s="26">
        <v>0</v>
      </c>
      <c r="P40" s="26">
        <v>4</v>
      </c>
      <c r="Q40" s="27">
        <v>535</v>
      </c>
      <c r="R40" s="3">
        <v>0</v>
      </c>
      <c r="S40" s="3">
        <v>659</v>
      </c>
      <c r="T40" s="28">
        <f t="shared" si="0"/>
        <v>85</v>
      </c>
      <c r="U40" s="4"/>
    </row>
    <row r="41" spans="1:21">
      <c r="A41" s="26">
        <v>39</v>
      </c>
      <c r="B41" s="26">
        <v>39</v>
      </c>
      <c r="C41" s="4" t="s">
        <v>110</v>
      </c>
      <c r="D41" s="26">
        <v>1</v>
      </c>
      <c r="E41" s="26">
        <v>400</v>
      </c>
      <c r="F41" s="26">
        <v>277</v>
      </c>
      <c r="G41" s="26">
        <v>3</v>
      </c>
      <c r="H41" s="26">
        <v>2</v>
      </c>
      <c r="I41" s="26">
        <v>1</v>
      </c>
      <c r="J41" s="26">
        <v>1</v>
      </c>
      <c r="K41" s="26">
        <v>2</v>
      </c>
      <c r="L41" s="26">
        <v>3</v>
      </c>
      <c r="M41" s="26">
        <v>1</v>
      </c>
      <c r="N41" s="26">
        <v>691</v>
      </c>
      <c r="O41" s="26">
        <v>0</v>
      </c>
      <c r="P41" s="26">
        <v>2</v>
      </c>
      <c r="Q41" s="27">
        <v>693</v>
      </c>
      <c r="R41" s="3">
        <v>0</v>
      </c>
      <c r="S41" s="3">
        <v>967</v>
      </c>
      <c r="T41" s="28">
        <f t="shared" si="0"/>
        <v>123</v>
      </c>
      <c r="U41" s="4"/>
    </row>
    <row r="42" spans="1:21">
      <c r="A42" s="26">
        <v>40</v>
      </c>
      <c r="B42" s="26">
        <v>40</v>
      </c>
      <c r="C42" s="4" t="s">
        <v>112</v>
      </c>
      <c r="D42" s="26">
        <v>2</v>
      </c>
      <c r="E42" s="26">
        <v>474</v>
      </c>
      <c r="F42" s="26">
        <v>255</v>
      </c>
      <c r="G42" s="26">
        <v>4</v>
      </c>
      <c r="H42" s="26">
        <v>0</v>
      </c>
      <c r="I42" s="26">
        <v>0</v>
      </c>
      <c r="J42" s="26">
        <v>1</v>
      </c>
      <c r="K42" s="26">
        <v>0</v>
      </c>
      <c r="L42" s="26">
        <v>2</v>
      </c>
      <c r="M42" s="26">
        <v>1</v>
      </c>
      <c r="N42" s="26">
        <v>739</v>
      </c>
      <c r="O42" s="26">
        <v>0</v>
      </c>
      <c r="P42" s="26">
        <v>1</v>
      </c>
      <c r="Q42" s="27">
        <v>740</v>
      </c>
      <c r="R42" s="3">
        <v>0</v>
      </c>
      <c r="S42" s="3">
        <v>865</v>
      </c>
      <c r="T42" s="28">
        <f t="shared" si="0"/>
        <v>219</v>
      </c>
      <c r="U42" s="4"/>
    </row>
    <row r="43" spans="1:21">
      <c r="A43" s="26">
        <v>41</v>
      </c>
      <c r="B43" s="26">
        <v>41</v>
      </c>
      <c r="C43" s="4" t="s">
        <v>114</v>
      </c>
      <c r="D43" s="26">
        <v>9</v>
      </c>
      <c r="E43" s="26">
        <v>493</v>
      </c>
      <c r="F43" s="26">
        <v>374</v>
      </c>
      <c r="G43" s="26">
        <v>6</v>
      </c>
      <c r="H43" s="26">
        <v>2</v>
      </c>
      <c r="I43" s="26">
        <v>0</v>
      </c>
      <c r="J43" s="26">
        <v>0</v>
      </c>
      <c r="K43" s="26">
        <v>0</v>
      </c>
      <c r="L43" s="26">
        <v>0</v>
      </c>
      <c r="M43" s="26">
        <v>2</v>
      </c>
      <c r="N43" s="26">
        <v>886</v>
      </c>
      <c r="O43" s="26">
        <v>0</v>
      </c>
      <c r="P43" s="26">
        <v>2</v>
      </c>
      <c r="Q43" s="27">
        <v>888</v>
      </c>
      <c r="R43" s="3">
        <v>0</v>
      </c>
      <c r="S43" s="3">
        <v>1108</v>
      </c>
      <c r="T43" s="28">
        <f t="shared" si="0"/>
        <v>119</v>
      </c>
      <c r="U43" s="4"/>
    </row>
    <row r="44" spans="1:21">
      <c r="A44" s="26">
        <v>42</v>
      </c>
      <c r="B44" s="26">
        <v>42</v>
      </c>
      <c r="C44" s="4" t="s">
        <v>116</v>
      </c>
      <c r="D44" s="26">
        <v>7</v>
      </c>
      <c r="E44" s="26">
        <v>321</v>
      </c>
      <c r="F44" s="26">
        <v>202</v>
      </c>
      <c r="G44" s="26">
        <v>6</v>
      </c>
      <c r="H44" s="26">
        <v>0</v>
      </c>
      <c r="I44" s="26">
        <v>0</v>
      </c>
      <c r="J44" s="26">
        <v>1</v>
      </c>
      <c r="K44" s="26">
        <v>0</v>
      </c>
      <c r="L44" s="26">
        <v>3</v>
      </c>
      <c r="M44" s="26">
        <v>0</v>
      </c>
      <c r="N44" s="26">
        <v>540</v>
      </c>
      <c r="O44" s="26">
        <v>0</v>
      </c>
      <c r="P44" s="26">
        <v>2</v>
      </c>
      <c r="Q44" s="27">
        <v>542</v>
      </c>
      <c r="R44" s="3">
        <v>0</v>
      </c>
      <c r="S44" s="3">
        <v>653</v>
      </c>
      <c r="T44" s="28">
        <f t="shared" si="0"/>
        <v>119</v>
      </c>
      <c r="U44" s="4"/>
    </row>
    <row r="45" spans="1:21">
      <c r="A45" s="26">
        <v>43</v>
      </c>
      <c r="B45" s="26">
        <v>43</v>
      </c>
      <c r="C45" s="4" t="s">
        <v>118</v>
      </c>
      <c r="D45" s="26">
        <v>2</v>
      </c>
      <c r="E45" s="26">
        <v>351</v>
      </c>
      <c r="F45" s="26">
        <v>172</v>
      </c>
      <c r="G45" s="26">
        <v>1</v>
      </c>
      <c r="H45" s="26">
        <v>0</v>
      </c>
      <c r="I45" s="26">
        <v>0</v>
      </c>
      <c r="J45" s="26">
        <v>1</v>
      </c>
      <c r="K45" s="26">
        <v>1</v>
      </c>
      <c r="L45" s="26">
        <v>0</v>
      </c>
      <c r="M45" s="26">
        <v>2</v>
      </c>
      <c r="N45" s="26">
        <v>530</v>
      </c>
      <c r="O45" s="26">
        <v>0</v>
      </c>
      <c r="P45" s="26">
        <v>1</v>
      </c>
      <c r="Q45" s="27">
        <v>531</v>
      </c>
      <c r="R45" s="3">
        <v>0</v>
      </c>
      <c r="S45" s="3">
        <v>649</v>
      </c>
      <c r="T45" s="28">
        <f t="shared" si="0"/>
        <v>179</v>
      </c>
      <c r="U45" s="4"/>
    </row>
    <row r="46" spans="1:21">
      <c r="A46" s="26">
        <v>44</v>
      </c>
      <c r="B46" s="26">
        <v>44</v>
      </c>
      <c r="C46" s="4" t="s">
        <v>120</v>
      </c>
      <c r="D46" s="26">
        <v>6</v>
      </c>
      <c r="E46" s="26">
        <v>553</v>
      </c>
      <c r="F46" s="26">
        <v>344</v>
      </c>
      <c r="G46" s="26">
        <v>3</v>
      </c>
      <c r="H46" s="26">
        <v>0</v>
      </c>
      <c r="I46" s="26">
        <v>2</v>
      </c>
      <c r="J46" s="26">
        <v>0</v>
      </c>
      <c r="K46" s="26">
        <v>3</v>
      </c>
      <c r="L46" s="26">
        <v>0</v>
      </c>
      <c r="M46" s="26">
        <v>3</v>
      </c>
      <c r="N46" s="26">
        <v>914</v>
      </c>
      <c r="O46" s="26">
        <v>0</v>
      </c>
      <c r="P46" s="26">
        <v>6</v>
      </c>
      <c r="Q46" s="27">
        <v>920</v>
      </c>
      <c r="R46" s="3">
        <v>0</v>
      </c>
      <c r="S46" s="3">
        <v>1135</v>
      </c>
      <c r="T46" s="28">
        <f t="shared" si="0"/>
        <v>209</v>
      </c>
      <c r="U46" s="4"/>
    </row>
    <row r="47" spans="1:21">
      <c r="A47" s="26">
        <v>45</v>
      </c>
      <c r="B47" s="26">
        <v>45</v>
      </c>
      <c r="C47" s="4" t="s">
        <v>122</v>
      </c>
      <c r="D47" s="26">
        <v>1</v>
      </c>
      <c r="E47" s="26">
        <v>412</v>
      </c>
      <c r="F47" s="26">
        <v>233</v>
      </c>
      <c r="G47" s="26">
        <v>6</v>
      </c>
      <c r="H47" s="26">
        <v>1</v>
      </c>
      <c r="I47" s="26">
        <v>1</v>
      </c>
      <c r="J47" s="26">
        <v>0</v>
      </c>
      <c r="K47" s="26">
        <v>2</v>
      </c>
      <c r="L47" s="26">
        <v>3</v>
      </c>
      <c r="M47" s="26">
        <v>0</v>
      </c>
      <c r="N47" s="26">
        <v>659</v>
      </c>
      <c r="O47" s="26">
        <v>0</v>
      </c>
      <c r="P47" s="26">
        <v>9</v>
      </c>
      <c r="Q47" s="27">
        <v>668</v>
      </c>
      <c r="R47" s="3">
        <v>0</v>
      </c>
      <c r="S47" s="3">
        <v>839</v>
      </c>
      <c r="T47" s="28">
        <f t="shared" si="0"/>
        <v>179</v>
      </c>
      <c r="U47" s="4"/>
    </row>
    <row r="48" spans="1:21">
      <c r="A48" s="26">
        <v>46</v>
      </c>
      <c r="B48" s="26">
        <v>46</v>
      </c>
      <c r="C48" s="4" t="s">
        <v>124</v>
      </c>
      <c r="D48" s="26">
        <v>4</v>
      </c>
      <c r="E48" s="26">
        <v>349</v>
      </c>
      <c r="F48" s="26">
        <v>121</v>
      </c>
      <c r="G48" s="26">
        <v>1</v>
      </c>
      <c r="H48" s="26">
        <v>0</v>
      </c>
      <c r="I48" s="26">
        <v>0</v>
      </c>
      <c r="J48" s="26">
        <v>0</v>
      </c>
      <c r="K48" s="26">
        <v>0</v>
      </c>
      <c r="L48" s="26">
        <v>1</v>
      </c>
      <c r="M48" s="26">
        <v>2</v>
      </c>
      <c r="N48" s="26">
        <v>478</v>
      </c>
      <c r="O48" s="26">
        <v>0</v>
      </c>
      <c r="P48" s="26">
        <v>1</v>
      </c>
      <c r="Q48" s="27">
        <v>479</v>
      </c>
      <c r="R48" s="3">
        <v>0</v>
      </c>
      <c r="S48" s="3">
        <v>540</v>
      </c>
      <c r="T48" s="28">
        <f t="shared" si="0"/>
        <v>228</v>
      </c>
      <c r="U48" s="4"/>
    </row>
    <row r="49" spans="1:21">
      <c r="A49" s="26">
        <v>47</v>
      </c>
      <c r="B49" s="26">
        <v>47</v>
      </c>
      <c r="C49" s="4" t="s">
        <v>126</v>
      </c>
      <c r="D49" s="26">
        <v>5</v>
      </c>
      <c r="E49" s="26">
        <v>261</v>
      </c>
      <c r="F49" s="26">
        <v>124</v>
      </c>
      <c r="G49" s="26">
        <v>1</v>
      </c>
      <c r="H49" s="26">
        <v>0</v>
      </c>
      <c r="I49" s="26">
        <v>1</v>
      </c>
      <c r="J49" s="26">
        <v>0</v>
      </c>
      <c r="K49" s="26">
        <v>3</v>
      </c>
      <c r="L49" s="26">
        <v>0</v>
      </c>
      <c r="M49" s="26">
        <v>1</v>
      </c>
      <c r="N49" s="26">
        <v>396</v>
      </c>
      <c r="O49" s="26">
        <v>0</v>
      </c>
      <c r="P49" s="26">
        <v>5</v>
      </c>
      <c r="Q49" s="27">
        <v>401</v>
      </c>
      <c r="R49" s="3">
        <v>0</v>
      </c>
      <c r="S49" s="3">
        <v>524</v>
      </c>
      <c r="T49" s="28">
        <f t="shared" si="0"/>
        <v>137</v>
      </c>
      <c r="U49" s="4"/>
    </row>
    <row r="50" spans="1:21">
      <c r="A50" s="26">
        <v>48</v>
      </c>
      <c r="B50" s="26">
        <v>48</v>
      </c>
      <c r="C50" s="4" t="s">
        <v>128</v>
      </c>
      <c r="D50" s="26">
        <v>3</v>
      </c>
      <c r="E50" s="26">
        <v>377</v>
      </c>
      <c r="F50" s="26">
        <v>298</v>
      </c>
      <c r="G50" s="26">
        <v>2</v>
      </c>
      <c r="H50" s="26">
        <v>0</v>
      </c>
      <c r="I50" s="26">
        <v>1</v>
      </c>
      <c r="J50" s="26">
        <v>1</v>
      </c>
      <c r="K50" s="26">
        <v>2</v>
      </c>
      <c r="L50" s="26">
        <v>1</v>
      </c>
      <c r="M50" s="26">
        <v>0</v>
      </c>
      <c r="N50" s="26">
        <v>685</v>
      </c>
      <c r="O50" s="26">
        <v>0</v>
      </c>
      <c r="P50" s="26">
        <v>3</v>
      </c>
      <c r="Q50" s="27">
        <v>688</v>
      </c>
      <c r="R50" s="3">
        <v>0</v>
      </c>
      <c r="S50" s="3">
        <v>863</v>
      </c>
      <c r="T50" s="28">
        <f t="shared" si="0"/>
        <v>79</v>
      </c>
      <c r="U50" s="4"/>
    </row>
    <row r="51" spans="1:21">
      <c r="A51" s="26">
        <v>49</v>
      </c>
      <c r="B51" s="26">
        <v>49</v>
      </c>
      <c r="C51" s="4" t="s">
        <v>130</v>
      </c>
      <c r="D51" s="26">
        <v>5</v>
      </c>
      <c r="E51" s="26">
        <v>242</v>
      </c>
      <c r="F51" s="26">
        <v>124</v>
      </c>
      <c r="G51" s="26">
        <v>4</v>
      </c>
      <c r="H51" s="26">
        <v>0</v>
      </c>
      <c r="I51" s="26">
        <v>1</v>
      </c>
      <c r="J51" s="26">
        <v>1</v>
      </c>
      <c r="K51" s="26">
        <v>1</v>
      </c>
      <c r="L51" s="26">
        <v>1</v>
      </c>
      <c r="M51" s="26">
        <v>2</v>
      </c>
      <c r="N51" s="26">
        <v>381</v>
      </c>
      <c r="O51" s="26">
        <v>0</v>
      </c>
      <c r="P51" s="26">
        <v>3</v>
      </c>
      <c r="Q51" s="27">
        <v>384</v>
      </c>
      <c r="R51" s="3">
        <v>0</v>
      </c>
      <c r="S51" s="3">
        <v>515</v>
      </c>
      <c r="T51" s="28">
        <f t="shared" si="0"/>
        <v>118</v>
      </c>
      <c r="U51" s="4"/>
    </row>
    <row r="52" spans="1:21">
      <c r="A52" s="26">
        <v>50</v>
      </c>
      <c r="B52" s="26">
        <v>50</v>
      </c>
      <c r="C52" s="4" t="s">
        <v>132</v>
      </c>
      <c r="D52" s="26">
        <v>1</v>
      </c>
      <c r="E52" s="26">
        <v>403</v>
      </c>
      <c r="F52" s="26">
        <v>205</v>
      </c>
      <c r="G52" s="26">
        <v>2</v>
      </c>
      <c r="H52" s="26">
        <v>0</v>
      </c>
      <c r="I52" s="26">
        <v>1</v>
      </c>
      <c r="J52" s="26">
        <v>0</v>
      </c>
      <c r="K52" s="26">
        <v>1</v>
      </c>
      <c r="L52" s="26">
        <v>3</v>
      </c>
      <c r="M52" s="26">
        <v>4</v>
      </c>
      <c r="N52" s="26">
        <v>620</v>
      </c>
      <c r="O52" s="26">
        <v>0</v>
      </c>
      <c r="P52" s="26">
        <v>2</v>
      </c>
      <c r="Q52" s="27">
        <v>622</v>
      </c>
      <c r="R52" s="3">
        <v>0</v>
      </c>
      <c r="S52" s="3">
        <v>723</v>
      </c>
      <c r="T52" s="28">
        <f t="shared" si="0"/>
        <v>198</v>
      </c>
      <c r="U52" s="4"/>
    </row>
    <row r="53" spans="1:21">
      <c r="A53" s="26">
        <v>51</v>
      </c>
      <c r="B53" s="26">
        <v>51</v>
      </c>
      <c r="C53" s="4" t="s">
        <v>134</v>
      </c>
      <c r="D53" s="26">
        <v>5</v>
      </c>
      <c r="E53" s="26">
        <v>466</v>
      </c>
      <c r="F53" s="26">
        <v>119</v>
      </c>
      <c r="G53" s="26">
        <v>6</v>
      </c>
      <c r="H53" s="26">
        <v>0</v>
      </c>
      <c r="I53" s="26">
        <v>1</v>
      </c>
      <c r="J53" s="26">
        <v>0</v>
      </c>
      <c r="K53" s="26">
        <v>1</v>
      </c>
      <c r="L53" s="26">
        <v>1</v>
      </c>
      <c r="M53" s="26">
        <v>4</v>
      </c>
      <c r="N53" s="26">
        <v>603</v>
      </c>
      <c r="O53" s="26">
        <v>0</v>
      </c>
      <c r="P53" s="26">
        <v>6</v>
      </c>
      <c r="Q53" s="27">
        <v>609</v>
      </c>
      <c r="R53" s="3">
        <v>0</v>
      </c>
      <c r="S53" s="3">
        <v>779</v>
      </c>
      <c r="T53" s="28">
        <f t="shared" si="0"/>
        <v>347</v>
      </c>
      <c r="U53" s="4"/>
    </row>
    <row r="54" spans="1:21">
      <c r="A54" s="26">
        <v>52</v>
      </c>
      <c r="B54" s="26">
        <v>52</v>
      </c>
      <c r="C54" s="4" t="s">
        <v>136</v>
      </c>
      <c r="D54" s="26">
        <v>2</v>
      </c>
      <c r="E54" s="26">
        <v>175</v>
      </c>
      <c r="F54" s="26">
        <v>162</v>
      </c>
      <c r="G54" s="26">
        <v>4</v>
      </c>
      <c r="H54" s="26">
        <v>1</v>
      </c>
      <c r="I54" s="26">
        <v>0</v>
      </c>
      <c r="J54" s="26">
        <v>0</v>
      </c>
      <c r="K54" s="26">
        <v>0</v>
      </c>
      <c r="L54" s="26">
        <v>0</v>
      </c>
      <c r="M54" s="26">
        <v>1</v>
      </c>
      <c r="N54" s="26">
        <v>345</v>
      </c>
      <c r="O54" s="26">
        <v>0</v>
      </c>
      <c r="P54" s="26">
        <v>1</v>
      </c>
      <c r="Q54" s="27">
        <v>346</v>
      </c>
      <c r="R54" s="3">
        <v>0</v>
      </c>
      <c r="S54" s="3">
        <v>455</v>
      </c>
      <c r="T54" s="28">
        <f t="shared" si="0"/>
        <v>13</v>
      </c>
      <c r="U54" s="4"/>
    </row>
    <row r="55" spans="1:21">
      <c r="A55" s="26">
        <v>53</v>
      </c>
      <c r="B55" s="26">
        <v>53</v>
      </c>
      <c r="C55" s="4" t="s">
        <v>138</v>
      </c>
      <c r="D55" s="26">
        <v>2</v>
      </c>
      <c r="E55" s="26">
        <v>429</v>
      </c>
      <c r="F55" s="26">
        <v>214</v>
      </c>
      <c r="G55" s="26">
        <v>3</v>
      </c>
      <c r="H55" s="26">
        <v>1</v>
      </c>
      <c r="I55" s="26">
        <v>2</v>
      </c>
      <c r="J55" s="26">
        <v>0</v>
      </c>
      <c r="K55" s="26">
        <v>2</v>
      </c>
      <c r="L55" s="26">
        <v>6</v>
      </c>
      <c r="M55" s="26">
        <v>3</v>
      </c>
      <c r="N55" s="26">
        <v>662</v>
      </c>
      <c r="O55" s="26">
        <v>0</v>
      </c>
      <c r="P55" s="26">
        <v>5</v>
      </c>
      <c r="Q55" s="27">
        <v>667</v>
      </c>
      <c r="R55" s="3">
        <v>0</v>
      </c>
      <c r="S55" s="3">
        <v>928</v>
      </c>
      <c r="T55" s="28">
        <f t="shared" si="0"/>
        <v>215</v>
      </c>
      <c r="U55" s="4"/>
    </row>
    <row r="56" spans="1:21">
      <c r="A56" s="26">
        <v>54</v>
      </c>
      <c r="B56" s="26">
        <v>54</v>
      </c>
      <c r="C56" s="4" t="s">
        <v>140</v>
      </c>
      <c r="D56" s="26">
        <v>4</v>
      </c>
      <c r="E56" s="26">
        <v>255</v>
      </c>
      <c r="F56" s="26">
        <v>193</v>
      </c>
      <c r="G56" s="26">
        <v>8</v>
      </c>
      <c r="H56" s="26">
        <v>0</v>
      </c>
      <c r="I56" s="26">
        <v>0</v>
      </c>
      <c r="J56" s="26">
        <v>0</v>
      </c>
      <c r="K56" s="26">
        <v>1</v>
      </c>
      <c r="L56" s="26">
        <v>4</v>
      </c>
      <c r="M56" s="26">
        <v>1</v>
      </c>
      <c r="N56" s="26">
        <v>466</v>
      </c>
      <c r="O56" s="26">
        <v>0</v>
      </c>
      <c r="P56" s="26">
        <v>7</v>
      </c>
      <c r="Q56" s="27">
        <v>473</v>
      </c>
      <c r="R56" s="3">
        <v>0</v>
      </c>
      <c r="S56" s="3">
        <v>591</v>
      </c>
      <c r="T56" s="28">
        <f t="shared" si="0"/>
        <v>62</v>
      </c>
      <c r="U56" s="4"/>
    </row>
    <row r="57" spans="1:21">
      <c r="A57" s="26">
        <v>55</v>
      </c>
      <c r="B57" s="26">
        <v>55</v>
      </c>
      <c r="C57" s="4" t="s">
        <v>142</v>
      </c>
      <c r="D57" s="26">
        <v>4</v>
      </c>
      <c r="E57" s="26">
        <v>233</v>
      </c>
      <c r="F57" s="26">
        <v>158</v>
      </c>
      <c r="G57" s="26">
        <v>0</v>
      </c>
      <c r="H57" s="26">
        <v>0</v>
      </c>
      <c r="I57" s="26">
        <v>0</v>
      </c>
      <c r="J57" s="26">
        <v>0</v>
      </c>
      <c r="K57" s="26">
        <v>2</v>
      </c>
      <c r="L57" s="26">
        <v>1</v>
      </c>
      <c r="M57" s="26">
        <v>1</v>
      </c>
      <c r="N57" s="26">
        <v>399</v>
      </c>
      <c r="O57" s="26">
        <v>0</v>
      </c>
      <c r="P57" s="26">
        <v>0</v>
      </c>
      <c r="Q57" s="27">
        <v>399</v>
      </c>
      <c r="R57" s="3">
        <v>0</v>
      </c>
      <c r="S57" s="3">
        <v>537</v>
      </c>
      <c r="T57" s="28">
        <f t="shared" si="0"/>
        <v>75</v>
      </c>
      <c r="U57" s="4"/>
    </row>
    <row r="58" spans="1:21">
      <c r="A58" s="29">
        <v>56</v>
      </c>
      <c r="B58" s="29">
        <v>56</v>
      </c>
      <c r="C58" s="4" t="s">
        <v>144</v>
      </c>
      <c r="D58" s="26">
        <v>4</v>
      </c>
      <c r="E58" s="26">
        <v>386</v>
      </c>
      <c r="F58" s="26">
        <v>246</v>
      </c>
      <c r="G58" s="26">
        <v>3</v>
      </c>
      <c r="H58" s="26">
        <v>0</v>
      </c>
      <c r="I58" s="26">
        <v>0</v>
      </c>
      <c r="J58" s="26">
        <v>0</v>
      </c>
      <c r="K58" s="26">
        <v>0</v>
      </c>
      <c r="L58" s="26">
        <v>5</v>
      </c>
      <c r="M58" s="26">
        <v>1</v>
      </c>
      <c r="N58" s="26">
        <v>645</v>
      </c>
      <c r="O58" s="26">
        <v>0</v>
      </c>
      <c r="P58" s="26">
        <v>3</v>
      </c>
      <c r="Q58" s="27">
        <v>648</v>
      </c>
      <c r="R58" s="3">
        <v>0</v>
      </c>
      <c r="S58" s="3">
        <v>938</v>
      </c>
      <c r="T58" s="28">
        <f t="shared" si="0"/>
        <v>140</v>
      </c>
      <c r="U58" s="4"/>
    </row>
    <row r="59" spans="1:21">
      <c r="A59" s="26">
        <v>57</v>
      </c>
      <c r="B59" s="26">
        <v>57</v>
      </c>
      <c r="C59" s="4" t="s">
        <v>146</v>
      </c>
      <c r="D59" s="26">
        <v>10</v>
      </c>
      <c r="E59" s="26">
        <v>686</v>
      </c>
      <c r="F59" s="26">
        <v>141</v>
      </c>
      <c r="G59" s="26">
        <v>4</v>
      </c>
      <c r="H59" s="26">
        <v>1</v>
      </c>
      <c r="I59" s="26">
        <v>0</v>
      </c>
      <c r="J59" s="26">
        <v>1</v>
      </c>
      <c r="K59" s="26">
        <v>2</v>
      </c>
      <c r="L59" s="26">
        <v>2</v>
      </c>
      <c r="M59" s="26">
        <v>4</v>
      </c>
      <c r="N59" s="26">
        <v>851</v>
      </c>
      <c r="O59" s="26">
        <v>0</v>
      </c>
      <c r="P59" s="26">
        <v>7</v>
      </c>
      <c r="Q59" s="27">
        <v>858</v>
      </c>
      <c r="R59" s="3">
        <v>0</v>
      </c>
      <c r="S59" s="3">
        <v>1132</v>
      </c>
      <c r="T59" s="28">
        <f t="shared" si="0"/>
        <v>545</v>
      </c>
      <c r="U59" s="4"/>
    </row>
    <row r="60" spans="1:21">
      <c r="A60" s="26">
        <v>58</v>
      </c>
      <c r="B60" s="26">
        <v>58</v>
      </c>
      <c r="C60" s="4" t="s">
        <v>148</v>
      </c>
      <c r="D60" s="26">
        <v>4</v>
      </c>
      <c r="E60" s="26">
        <v>461</v>
      </c>
      <c r="F60" s="26">
        <v>205</v>
      </c>
      <c r="G60" s="26">
        <v>5</v>
      </c>
      <c r="H60" s="26">
        <v>0</v>
      </c>
      <c r="I60" s="26">
        <v>0</v>
      </c>
      <c r="J60" s="26">
        <v>1</v>
      </c>
      <c r="K60" s="26">
        <v>0</v>
      </c>
      <c r="L60" s="26">
        <v>4</v>
      </c>
      <c r="M60" s="26">
        <v>1</v>
      </c>
      <c r="N60" s="26">
        <v>681</v>
      </c>
      <c r="O60" s="26">
        <v>0</v>
      </c>
      <c r="P60" s="26">
        <v>1</v>
      </c>
      <c r="Q60" s="27">
        <v>682</v>
      </c>
      <c r="R60" s="3">
        <v>0</v>
      </c>
      <c r="S60" s="3">
        <v>905</v>
      </c>
      <c r="T60" s="28">
        <f t="shared" si="0"/>
        <v>256</v>
      </c>
      <c r="U60" s="4"/>
    </row>
    <row r="61" spans="1:21">
      <c r="A61" s="26">
        <v>59</v>
      </c>
      <c r="B61" s="26">
        <v>59</v>
      </c>
      <c r="C61" s="4" t="s">
        <v>150</v>
      </c>
      <c r="D61" s="26">
        <v>15</v>
      </c>
      <c r="E61" s="26">
        <v>321</v>
      </c>
      <c r="F61" s="26">
        <v>194</v>
      </c>
      <c r="G61" s="26">
        <v>2</v>
      </c>
      <c r="H61" s="26">
        <v>0</v>
      </c>
      <c r="I61" s="26">
        <v>2</v>
      </c>
      <c r="J61" s="26">
        <v>0</v>
      </c>
      <c r="K61" s="26">
        <v>1</v>
      </c>
      <c r="L61" s="26">
        <v>1</v>
      </c>
      <c r="M61" s="26">
        <v>2</v>
      </c>
      <c r="N61" s="26">
        <v>538</v>
      </c>
      <c r="O61" s="26">
        <v>0</v>
      </c>
      <c r="P61" s="26">
        <v>1</v>
      </c>
      <c r="Q61" s="27">
        <v>539</v>
      </c>
      <c r="R61" s="3">
        <v>0</v>
      </c>
      <c r="S61" s="3">
        <v>640</v>
      </c>
      <c r="T61" s="28">
        <f t="shared" si="0"/>
        <v>127</v>
      </c>
      <c r="U61" s="4"/>
    </row>
    <row r="62" spans="1:21">
      <c r="A62" s="26">
        <v>60</v>
      </c>
      <c r="B62" s="26">
        <v>60</v>
      </c>
      <c r="C62" s="4" t="s">
        <v>152</v>
      </c>
      <c r="D62" s="26">
        <v>5</v>
      </c>
      <c r="E62" s="26">
        <v>283</v>
      </c>
      <c r="F62" s="26">
        <v>194</v>
      </c>
      <c r="G62" s="26">
        <v>2</v>
      </c>
      <c r="H62" s="26">
        <v>0</v>
      </c>
      <c r="I62" s="26">
        <v>1</v>
      </c>
      <c r="J62" s="26">
        <v>0</v>
      </c>
      <c r="K62" s="26">
        <v>1</v>
      </c>
      <c r="L62" s="26">
        <v>1</v>
      </c>
      <c r="M62" s="26">
        <v>0</v>
      </c>
      <c r="N62" s="26">
        <v>487</v>
      </c>
      <c r="O62" s="26">
        <v>0</v>
      </c>
      <c r="P62" s="26">
        <v>1</v>
      </c>
      <c r="Q62" s="27">
        <v>488</v>
      </c>
      <c r="R62" s="3">
        <v>0</v>
      </c>
      <c r="S62" s="3">
        <v>600</v>
      </c>
      <c r="T62" s="28">
        <f t="shared" si="0"/>
        <v>89</v>
      </c>
      <c r="U62" s="4"/>
    </row>
    <row r="63" spans="1:21">
      <c r="A63" s="26">
        <v>61</v>
      </c>
      <c r="B63" s="26">
        <v>61</v>
      </c>
      <c r="C63" s="4" t="s">
        <v>154</v>
      </c>
      <c r="D63" s="26">
        <v>5</v>
      </c>
      <c r="E63" s="26">
        <v>381</v>
      </c>
      <c r="F63" s="26">
        <v>209</v>
      </c>
      <c r="G63" s="26">
        <v>8</v>
      </c>
      <c r="H63" s="26">
        <v>2</v>
      </c>
      <c r="I63" s="26">
        <v>0</v>
      </c>
      <c r="J63" s="26">
        <v>1</v>
      </c>
      <c r="K63" s="26">
        <v>5</v>
      </c>
      <c r="L63" s="26">
        <v>3</v>
      </c>
      <c r="M63" s="26">
        <v>0</v>
      </c>
      <c r="N63" s="26">
        <v>614</v>
      </c>
      <c r="O63" s="26">
        <v>0</v>
      </c>
      <c r="P63" s="26">
        <v>5</v>
      </c>
      <c r="Q63" s="27">
        <v>619</v>
      </c>
      <c r="R63" s="3">
        <v>0</v>
      </c>
      <c r="S63" s="3">
        <v>754</v>
      </c>
      <c r="T63" s="28">
        <f t="shared" si="0"/>
        <v>172</v>
      </c>
      <c r="U63" s="4"/>
    </row>
    <row r="64" spans="1:21">
      <c r="A64" s="26">
        <v>62</v>
      </c>
      <c r="B64" s="26">
        <v>62</v>
      </c>
      <c r="C64" s="4" t="s">
        <v>156</v>
      </c>
      <c r="D64" s="26">
        <v>2</v>
      </c>
      <c r="E64" s="26">
        <v>367</v>
      </c>
      <c r="F64" s="26">
        <v>213</v>
      </c>
      <c r="G64" s="26">
        <v>5</v>
      </c>
      <c r="H64" s="26">
        <v>2</v>
      </c>
      <c r="I64" s="26">
        <v>0</v>
      </c>
      <c r="J64" s="26">
        <v>1</v>
      </c>
      <c r="K64" s="26">
        <v>2</v>
      </c>
      <c r="L64" s="26">
        <v>2</v>
      </c>
      <c r="M64" s="26">
        <v>1</v>
      </c>
      <c r="N64" s="26">
        <v>595</v>
      </c>
      <c r="O64" s="26">
        <v>0</v>
      </c>
      <c r="P64" s="26">
        <v>0</v>
      </c>
      <c r="Q64" s="27">
        <v>595</v>
      </c>
      <c r="R64" s="3">
        <v>0</v>
      </c>
      <c r="S64" s="3">
        <v>757</v>
      </c>
      <c r="T64" s="28">
        <f t="shared" si="0"/>
        <v>154</v>
      </c>
      <c r="U64" s="4"/>
    </row>
    <row r="65" spans="1:21">
      <c r="A65" s="26">
        <v>63</v>
      </c>
      <c r="B65" s="26">
        <v>63</v>
      </c>
      <c r="C65" s="4" t="s">
        <v>158</v>
      </c>
      <c r="D65" s="26">
        <v>6</v>
      </c>
      <c r="E65" s="26">
        <v>309</v>
      </c>
      <c r="F65" s="26">
        <v>129</v>
      </c>
      <c r="G65" s="26">
        <v>1</v>
      </c>
      <c r="H65" s="26">
        <v>0</v>
      </c>
      <c r="I65" s="26">
        <v>0</v>
      </c>
      <c r="J65" s="26">
        <v>0</v>
      </c>
      <c r="K65" s="26">
        <v>0</v>
      </c>
      <c r="L65" s="26">
        <v>2</v>
      </c>
      <c r="M65" s="26">
        <v>3</v>
      </c>
      <c r="N65" s="26">
        <v>450</v>
      </c>
      <c r="O65" s="26">
        <v>0</v>
      </c>
      <c r="P65" s="26">
        <v>4</v>
      </c>
      <c r="Q65" s="27">
        <v>454</v>
      </c>
      <c r="R65" s="3">
        <v>0</v>
      </c>
      <c r="S65" s="3">
        <v>627</v>
      </c>
      <c r="T65" s="28">
        <f t="shared" si="0"/>
        <v>180</v>
      </c>
      <c r="U65" s="4"/>
    </row>
    <row r="66" spans="1:21">
      <c r="A66" s="26">
        <v>64</v>
      </c>
      <c r="B66" s="26">
        <v>64</v>
      </c>
      <c r="C66" s="4" t="s">
        <v>160</v>
      </c>
      <c r="D66" s="26">
        <v>2</v>
      </c>
      <c r="E66" s="26">
        <v>321</v>
      </c>
      <c r="F66" s="26">
        <v>206</v>
      </c>
      <c r="G66" s="26">
        <v>3</v>
      </c>
      <c r="H66" s="26">
        <v>1</v>
      </c>
      <c r="I66" s="26">
        <v>1</v>
      </c>
      <c r="J66" s="26">
        <v>0</v>
      </c>
      <c r="K66" s="26">
        <v>1</v>
      </c>
      <c r="L66" s="26">
        <v>1</v>
      </c>
      <c r="M66" s="26">
        <v>1</v>
      </c>
      <c r="N66" s="26">
        <v>537</v>
      </c>
      <c r="O66" s="26">
        <v>0</v>
      </c>
      <c r="P66" s="26">
        <v>3</v>
      </c>
      <c r="Q66" s="27">
        <v>540</v>
      </c>
      <c r="R66" s="3">
        <v>0</v>
      </c>
      <c r="S66" s="3">
        <v>670</v>
      </c>
      <c r="T66" s="28">
        <f t="shared" si="0"/>
        <v>115</v>
      </c>
      <c r="U66" s="4"/>
    </row>
    <row r="67" spans="1:21">
      <c r="A67" s="26">
        <v>65</v>
      </c>
      <c r="B67" s="26">
        <v>65</v>
      </c>
      <c r="C67" s="4" t="s">
        <v>162</v>
      </c>
      <c r="D67" s="26">
        <v>8</v>
      </c>
      <c r="E67" s="26">
        <v>119</v>
      </c>
      <c r="F67" s="26">
        <v>252</v>
      </c>
      <c r="G67" s="26">
        <v>1</v>
      </c>
      <c r="H67" s="26">
        <v>0</v>
      </c>
      <c r="I67" s="26">
        <v>0</v>
      </c>
      <c r="J67" s="26">
        <v>0</v>
      </c>
      <c r="K67" s="26">
        <v>1</v>
      </c>
      <c r="L67" s="26">
        <v>0</v>
      </c>
      <c r="M67" s="26">
        <v>0</v>
      </c>
      <c r="N67" s="26">
        <v>381</v>
      </c>
      <c r="O67" s="26">
        <v>0</v>
      </c>
      <c r="P67" s="26">
        <v>1</v>
      </c>
      <c r="Q67" s="27">
        <v>382</v>
      </c>
      <c r="R67" s="3">
        <v>0</v>
      </c>
      <c r="S67" s="3">
        <v>486</v>
      </c>
      <c r="T67" s="28">
        <f t="shared" si="0"/>
        <v>133</v>
      </c>
      <c r="U67" s="4"/>
    </row>
    <row r="68" spans="1:21">
      <c r="A68" s="26">
        <v>66</v>
      </c>
      <c r="B68" s="26">
        <v>66</v>
      </c>
      <c r="C68" s="4" t="s">
        <v>164</v>
      </c>
      <c r="D68" s="26">
        <v>11</v>
      </c>
      <c r="E68" s="26">
        <v>621</v>
      </c>
      <c r="F68" s="26">
        <v>383</v>
      </c>
      <c r="G68" s="26">
        <v>4</v>
      </c>
      <c r="H68" s="26">
        <v>0</v>
      </c>
      <c r="I68" s="26">
        <v>2</v>
      </c>
      <c r="J68" s="26">
        <v>2</v>
      </c>
      <c r="K68" s="26">
        <v>2</v>
      </c>
      <c r="L68" s="26">
        <v>2</v>
      </c>
      <c r="M68" s="26">
        <v>1</v>
      </c>
      <c r="N68" s="26">
        <v>1028</v>
      </c>
      <c r="O68" s="26">
        <v>0</v>
      </c>
      <c r="P68" s="26">
        <v>9</v>
      </c>
      <c r="Q68" s="27">
        <v>1037</v>
      </c>
      <c r="R68" s="3">
        <v>0</v>
      </c>
      <c r="S68" s="3">
        <v>1406</v>
      </c>
      <c r="T68" s="28">
        <f t="shared" ref="T68:T131" si="1">MAX(E68,F68)-MIN(E68,F68)</f>
        <v>238</v>
      </c>
      <c r="U68" s="4"/>
    </row>
    <row r="69" spans="1:21">
      <c r="A69" s="26">
        <v>67</v>
      </c>
      <c r="B69" s="26">
        <v>67</v>
      </c>
      <c r="C69" s="4" t="s">
        <v>166</v>
      </c>
      <c r="D69" s="26">
        <v>2</v>
      </c>
      <c r="E69" s="26">
        <v>617</v>
      </c>
      <c r="F69" s="26">
        <v>263</v>
      </c>
      <c r="G69" s="26">
        <v>4</v>
      </c>
      <c r="H69" s="26">
        <v>2</v>
      </c>
      <c r="I69" s="26">
        <v>1</v>
      </c>
      <c r="J69" s="26">
        <v>3</v>
      </c>
      <c r="K69" s="26">
        <v>4</v>
      </c>
      <c r="L69" s="26">
        <v>1</v>
      </c>
      <c r="M69" s="26">
        <v>3</v>
      </c>
      <c r="N69" s="26">
        <v>900</v>
      </c>
      <c r="O69" s="26">
        <v>0</v>
      </c>
      <c r="P69" s="26">
        <v>4</v>
      </c>
      <c r="Q69" s="27">
        <v>904</v>
      </c>
      <c r="R69" s="3">
        <v>0</v>
      </c>
      <c r="S69" s="3">
        <v>1127</v>
      </c>
      <c r="T69" s="28">
        <f t="shared" si="1"/>
        <v>354</v>
      </c>
      <c r="U69" s="4"/>
    </row>
    <row r="70" spans="1:21">
      <c r="A70" s="26">
        <v>68</v>
      </c>
      <c r="B70" s="26">
        <v>68</v>
      </c>
      <c r="C70" s="4" t="s">
        <v>168</v>
      </c>
      <c r="D70" s="26">
        <v>0</v>
      </c>
      <c r="E70" s="26">
        <v>190</v>
      </c>
      <c r="F70" s="26">
        <v>173</v>
      </c>
      <c r="G70" s="26">
        <v>0</v>
      </c>
      <c r="H70" s="26">
        <v>0</v>
      </c>
      <c r="I70" s="26">
        <v>1</v>
      </c>
      <c r="J70" s="26">
        <v>0</v>
      </c>
      <c r="K70" s="26">
        <v>0</v>
      </c>
      <c r="L70" s="26">
        <v>2</v>
      </c>
      <c r="M70" s="26">
        <v>0</v>
      </c>
      <c r="N70" s="26">
        <v>366</v>
      </c>
      <c r="O70" s="26">
        <v>0</v>
      </c>
      <c r="P70" s="26">
        <v>0</v>
      </c>
      <c r="Q70" s="27">
        <v>366</v>
      </c>
      <c r="R70" s="3">
        <v>0</v>
      </c>
      <c r="S70" s="3">
        <v>395</v>
      </c>
      <c r="T70" s="28">
        <f t="shared" si="1"/>
        <v>17</v>
      </c>
      <c r="U70" s="4"/>
    </row>
    <row r="71" spans="1:21">
      <c r="A71" s="26">
        <v>69</v>
      </c>
      <c r="B71" s="26">
        <v>69</v>
      </c>
      <c r="C71" s="4" t="s">
        <v>170</v>
      </c>
      <c r="D71" s="26">
        <v>2</v>
      </c>
      <c r="E71" s="26">
        <v>145</v>
      </c>
      <c r="F71" s="26">
        <v>173</v>
      </c>
      <c r="G71" s="26">
        <v>2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1</v>
      </c>
      <c r="N71" s="26">
        <v>323</v>
      </c>
      <c r="O71" s="26">
        <v>0</v>
      </c>
      <c r="P71" s="26">
        <v>2</v>
      </c>
      <c r="Q71" s="27">
        <v>325</v>
      </c>
      <c r="R71" s="3">
        <v>0</v>
      </c>
      <c r="S71" s="3">
        <v>419</v>
      </c>
      <c r="T71" s="28">
        <f t="shared" si="1"/>
        <v>28</v>
      </c>
      <c r="U71" s="4"/>
    </row>
    <row r="72" spans="1:21">
      <c r="A72" s="26">
        <v>70</v>
      </c>
      <c r="B72" s="26">
        <v>70</v>
      </c>
      <c r="C72" s="4" t="s">
        <v>172</v>
      </c>
      <c r="D72" s="26">
        <v>2</v>
      </c>
      <c r="E72" s="26">
        <v>267</v>
      </c>
      <c r="F72" s="26">
        <v>177</v>
      </c>
      <c r="G72" s="26">
        <v>2</v>
      </c>
      <c r="H72" s="26">
        <v>0</v>
      </c>
      <c r="I72" s="26">
        <v>0</v>
      </c>
      <c r="J72" s="26">
        <v>0</v>
      </c>
      <c r="K72" s="26">
        <v>1</v>
      </c>
      <c r="L72" s="26">
        <v>3</v>
      </c>
      <c r="M72" s="26">
        <v>1</v>
      </c>
      <c r="N72" s="26">
        <v>453</v>
      </c>
      <c r="O72" s="26">
        <v>0</v>
      </c>
      <c r="P72" s="26">
        <v>2</v>
      </c>
      <c r="Q72" s="27">
        <v>455</v>
      </c>
      <c r="R72" s="3">
        <v>0</v>
      </c>
      <c r="S72" s="3">
        <v>545</v>
      </c>
      <c r="T72" s="28">
        <f t="shared" si="1"/>
        <v>90</v>
      </c>
      <c r="U72" s="4"/>
    </row>
    <row r="73" spans="1:21">
      <c r="A73" s="26">
        <v>71</v>
      </c>
      <c r="B73" s="26">
        <v>71</v>
      </c>
      <c r="C73" s="4" t="s">
        <v>174</v>
      </c>
      <c r="D73" s="26">
        <v>7</v>
      </c>
      <c r="E73" s="26">
        <v>433</v>
      </c>
      <c r="F73" s="26">
        <v>284</v>
      </c>
      <c r="G73" s="26">
        <v>2</v>
      </c>
      <c r="H73" s="26">
        <v>1</v>
      </c>
      <c r="I73" s="26">
        <v>0</v>
      </c>
      <c r="J73" s="26">
        <v>0</v>
      </c>
      <c r="K73" s="26">
        <v>1</v>
      </c>
      <c r="L73" s="26">
        <v>5</v>
      </c>
      <c r="M73" s="26">
        <v>4</v>
      </c>
      <c r="N73" s="26">
        <v>737</v>
      </c>
      <c r="O73" s="26">
        <v>0</v>
      </c>
      <c r="P73" s="26">
        <v>1</v>
      </c>
      <c r="Q73" s="27">
        <v>738</v>
      </c>
      <c r="R73" s="3">
        <v>0</v>
      </c>
      <c r="S73" s="3">
        <v>956</v>
      </c>
      <c r="T73" s="28">
        <f t="shared" si="1"/>
        <v>149</v>
      </c>
      <c r="U73" s="4"/>
    </row>
    <row r="74" spans="1:21">
      <c r="A74" s="26">
        <v>72</v>
      </c>
      <c r="B74" s="26">
        <v>72</v>
      </c>
      <c r="C74" s="4" t="s">
        <v>176</v>
      </c>
      <c r="D74" s="26">
        <v>13</v>
      </c>
      <c r="E74" s="26">
        <v>379</v>
      </c>
      <c r="F74" s="26">
        <v>374</v>
      </c>
      <c r="G74" s="26">
        <v>6</v>
      </c>
      <c r="H74" s="26">
        <v>0</v>
      </c>
      <c r="I74" s="26">
        <v>0</v>
      </c>
      <c r="J74" s="26">
        <v>0</v>
      </c>
      <c r="K74" s="26">
        <v>5</v>
      </c>
      <c r="L74" s="26">
        <v>4</v>
      </c>
      <c r="M74" s="26">
        <v>1</v>
      </c>
      <c r="N74" s="26">
        <v>782</v>
      </c>
      <c r="O74" s="26">
        <v>0</v>
      </c>
      <c r="P74" s="26">
        <v>4</v>
      </c>
      <c r="Q74" s="27">
        <v>786</v>
      </c>
      <c r="R74" s="3">
        <v>0</v>
      </c>
      <c r="S74" s="3">
        <v>939</v>
      </c>
      <c r="T74" s="28">
        <f t="shared" si="1"/>
        <v>5</v>
      </c>
      <c r="U74" s="4"/>
    </row>
    <row r="75" spans="1:21">
      <c r="A75" s="26">
        <v>73</v>
      </c>
      <c r="B75" s="26">
        <v>73</v>
      </c>
      <c r="C75" s="4" t="s">
        <v>178</v>
      </c>
      <c r="D75" s="26">
        <v>12</v>
      </c>
      <c r="E75" s="26">
        <v>213</v>
      </c>
      <c r="F75" s="26">
        <v>264</v>
      </c>
      <c r="G75" s="26">
        <v>2</v>
      </c>
      <c r="H75" s="26">
        <v>1</v>
      </c>
      <c r="I75" s="26">
        <v>0</v>
      </c>
      <c r="J75" s="26">
        <v>1</v>
      </c>
      <c r="K75" s="26">
        <v>1</v>
      </c>
      <c r="L75" s="26">
        <v>0</v>
      </c>
      <c r="M75" s="26">
        <v>2</v>
      </c>
      <c r="N75" s="26">
        <v>496</v>
      </c>
      <c r="O75" s="26">
        <v>0</v>
      </c>
      <c r="P75" s="26">
        <v>5</v>
      </c>
      <c r="Q75" s="27">
        <v>501</v>
      </c>
      <c r="R75" s="3">
        <v>0</v>
      </c>
      <c r="S75" s="3">
        <v>707</v>
      </c>
      <c r="T75" s="28">
        <f t="shared" si="1"/>
        <v>51</v>
      </c>
      <c r="U75" s="4"/>
    </row>
    <row r="76" spans="1:21">
      <c r="A76" s="26">
        <v>74</v>
      </c>
      <c r="B76" s="26">
        <v>74</v>
      </c>
      <c r="C76" s="4" t="s">
        <v>180</v>
      </c>
      <c r="D76" s="26">
        <v>21</v>
      </c>
      <c r="E76" s="26">
        <v>434</v>
      </c>
      <c r="F76" s="26">
        <v>407</v>
      </c>
      <c r="G76" s="26">
        <v>5</v>
      </c>
      <c r="H76" s="26">
        <v>0</v>
      </c>
      <c r="I76" s="26">
        <v>0</v>
      </c>
      <c r="J76" s="26">
        <v>1</v>
      </c>
      <c r="K76" s="26">
        <v>0</v>
      </c>
      <c r="L76" s="26">
        <v>1</v>
      </c>
      <c r="M76" s="26">
        <v>1</v>
      </c>
      <c r="N76" s="26">
        <v>870</v>
      </c>
      <c r="O76" s="26">
        <v>0</v>
      </c>
      <c r="P76" s="26">
        <v>7</v>
      </c>
      <c r="Q76" s="27">
        <v>877</v>
      </c>
      <c r="R76" s="3">
        <v>0</v>
      </c>
      <c r="S76" s="3">
        <v>1079</v>
      </c>
      <c r="T76" s="28">
        <f t="shared" si="1"/>
        <v>27</v>
      </c>
      <c r="U76" s="4"/>
    </row>
    <row r="77" spans="1:21">
      <c r="A77" s="26">
        <v>75</v>
      </c>
      <c r="B77" s="26">
        <v>75</v>
      </c>
      <c r="C77" s="4" t="s">
        <v>182</v>
      </c>
      <c r="D77" s="26">
        <v>1</v>
      </c>
      <c r="E77" s="26">
        <v>401</v>
      </c>
      <c r="F77" s="26">
        <v>155</v>
      </c>
      <c r="G77" s="26">
        <v>0</v>
      </c>
      <c r="H77" s="26">
        <v>0</v>
      </c>
      <c r="I77" s="26">
        <v>0</v>
      </c>
      <c r="J77" s="26">
        <v>0</v>
      </c>
      <c r="K77" s="26">
        <v>1</v>
      </c>
      <c r="L77" s="26">
        <v>1</v>
      </c>
      <c r="M77" s="26">
        <v>4</v>
      </c>
      <c r="N77" s="26">
        <v>563</v>
      </c>
      <c r="O77" s="26">
        <v>0</v>
      </c>
      <c r="P77" s="26">
        <v>3</v>
      </c>
      <c r="Q77" s="27">
        <v>566</v>
      </c>
      <c r="R77" s="3">
        <v>0</v>
      </c>
      <c r="S77" s="3">
        <v>694</v>
      </c>
      <c r="T77" s="28">
        <f t="shared" si="1"/>
        <v>246</v>
      </c>
      <c r="U77" s="4"/>
    </row>
    <row r="78" spans="1:21">
      <c r="A78" s="26">
        <v>76</v>
      </c>
      <c r="B78" s="26">
        <v>76</v>
      </c>
      <c r="C78" s="4" t="s">
        <v>184</v>
      </c>
      <c r="D78" s="26">
        <v>10</v>
      </c>
      <c r="E78" s="26">
        <v>205</v>
      </c>
      <c r="F78" s="26">
        <v>387</v>
      </c>
      <c r="G78" s="26">
        <v>3</v>
      </c>
      <c r="H78" s="26">
        <v>0</v>
      </c>
      <c r="I78" s="26">
        <v>0</v>
      </c>
      <c r="J78" s="26">
        <v>1</v>
      </c>
      <c r="K78" s="26">
        <v>0</v>
      </c>
      <c r="L78" s="26">
        <v>3</v>
      </c>
      <c r="M78" s="26">
        <v>0</v>
      </c>
      <c r="N78" s="26">
        <v>609</v>
      </c>
      <c r="O78" s="26">
        <v>0</v>
      </c>
      <c r="P78" s="26">
        <v>7</v>
      </c>
      <c r="Q78" s="27">
        <v>616</v>
      </c>
      <c r="R78" s="3">
        <v>0</v>
      </c>
      <c r="S78" s="3">
        <v>796</v>
      </c>
      <c r="T78" s="28">
        <f t="shared" si="1"/>
        <v>182</v>
      </c>
      <c r="U78" s="4"/>
    </row>
    <row r="79" spans="1:21">
      <c r="A79" s="26">
        <v>77</v>
      </c>
      <c r="B79" s="26">
        <v>77</v>
      </c>
      <c r="C79" s="4" t="s">
        <v>186</v>
      </c>
      <c r="D79" s="26">
        <v>6</v>
      </c>
      <c r="E79" s="26">
        <v>451</v>
      </c>
      <c r="F79" s="26">
        <v>292</v>
      </c>
      <c r="G79" s="26">
        <v>5</v>
      </c>
      <c r="H79" s="26">
        <v>2</v>
      </c>
      <c r="I79" s="26">
        <v>0</v>
      </c>
      <c r="J79" s="26">
        <v>1</v>
      </c>
      <c r="K79" s="26">
        <v>1</v>
      </c>
      <c r="L79" s="26">
        <v>2</v>
      </c>
      <c r="M79" s="26">
        <v>5</v>
      </c>
      <c r="N79" s="26">
        <v>765</v>
      </c>
      <c r="O79" s="26">
        <v>0</v>
      </c>
      <c r="P79" s="26">
        <v>3</v>
      </c>
      <c r="Q79" s="27">
        <v>768</v>
      </c>
      <c r="R79" s="3">
        <v>0</v>
      </c>
      <c r="S79" s="3">
        <v>1016</v>
      </c>
      <c r="T79" s="28">
        <f t="shared" si="1"/>
        <v>159</v>
      </c>
      <c r="U79" s="4"/>
    </row>
    <row r="80" spans="1:21">
      <c r="A80" s="26">
        <v>78</v>
      </c>
      <c r="B80" s="26">
        <v>78</v>
      </c>
      <c r="C80" s="4" t="s">
        <v>188</v>
      </c>
      <c r="D80" s="26">
        <v>2</v>
      </c>
      <c r="E80" s="26">
        <v>226</v>
      </c>
      <c r="F80" s="26">
        <v>161</v>
      </c>
      <c r="G80" s="26">
        <v>1</v>
      </c>
      <c r="H80" s="26">
        <v>0</v>
      </c>
      <c r="I80" s="26">
        <v>0</v>
      </c>
      <c r="J80" s="26">
        <v>0</v>
      </c>
      <c r="K80" s="26">
        <v>1</v>
      </c>
      <c r="L80" s="26">
        <v>0</v>
      </c>
      <c r="M80" s="26">
        <v>1</v>
      </c>
      <c r="N80" s="26">
        <v>392</v>
      </c>
      <c r="O80" s="26">
        <v>0</v>
      </c>
      <c r="P80" s="26">
        <v>3</v>
      </c>
      <c r="Q80" s="27">
        <v>395</v>
      </c>
      <c r="R80" s="3">
        <v>0</v>
      </c>
      <c r="S80" s="3">
        <v>559</v>
      </c>
      <c r="T80" s="28">
        <f t="shared" si="1"/>
        <v>65</v>
      </c>
      <c r="U80" s="4"/>
    </row>
    <row r="81" spans="1:21">
      <c r="A81" s="26">
        <v>79</v>
      </c>
      <c r="B81" s="26">
        <v>79</v>
      </c>
      <c r="C81" s="4" t="s">
        <v>190</v>
      </c>
      <c r="D81" s="26">
        <v>11</v>
      </c>
      <c r="E81" s="26">
        <v>323</v>
      </c>
      <c r="F81" s="26">
        <v>429</v>
      </c>
      <c r="G81" s="26">
        <v>6</v>
      </c>
      <c r="H81" s="26">
        <v>2</v>
      </c>
      <c r="I81" s="26">
        <v>0</v>
      </c>
      <c r="J81" s="26">
        <v>0</v>
      </c>
      <c r="K81" s="26">
        <v>4</v>
      </c>
      <c r="L81" s="26">
        <v>4</v>
      </c>
      <c r="M81" s="26">
        <v>0</v>
      </c>
      <c r="N81" s="26">
        <v>779</v>
      </c>
      <c r="O81" s="26">
        <v>0</v>
      </c>
      <c r="P81" s="26">
        <v>4</v>
      </c>
      <c r="Q81" s="27">
        <v>783</v>
      </c>
      <c r="R81" s="3">
        <v>0</v>
      </c>
      <c r="S81" s="3">
        <v>949</v>
      </c>
      <c r="T81" s="28">
        <f t="shared" si="1"/>
        <v>106</v>
      </c>
      <c r="U81" s="4"/>
    </row>
    <row r="82" spans="1:21">
      <c r="A82" s="26">
        <v>80</v>
      </c>
      <c r="B82" s="26">
        <v>80</v>
      </c>
      <c r="C82" s="4" t="s">
        <v>192</v>
      </c>
      <c r="D82" s="26">
        <v>4</v>
      </c>
      <c r="E82" s="26">
        <v>378</v>
      </c>
      <c r="F82" s="26">
        <v>239</v>
      </c>
      <c r="G82" s="26">
        <v>6</v>
      </c>
      <c r="H82" s="26">
        <v>1</v>
      </c>
      <c r="I82" s="26">
        <v>1</v>
      </c>
      <c r="J82" s="26">
        <v>2</v>
      </c>
      <c r="K82" s="26">
        <v>1</v>
      </c>
      <c r="L82" s="26">
        <v>0</v>
      </c>
      <c r="M82" s="26">
        <v>1</v>
      </c>
      <c r="N82" s="26">
        <v>633</v>
      </c>
      <c r="O82" s="26">
        <v>0</v>
      </c>
      <c r="P82" s="26">
        <v>2</v>
      </c>
      <c r="Q82" s="27">
        <v>635</v>
      </c>
      <c r="R82" s="3">
        <v>0</v>
      </c>
      <c r="S82" s="3">
        <v>749</v>
      </c>
      <c r="T82" s="28">
        <f t="shared" si="1"/>
        <v>139</v>
      </c>
      <c r="U82" s="4"/>
    </row>
    <row r="83" spans="1:21">
      <c r="A83" s="26">
        <v>81</v>
      </c>
      <c r="B83" s="26">
        <v>81</v>
      </c>
      <c r="C83" s="4" t="s">
        <v>194</v>
      </c>
      <c r="D83" s="26">
        <v>8</v>
      </c>
      <c r="E83" s="26">
        <v>640</v>
      </c>
      <c r="F83" s="26">
        <v>243</v>
      </c>
      <c r="G83" s="26">
        <v>1</v>
      </c>
      <c r="H83" s="26">
        <v>0</v>
      </c>
      <c r="I83" s="26">
        <v>2</v>
      </c>
      <c r="J83" s="26">
        <v>0</v>
      </c>
      <c r="K83" s="26">
        <v>3</v>
      </c>
      <c r="L83" s="26">
        <v>2</v>
      </c>
      <c r="M83" s="26">
        <v>3</v>
      </c>
      <c r="N83" s="26">
        <v>902</v>
      </c>
      <c r="O83" s="26">
        <v>0</v>
      </c>
      <c r="P83" s="26">
        <v>7</v>
      </c>
      <c r="Q83" s="27">
        <v>909</v>
      </c>
      <c r="R83" s="3">
        <v>0</v>
      </c>
      <c r="S83" s="3">
        <v>1084</v>
      </c>
      <c r="T83" s="28">
        <f t="shared" si="1"/>
        <v>397</v>
      </c>
      <c r="U83" s="4"/>
    </row>
    <row r="84" spans="1:21">
      <c r="A84" s="26">
        <v>82</v>
      </c>
      <c r="B84" s="26">
        <v>82</v>
      </c>
      <c r="C84" s="4" t="s">
        <v>196</v>
      </c>
      <c r="D84" s="26">
        <v>13</v>
      </c>
      <c r="E84" s="26">
        <v>490</v>
      </c>
      <c r="F84" s="26">
        <v>306</v>
      </c>
      <c r="G84" s="26">
        <v>2</v>
      </c>
      <c r="H84" s="26">
        <v>1</v>
      </c>
      <c r="I84" s="26">
        <v>0</v>
      </c>
      <c r="J84" s="26">
        <v>0</v>
      </c>
      <c r="K84" s="26">
        <v>2</v>
      </c>
      <c r="L84" s="26">
        <v>1</v>
      </c>
      <c r="M84" s="26">
        <v>2</v>
      </c>
      <c r="N84" s="26">
        <v>817</v>
      </c>
      <c r="O84" s="26">
        <v>0</v>
      </c>
      <c r="P84" s="26">
        <v>8</v>
      </c>
      <c r="Q84" s="27">
        <v>825</v>
      </c>
      <c r="R84" s="3">
        <v>0</v>
      </c>
      <c r="S84" s="3">
        <v>1018</v>
      </c>
      <c r="T84" s="28">
        <f t="shared" si="1"/>
        <v>184</v>
      </c>
      <c r="U84" s="4"/>
    </row>
    <row r="85" spans="1:21">
      <c r="A85" s="26">
        <v>83</v>
      </c>
      <c r="B85" s="26">
        <v>83</v>
      </c>
      <c r="C85" s="4" t="s">
        <v>198</v>
      </c>
      <c r="D85" s="26">
        <v>4</v>
      </c>
      <c r="E85" s="26">
        <v>246</v>
      </c>
      <c r="F85" s="26">
        <v>146</v>
      </c>
      <c r="G85" s="26">
        <v>1</v>
      </c>
      <c r="H85" s="26">
        <v>0</v>
      </c>
      <c r="I85" s="26">
        <v>1</v>
      </c>
      <c r="J85" s="26">
        <v>0</v>
      </c>
      <c r="K85" s="26">
        <v>2</v>
      </c>
      <c r="L85" s="26">
        <v>5</v>
      </c>
      <c r="M85" s="26">
        <v>4</v>
      </c>
      <c r="N85" s="26">
        <v>409</v>
      </c>
      <c r="O85" s="26">
        <v>0</v>
      </c>
      <c r="P85" s="26">
        <v>3</v>
      </c>
      <c r="Q85" s="27">
        <v>412</v>
      </c>
      <c r="R85" s="3">
        <v>0</v>
      </c>
      <c r="S85" s="3">
        <v>496</v>
      </c>
      <c r="T85" s="28">
        <f t="shared" si="1"/>
        <v>100</v>
      </c>
      <c r="U85" s="4"/>
    </row>
    <row r="86" spans="1:21">
      <c r="A86" s="29">
        <v>84</v>
      </c>
      <c r="B86" s="29">
        <v>84</v>
      </c>
      <c r="C86" s="4" t="s">
        <v>200</v>
      </c>
      <c r="D86" s="26">
        <v>5</v>
      </c>
      <c r="E86" s="26">
        <v>363</v>
      </c>
      <c r="F86" s="26">
        <v>211</v>
      </c>
      <c r="G86" s="26">
        <v>2</v>
      </c>
      <c r="H86" s="26">
        <v>0</v>
      </c>
      <c r="I86" s="26">
        <v>0</v>
      </c>
      <c r="J86" s="26">
        <v>0</v>
      </c>
      <c r="K86" s="26">
        <v>2</v>
      </c>
      <c r="L86" s="26">
        <v>0</v>
      </c>
      <c r="M86" s="26">
        <v>0</v>
      </c>
      <c r="N86" s="26">
        <v>583</v>
      </c>
      <c r="O86" s="26">
        <v>0</v>
      </c>
      <c r="P86" s="26">
        <v>2</v>
      </c>
      <c r="Q86" s="27">
        <v>585</v>
      </c>
      <c r="R86" s="3">
        <v>0</v>
      </c>
      <c r="S86" s="3">
        <v>710</v>
      </c>
      <c r="T86" s="28">
        <f t="shared" si="1"/>
        <v>152</v>
      </c>
      <c r="U86" s="4"/>
    </row>
    <row r="87" spans="1:21">
      <c r="A87" s="26">
        <v>85</v>
      </c>
      <c r="B87" s="26">
        <v>85</v>
      </c>
      <c r="C87" s="4" t="s">
        <v>202</v>
      </c>
      <c r="D87" s="26">
        <v>7</v>
      </c>
      <c r="E87" s="26">
        <v>441</v>
      </c>
      <c r="F87" s="26">
        <v>315</v>
      </c>
      <c r="G87" s="26">
        <v>2</v>
      </c>
      <c r="H87" s="26">
        <v>0</v>
      </c>
      <c r="I87" s="26">
        <v>1</v>
      </c>
      <c r="J87" s="26">
        <v>0</v>
      </c>
      <c r="K87" s="26">
        <v>0</v>
      </c>
      <c r="L87" s="26">
        <v>2</v>
      </c>
      <c r="M87" s="26">
        <v>2</v>
      </c>
      <c r="N87" s="26">
        <v>770</v>
      </c>
      <c r="O87" s="26">
        <v>0</v>
      </c>
      <c r="P87" s="26">
        <v>9</v>
      </c>
      <c r="Q87" s="27">
        <v>779</v>
      </c>
      <c r="R87" s="3">
        <v>0</v>
      </c>
      <c r="S87" s="3">
        <v>907</v>
      </c>
      <c r="T87" s="28">
        <f t="shared" si="1"/>
        <v>126</v>
      </c>
      <c r="U87" s="4"/>
    </row>
    <row r="88" spans="1:21">
      <c r="A88" s="26">
        <v>86</v>
      </c>
      <c r="B88" s="26">
        <v>86</v>
      </c>
      <c r="C88" s="4" t="s">
        <v>204</v>
      </c>
      <c r="D88" s="26">
        <v>7</v>
      </c>
      <c r="E88" s="26">
        <v>392</v>
      </c>
      <c r="F88" s="26">
        <v>359</v>
      </c>
      <c r="G88" s="26">
        <v>4</v>
      </c>
      <c r="H88" s="26">
        <v>2</v>
      </c>
      <c r="I88" s="26">
        <v>0</v>
      </c>
      <c r="J88" s="26">
        <v>1</v>
      </c>
      <c r="K88" s="26">
        <v>1</v>
      </c>
      <c r="L88" s="26">
        <v>1</v>
      </c>
      <c r="M88" s="26">
        <v>0</v>
      </c>
      <c r="N88" s="26">
        <v>767</v>
      </c>
      <c r="O88" s="26">
        <v>0</v>
      </c>
      <c r="P88" s="26">
        <v>3</v>
      </c>
      <c r="Q88" s="27">
        <v>770</v>
      </c>
      <c r="R88" s="3">
        <v>0</v>
      </c>
      <c r="S88" s="3">
        <v>1052</v>
      </c>
      <c r="T88" s="28">
        <f t="shared" si="1"/>
        <v>33</v>
      </c>
      <c r="U88" s="4"/>
    </row>
    <row r="89" spans="1:21">
      <c r="A89" s="26">
        <v>87</v>
      </c>
      <c r="B89" s="26">
        <v>87</v>
      </c>
      <c r="C89" s="4" t="s">
        <v>206</v>
      </c>
      <c r="D89" s="26">
        <v>3</v>
      </c>
      <c r="E89" s="26">
        <v>144</v>
      </c>
      <c r="F89" s="26">
        <v>183</v>
      </c>
      <c r="G89" s="26">
        <v>3</v>
      </c>
      <c r="H89" s="26">
        <v>0</v>
      </c>
      <c r="I89" s="26">
        <v>0</v>
      </c>
      <c r="J89" s="26">
        <v>0</v>
      </c>
      <c r="K89" s="26">
        <v>0</v>
      </c>
      <c r="L89" s="26">
        <v>1</v>
      </c>
      <c r="M89" s="26">
        <v>0</v>
      </c>
      <c r="N89" s="26">
        <v>334</v>
      </c>
      <c r="O89" s="26">
        <v>0</v>
      </c>
      <c r="P89" s="26">
        <v>0</v>
      </c>
      <c r="Q89" s="27">
        <v>334</v>
      </c>
      <c r="R89" s="3">
        <v>0</v>
      </c>
      <c r="S89" s="3">
        <v>399</v>
      </c>
      <c r="T89" s="28">
        <f t="shared" si="1"/>
        <v>39</v>
      </c>
      <c r="U89" s="4"/>
    </row>
    <row r="90" spans="1:21">
      <c r="A90" s="26">
        <v>88</v>
      </c>
      <c r="B90" s="26">
        <v>88</v>
      </c>
      <c r="C90" s="4" t="s">
        <v>208</v>
      </c>
      <c r="D90" s="26">
        <v>3</v>
      </c>
      <c r="E90" s="26">
        <v>253</v>
      </c>
      <c r="F90" s="26">
        <v>98</v>
      </c>
      <c r="G90" s="26">
        <v>0</v>
      </c>
      <c r="H90" s="26">
        <v>0</v>
      </c>
      <c r="I90" s="26">
        <v>0</v>
      </c>
      <c r="J90" s="26">
        <v>1</v>
      </c>
      <c r="K90" s="26">
        <v>1</v>
      </c>
      <c r="L90" s="26">
        <v>1</v>
      </c>
      <c r="M90" s="26">
        <v>2</v>
      </c>
      <c r="N90" s="26">
        <v>359</v>
      </c>
      <c r="O90" s="26">
        <v>0</v>
      </c>
      <c r="P90" s="26">
        <v>0</v>
      </c>
      <c r="Q90" s="27">
        <v>359</v>
      </c>
      <c r="R90" s="3">
        <v>0</v>
      </c>
      <c r="S90" s="3">
        <v>412</v>
      </c>
      <c r="T90" s="28">
        <f t="shared" si="1"/>
        <v>155</v>
      </c>
      <c r="U90" s="4"/>
    </row>
    <row r="91" spans="1:21">
      <c r="A91" s="26">
        <v>89</v>
      </c>
      <c r="B91" s="26">
        <v>89</v>
      </c>
      <c r="C91" s="4" t="s">
        <v>210</v>
      </c>
      <c r="D91" s="26">
        <v>3</v>
      </c>
      <c r="E91" s="26">
        <v>265</v>
      </c>
      <c r="F91" s="26">
        <v>223</v>
      </c>
      <c r="G91" s="26">
        <v>6</v>
      </c>
      <c r="H91" s="26">
        <v>1</v>
      </c>
      <c r="I91" s="26">
        <v>0</v>
      </c>
      <c r="J91" s="26">
        <v>0</v>
      </c>
      <c r="K91" s="26">
        <v>0</v>
      </c>
      <c r="L91" s="26">
        <v>0</v>
      </c>
      <c r="M91" s="26">
        <v>2</v>
      </c>
      <c r="N91" s="26">
        <v>500</v>
      </c>
      <c r="O91" s="26">
        <v>0</v>
      </c>
      <c r="P91" s="26">
        <v>4</v>
      </c>
      <c r="Q91" s="27">
        <v>504</v>
      </c>
      <c r="R91" s="3">
        <v>0</v>
      </c>
      <c r="S91" s="3">
        <v>610</v>
      </c>
      <c r="T91" s="28">
        <f t="shared" si="1"/>
        <v>42</v>
      </c>
      <c r="U91" s="4"/>
    </row>
    <row r="92" spans="1:21">
      <c r="A92" s="26">
        <v>90</v>
      </c>
      <c r="B92" s="26">
        <v>90</v>
      </c>
      <c r="C92" s="4" t="s">
        <v>212</v>
      </c>
      <c r="D92" s="26">
        <v>1</v>
      </c>
      <c r="E92" s="26">
        <v>243</v>
      </c>
      <c r="F92" s="26">
        <v>151</v>
      </c>
      <c r="G92" s="26">
        <v>1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396</v>
      </c>
      <c r="O92" s="26">
        <v>0</v>
      </c>
      <c r="P92" s="26">
        <v>0</v>
      </c>
      <c r="Q92" s="27">
        <v>396</v>
      </c>
      <c r="R92" s="3">
        <v>0</v>
      </c>
      <c r="S92" s="3">
        <v>486</v>
      </c>
      <c r="T92" s="28">
        <f t="shared" si="1"/>
        <v>92</v>
      </c>
      <c r="U92" s="4"/>
    </row>
    <row r="93" spans="1:21">
      <c r="A93" s="26">
        <v>91</v>
      </c>
      <c r="B93" s="26">
        <v>91</v>
      </c>
      <c r="C93" s="4" t="s">
        <v>214</v>
      </c>
      <c r="D93" s="26">
        <v>3</v>
      </c>
      <c r="E93" s="26">
        <v>367</v>
      </c>
      <c r="F93" s="26">
        <v>302</v>
      </c>
      <c r="G93" s="26">
        <v>1</v>
      </c>
      <c r="H93" s="26">
        <v>0</v>
      </c>
      <c r="I93" s="26">
        <v>1</v>
      </c>
      <c r="J93" s="26">
        <v>0</v>
      </c>
      <c r="K93" s="26">
        <v>1</v>
      </c>
      <c r="L93" s="26">
        <v>0</v>
      </c>
      <c r="M93" s="26">
        <v>2</v>
      </c>
      <c r="N93" s="26">
        <v>677</v>
      </c>
      <c r="O93" s="26">
        <v>0</v>
      </c>
      <c r="P93" s="26">
        <v>5</v>
      </c>
      <c r="Q93" s="27">
        <v>682</v>
      </c>
      <c r="R93" s="3">
        <v>0</v>
      </c>
      <c r="S93" s="3">
        <v>742</v>
      </c>
      <c r="T93" s="28">
        <f t="shared" si="1"/>
        <v>65</v>
      </c>
      <c r="U93" s="4"/>
    </row>
    <row r="94" spans="1:21">
      <c r="A94" s="26">
        <v>92</v>
      </c>
      <c r="B94" s="26">
        <v>92</v>
      </c>
      <c r="C94" s="4" t="s">
        <v>216</v>
      </c>
      <c r="D94" s="26">
        <v>0</v>
      </c>
      <c r="E94" s="26">
        <v>110</v>
      </c>
      <c r="F94" s="26">
        <v>125</v>
      </c>
      <c r="G94" s="26">
        <v>2</v>
      </c>
      <c r="H94" s="26">
        <v>0</v>
      </c>
      <c r="I94" s="26">
        <v>0</v>
      </c>
      <c r="J94" s="26">
        <v>0</v>
      </c>
      <c r="K94" s="26">
        <v>0</v>
      </c>
      <c r="L94" s="26">
        <v>1</v>
      </c>
      <c r="M94" s="26">
        <v>1</v>
      </c>
      <c r="N94" s="26">
        <v>239</v>
      </c>
      <c r="O94" s="26">
        <v>0</v>
      </c>
      <c r="P94" s="26">
        <v>0</v>
      </c>
      <c r="Q94" s="27">
        <v>239</v>
      </c>
      <c r="R94" s="3">
        <v>0</v>
      </c>
      <c r="S94" s="3">
        <v>277</v>
      </c>
      <c r="T94" s="28">
        <f t="shared" si="1"/>
        <v>15</v>
      </c>
      <c r="U94" s="4"/>
    </row>
    <row r="95" spans="1:21">
      <c r="A95" s="26">
        <v>93</v>
      </c>
      <c r="B95" s="26">
        <v>93</v>
      </c>
      <c r="C95" s="4" t="s">
        <v>218</v>
      </c>
      <c r="D95" s="26">
        <v>6</v>
      </c>
      <c r="E95" s="26">
        <v>688</v>
      </c>
      <c r="F95" s="26">
        <v>344</v>
      </c>
      <c r="G95" s="26">
        <v>4</v>
      </c>
      <c r="H95" s="26">
        <v>2</v>
      </c>
      <c r="I95" s="26">
        <v>1</v>
      </c>
      <c r="J95" s="26">
        <v>1</v>
      </c>
      <c r="K95" s="26">
        <v>9</v>
      </c>
      <c r="L95" s="26">
        <v>3</v>
      </c>
      <c r="M95" s="26">
        <v>3</v>
      </c>
      <c r="N95" s="26">
        <v>1061</v>
      </c>
      <c r="O95" s="26">
        <v>0</v>
      </c>
      <c r="P95" s="26">
        <v>4</v>
      </c>
      <c r="Q95" s="27">
        <v>1065</v>
      </c>
      <c r="R95" s="3">
        <v>0</v>
      </c>
      <c r="S95" s="3">
        <v>1357</v>
      </c>
      <c r="T95" s="28">
        <f t="shared" si="1"/>
        <v>344</v>
      </c>
      <c r="U95" s="4"/>
    </row>
    <row r="96" spans="1:21">
      <c r="A96" s="26">
        <v>94</v>
      </c>
      <c r="B96" s="26">
        <v>94</v>
      </c>
      <c r="C96" s="4" t="s">
        <v>220</v>
      </c>
      <c r="D96" s="26">
        <v>5</v>
      </c>
      <c r="E96" s="26">
        <v>547</v>
      </c>
      <c r="F96" s="26">
        <v>244</v>
      </c>
      <c r="G96" s="26">
        <v>1</v>
      </c>
      <c r="H96" s="26">
        <v>2</v>
      </c>
      <c r="I96" s="26">
        <v>1</v>
      </c>
      <c r="J96" s="26">
        <v>0</v>
      </c>
      <c r="K96" s="26">
        <v>0</v>
      </c>
      <c r="L96" s="26">
        <v>1</v>
      </c>
      <c r="M96" s="26">
        <v>2</v>
      </c>
      <c r="N96" s="26">
        <v>803</v>
      </c>
      <c r="O96" s="26">
        <v>0</v>
      </c>
      <c r="P96" s="26">
        <v>4</v>
      </c>
      <c r="Q96" s="27">
        <v>807</v>
      </c>
      <c r="R96" s="3">
        <v>0</v>
      </c>
      <c r="S96" s="3">
        <v>996</v>
      </c>
      <c r="T96" s="28">
        <f t="shared" si="1"/>
        <v>303</v>
      </c>
      <c r="U96" s="4"/>
    </row>
    <row r="97" spans="1:21">
      <c r="A97" s="26">
        <v>95</v>
      </c>
      <c r="B97" s="26">
        <v>95</v>
      </c>
      <c r="C97" s="4" t="s">
        <v>222</v>
      </c>
      <c r="D97" s="26">
        <v>5</v>
      </c>
      <c r="E97" s="26">
        <v>370</v>
      </c>
      <c r="F97" s="26">
        <v>145</v>
      </c>
      <c r="G97" s="26">
        <v>7</v>
      </c>
      <c r="H97" s="26">
        <v>0</v>
      </c>
      <c r="I97" s="26">
        <v>1</v>
      </c>
      <c r="J97" s="26">
        <v>0</v>
      </c>
      <c r="K97" s="26">
        <v>2</v>
      </c>
      <c r="L97" s="26">
        <v>0</v>
      </c>
      <c r="M97" s="26">
        <v>0</v>
      </c>
      <c r="N97" s="26">
        <v>530</v>
      </c>
      <c r="O97" s="26">
        <v>0</v>
      </c>
      <c r="P97" s="26">
        <v>0</v>
      </c>
      <c r="Q97" s="27">
        <v>530</v>
      </c>
      <c r="R97" s="3">
        <v>0</v>
      </c>
      <c r="S97" s="3">
        <v>608</v>
      </c>
      <c r="T97" s="28">
        <f t="shared" si="1"/>
        <v>225</v>
      </c>
      <c r="U97" s="4"/>
    </row>
    <row r="98" spans="1:21">
      <c r="A98" s="26">
        <v>96</v>
      </c>
      <c r="B98" s="26">
        <v>96</v>
      </c>
      <c r="C98" s="4" t="s">
        <v>224</v>
      </c>
      <c r="D98" s="26">
        <v>8</v>
      </c>
      <c r="E98" s="26">
        <v>488</v>
      </c>
      <c r="F98" s="26">
        <v>454</v>
      </c>
      <c r="G98" s="26">
        <v>5</v>
      </c>
      <c r="H98" s="26">
        <v>0</v>
      </c>
      <c r="I98" s="26">
        <v>0</v>
      </c>
      <c r="J98" s="26">
        <v>1</v>
      </c>
      <c r="K98" s="26">
        <v>3</v>
      </c>
      <c r="L98" s="26">
        <v>3</v>
      </c>
      <c r="M98" s="26">
        <v>3</v>
      </c>
      <c r="N98" s="26">
        <v>965</v>
      </c>
      <c r="O98" s="26">
        <v>0</v>
      </c>
      <c r="P98" s="26">
        <v>7</v>
      </c>
      <c r="Q98" s="27">
        <v>972</v>
      </c>
      <c r="R98" s="3">
        <v>0</v>
      </c>
      <c r="S98" s="3">
        <v>1192</v>
      </c>
      <c r="T98" s="28">
        <f t="shared" si="1"/>
        <v>34</v>
      </c>
      <c r="U98" s="4"/>
    </row>
    <row r="99" spans="1:21">
      <c r="A99" s="26">
        <v>97</v>
      </c>
      <c r="B99" s="26">
        <v>97</v>
      </c>
      <c r="C99" s="4" t="s">
        <v>226</v>
      </c>
      <c r="D99" s="26">
        <v>4</v>
      </c>
      <c r="E99" s="26">
        <v>276</v>
      </c>
      <c r="F99" s="26">
        <v>188</v>
      </c>
      <c r="G99" s="26">
        <v>6</v>
      </c>
      <c r="H99" s="26">
        <v>1</v>
      </c>
      <c r="I99" s="26">
        <v>0</v>
      </c>
      <c r="J99" s="26">
        <v>1</v>
      </c>
      <c r="K99" s="26">
        <v>1</v>
      </c>
      <c r="L99" s="26">
        <v>1</v>
      </c>
      <c r="M99" s="26">
        <v>2</v>
      </c>
      <c r="N99" s="26">
        <v>480</v>
      </c>
      <c r="O99" s="26">
        <v>0</v>
      </c>
      <c r="P99" s="26">
        <v>9</v>
      </c>
      <c r="Q99" s="27">
        <v>489</v>
      </c>
      <c r="R99" s="3">
        <v>0</v>
      </c>
      <c r="S99" s="3">
        <v>598</v>
      </c>
      <c r="T99" s="28">
        <f t="shared" si="1"/>
        <v>88</v>
      </c>
      <c r="U99" s="4"/>
    </row>
    <row r="100" spans="1:21">
      <c r="A100" s="26">
        <v>98</v>
      </c>
      <c r="B100" s="26">
        <v>98</v>
      </c>
      <c r="C100" s="4" t="s">
        <v>228</v>
      </c>
      <c r="D100" s="26">
        <v>0</v>
      </c>
      <c r="E100" s="26">
        <v>374</v>
      </c>
      <c r="F100" s="26">
        <v>189</v>
      </c>
      <c r="G100" s="26">
        <v>1</v>
      </c>
      <c r="H100" s="26">
        <v>0</v>
      </c>
      <c r="I100" s="26">
        <v>0</v>
      </c>
      <c r="J100" s="26">
        <v>0</v>
      </c>
      <c r="K100" s="26">
        <v>0</v>
      </c>
      <c r="L100" s="26">
        <v>1</v>
      </c>
      <c r="M100" s="26">
        <v>3</v>
      </c>
      <c r="N100" s="26">
        <v>568</v>
      </c>
      <c r="O100" s="26">
        <v>0</v>
      </c>
      <c r="P100" s="26">
        <v>3</v>
      </c>
      <c r="Q100" s="27">
        <v>571</v>
      </c>
      <c r="R100" s="3">
        <v>0</v>
      </c>
      <c r="S100" s="3">
        <v>859</v>
      </c>
      <c r="T100" s="28">
        <f t="shared" si="1"/>
        <v>185</v>
      </c>
      <c r="U100" s="4"/>
    </row>
    <row r="101" spans="1:21">
      <c r="A101" s="26">
        <v>99</v>
      </c>
      <c r="B101" s="26">
        <v>99</v>
      </c>
      <c r="C101" s="4" t="s">
        <v>230</v>
      </c>
      <c r="D101" s="26">
        <v>3</v>
      </c>
      <c r="E101" s="26">
        <v>220</v>
      </c>
      <c r="F101" s="26">
        <v>241</v>
      </c>
      <c r="G101" s="26">
        <v>1</v>
      </c>
      <c r="H101" s="26">
        <v>0</v>
      </c>
      <c r="I101" s="26">
        <v>2</v>
      </c>
      <c r="J101" s="26">
        <v>0</v>
      </c>
      <c r="K101" s="26">
        <v>0</v>
      </c>
      <c r="L101" s="26">
        <v>1</v>
      </c>
      <c r="M101" s="26">
        <v>0</v>
      </c>
      <c r="N101" s="26">
        <v>468</v>
      </c>
      <c r="O101" s="26">
        <v>0</v>
      </c>
      <c r="P101" s="26">
        <v>5</v>
      </c>
      <c r="Q101" s="27">
        <v>473</v>
      </c>
      <c r="R101" s="3">
        <v>0</v>
      </c>
      <c r="S101" s="3">
        <v>689</v>
      </c>
      <c r="T101" s="28">
        <f t="shared" si="1"/>
        <v>21</v>
      </c>
      <c r="U101" s="4"/>
    </row>
    <row r="102" spans="1:21">
      <c r="A102" s="26">
        <v>100</v>
      </c>
      <c r="B102" s="26">
        <v>100</v>
      </c>
      <c r="C102" s="4" t="s">
        <v>232</v>
      </c>
      <c r="D102" s="26">
        <v>3</v>
      </c>
      <c r="E102" s="26">
        <v>229</v>
      </c>
      <c r="F102" s="26">
        <v>227</v>
      </c>
      <c r="G102" s="26">
        <v>1</v>
      </c>
      <c r="H102" s="26">
        <v>0</v>
      </c>
      <c r="I102" s="26">
        <v>0</v>
      </c>
      <c r="J102" s="26">
        <v>1</v>
      </c>
      <c r="K102" s="26">
        <v>1</v>
      </c>
      <c r="L102" s="26">
        <v>3</v>
      </c>
      <c r="M102" s="26">
        <v>0</v>
      </c>
      <c r="N102" s="26">
        <v>465</v>
      </c>
      <c r="O102" s="26">
        <v>0</v>
      </c>
      <c r="P102" s="26">
        <v>5</v>
      </c>
      <c r="Q102" s="27">
        <v>470</v>
      </c>
      <c r="R102" s="3">
        <v>0</v>
      </c>
      <c r="S102" s="3">
        <v>624</v>
      </c>
      <c r="T102" s="28">
        <f t="shared" si="1"/>
        <v>2</v>
      </c>
      <c r="U102" s="4"/>
    </row>
    <row r="103" spans="1:21">
      <c r="A103" s="26">
        <v>101</v>
      </c>
      <c r="B103" s="26">
        <v>101</v>
      </c>
      <c r="C103" s="4" t="s">
        <v>234</v>
      </c>
      <c r="D103" s="26">
        <v>9</v>
      </c>
      <c r="E103" s="26">
        <v>473</v>
      </c>
      <c r="F103" s="26">
        <v>285</v>
      </c>
      <c r="G103" s="26">
        <v>3</v>
      </c>
      <c r="H103" s="26">
        <v>0</v>
      </c>
      <c r="I103" s="26">
        <v>0</v>
      </c>
      <c r="J103" s="26">
        <v>0</v>
      </c>
      <c r="K103" s="26">
        <v>3</v>
      </c>
      <c r="L103" s="26">
        <v>6</v>
      </c>
      <c r="M103" s="26">
        <v>4</v>
      </c>
      <c r="N103" s="26">
        <v>783</v>
      </c>
      <c r="O103" s="26">
        <v>0</v>
      </c>
      <c r="P103" s="26">
        <v>5</v>
      </c>
      <c r="Q103" s="27">
        <v>788</v>
      </c>
      <c r="R103" s="3">
        <v>0</v>
      </c>
      <c r="S103" s="3">
        <v>1147</v>
      </c>
      <c r="T103" s="28">
        <f t="shared" si="1"/>
        <v>188</v>
      </c>
      <c r="U103" s="4"/>
    </row>
    <row r="104" spans="1:21">
      <c r="A104" s="26">
        <v>102</v>
      </c>
      <c r="B104" s="26">
        <v>102</v>
      </c>
      <c r="C104" s="4" t="s">
        <v>236</v>
      </c>
      <c r="D104" s="26">
        <v>4</v>
      </c>
      <c r="E104" s="26">
        <v>506</v>
      </c>
      <c r="F104" s="26">
        <v>418</v>
      </c>
      <c r="G104" s="26">
        <v>2</v>
      </c>
      <c r="H104" s="26">
        <v>1</v>
      </c>
      <c r="I104" s="26">
        <v>0</v>
      </c>
      <c r="J104" s="26">
        <v>0</v>
      </c>
      <c r="K104" s="26">
        <v>0</v>
      </c>
      <c r="L104" s="26">
        <v>1</v>
      </c>
      <c r="M104" s="26">
        <v>0</v>
      </c>
      <c r="N104" s="26">
        <v>932</v>
      </c>
      <c r="O104" s="26">
        <v>0</v>
      </c>
      <c r="P104" s="26">
        <v>6</v>
      </c>
      <c r="Q104" s="27">
        <v>938</v>
      </c>
      <c r="R104" s="3">
        <v>0</v>
      </c>
      <c r="S104" s="3">
        <v>1205</v>
      </c>
      <c r="T104" s="28">
        <f t="shared" si="1"/>
        <v>88</v>
      </c>
      <c r="U104" s="4"/>
    </row>
    <row r="105" spans="1:21">
      <c r="A105" s="26">
        <v>103</v>
      </c>
      <c r="B105" s="26">
        <v>103</v>
      </c>
      <c r="C105" s="4" t="s">
        <v>238</v>
      </c>
      <c r="D105" s="26">
        <v>8</v>
      </c>
      <c r="E105" s="26">
        <v>481</v>
      </c>
      <c r="F105" s="26">
        <v>353</v>
      </c>
      <c r="G105" s="26">
        <v>4</v>
      </c>
      <c r="H105" s="26">
        <v>1</v>
      </c>
      <c r="I105" s="26">
        <v>0</v>
      </c>
      <c r="J105" s="26">
        <v>0</v>
      </c>
      <c r="K105" s="26">
        <v>1</v>
      </c>
      <c r="L105" s="26">
        <v>2</v>
      </c>
      <c r="M105" s="26">
        <v>4</v>
      </c>
      <c r="N105" s="26">
        <v>854</v>
      </c>
      <c r="O105" s="26">
        <v>0</v>
      </c>
      <c r="P105" s="26">
        <v>13</v>
      </c>
      <c r="Q105" s="27">
        <v>867</v>
      </c>
      <c r="R105" s="3">
        <v>0</v>
      </c>
      <c r="S105" s="3">
        <v>1205</v>
      </c>
      <c r="T105" s="28">
        <f t="shared" si="1"/>
        <v>128</v>
      </c>
      <c r="U105" s="4"/>
    </row>
    <row r="106" spans="1:21">
      <c r="A106" s="26">
        <v>104</v>
      </c>
      <c r="B106" s="26">
        <v>104</v>
      </c>
      <c r="C106" s="4" t="s">
        <v>240</v>
      </c>
      <c r="D106" s="26">
        <v>4</v>
      </c>
      <c r="E106" s="26">
        <v>413</v>
      </c>
      <c r="F106" s="26">
        <v>326</v>
      </c>
      <c r="G106" s="26">
        <v>1</v>
      </c>
      <c r="H106" s="26">
        <v>0</v>
      </c>
      <c r="I106" s="26">
        <v>0</v>
      </c>
      <c r="J106" s="26">
        <v>0</v>
      </c>
      <c r="K106" s="26">
        <v>1</v>
      </c>
      <c r="L106" s="26">
        <v>2</v>
      </c>
      <c r="M106" s="26">
        <v>0</v>
      </c>
      <c r="N106" s="26">
        <v>747</v>
      </c>
      <c r="O106" s="26">
        <v>0</v>
      </c>
      <c r="P106" s="26">
        <v>12</v>
      </c>
      <c r="Q106" s="27">
        <v>759</v>
      </c>
      <c r="R106" s="3">
        <v>0</v>
      </c>
      <c r="S106" s="3">
        <v>1398</v>
      </c>
      <c r="T106" s="28">
        <f t="shared" si="1"/>
        <v>87</v>
      </c>
      <c r="U106" s="4"/>
    </row>
    <row r="107" spans="1:21">
      <c r="A107" s="26">
        <v>105</v>
      </c>
      <c r="B107" s="26">
        <v>105</v>
      </c>
      <c r="C107" s="4" t="s">
        <v>242</v>
      </c>
      <c r="D107" s="26">
        <v>3</v>
      </c>
      <c r="E107" s="26">
        <v>372</v>
      </c>
      <c r="F107" s="26">
        <v>308</v>
      </c>
      <c r="G107" s="26">
        <v>4</v>
      </c>
      <c r="H107" s="26">
        <v>0</v>
      </c>
      <c r="I107" s="26">
        <v>0</v>
      </c>
      <c r="J107" s="26">
        <v>1</v>
      </c>
      <c r="K107" s="26">
        <v>1</v>
      </c>
      <c r="L107" s="26">
        <v>1</v>
      </c>
      <c r="M107" s="26">
        <v>0</v>
      </c>
      <c r="N107" s="26">
        <v>690</v>
      </c>
      <c r="O107" s="26">
        <v>0</v>
      </c>
      <c r="P107" s="26">
        <v>4</v>
      </c>
      <c r="Q107" s="27">
        <v>694</v>
      </c>
      <c r="R107" s="3">
        <v>0</v>
      </c>
      <c r="S107" s="3">
        <v>932</v>
      </c>
      <c r="T107" s="28">
        <f t="shared" si="1"/>
        <v>64</v>
      </c>
      <c r="U107" s="4"/>
    </row>
    <row r="108" spans="1:21">
      <c r="A108" s="26">
        <v>106</v>
      </c>
      <c r="B108" s="26">
        <v>106</v>
      </c>
      <c r="C108" s="4" t="s">
        <v>244</v>
      </c>
      <c r="D108" s="26">
        <v>8</v>
      </c>
      <c r="E108" s="26">
        <v>652</v>
      </c>
      <c r="F108" s="26">
        <v>311</v>
      </c>
      <c r="G108" s="26">
        <v>7</v>
      </c>
      <c r="H108" s="26">
        <v>2</v>
      </c>
      <c r="I108" s="26">
        <v>2</v>
      </c>
      <c r="J108" s="26">
        <v>2</v>
      </c>
      <c r="K108" s="26">
        <v>1</v>
      </c>
      <c r="L108" s="26">
        <v>1</v>
      </c>
      <c r="M108" s="26">
        <v>1</v>
      </c>
      <c r="N108" s="26">
        <v>987</v>
      </c>
      <c r="O108" s="26">
        <v>0</v>
      </c>
      <c r="P108" s="26">
        <v>8</v>
      </c>
      <c r="Q108" s="27">
        <v>995</v>
      </c>
      <c r="R108" s="3">
        <v>0</v>
      </c>
      <c r="S108" s="3">
        <v>1399</v>
      </c>
      <c r="T108" s="28">
        <f t="shared" si="1"/>
        <v>341</v>
      </c>
      <c r="U108" s="4"/>
    </row>
    <row r="109" spans="1:21">
      <c r="A109" s="26">
        <v>107</v>
      </c>
      <c r="B109" s="26">
        <v>107</v>
      </c>
      <c r="C109" s="4" t="s">
        <v>246</v>
      </c>
      <c r="D109" s="26">
        <v>3</v>
      </c>
      <c r="E109" s="26">
        <v>330</v>
      </c>
      <c r="F109" s="26">
        <v>208</v>
      </c>
      <c r="G109" s="26">
        <v>3</v>
      </c>
      <c r="H109" s="26">
        <v>0</v>
      </c>
      <c r="I109" s="26">
        <v>0</v>
      </c>
      <c r="J109" s="26">
        <v>2</v>
      </c>
      <c r="K109" s="26">
        <v>0</v>
      </c>
      <c r="L109" s="26">
        <v>4</v>
      </c>
      <c r="M109" s="26">
        <v>1</v>
      </c>
      <c r="N109" s="26">
        <v>551</v>
      </c>
      <c r="O109" s="26">
        <v>0</v>
      </c>
      <c r="P109" s="26">
        <v>2</v>
      </c>
      <c r="Q109" s="27">
        <v>553</v>
      </c>
      <c r="R109" s="3">
        <v>0</v>
      </c>
      <c r="S109" s="3">
        <v>809</v>
      </c>
      <c r="T109" s="28">
        <f t="shared" si="1"/>
        <v>122</v>
      </c>
      <c r="U109" s="4"/>
    </row>
    <row r="110" spans="1:21">
      <c r="A110" s="26">
        <v>108</v>
      </c>
      <c r="B110" s="26">
        <v>108</v>
      </c>
      <c r="C110" s="4" t="s">
        <v>248</v>
      </c>
      <c r="D110" s="26">
        <v>2</v>
      </c>
      <c r="E110" s="26">
        <v>366</v>
      </c>
      <c r="F110" s="26">
        <v>297</v>
      </c>
      <c r="G110" s="26">
        <v>3</v>
      </c>
      <c r="H110" s="26">
        <v>0</v>
      </c>
      <c r="I110" s="26">
        <v>0</v>
      </c>
      <c r="J110" s="26">
        <v>0</v>
      </c>
      <c r="K110" s="26">
        <v>0</v>
      </c>
      <c r="L110" s="26">
        <v>1</v>
      </c>
      <c r="M110" s="26">
        <v>2</v>
      </c>
      <c r="N110" s="26">
        <v>671</v>
      </c>
      <c r="O110" s="26">
        <v>0</v>
      </c>
      <c r="P110" s="26">
        <v>3</v>
      </c>
      <c r="Q110" s="27">
        <v>674</v>
      </c>
      <c r="R110" s="3">
        <v>0</v>
      </c>
      <c r="S110" s="3">
        <v>929</v>
      </c>
      <c r="T110" s="28">
        <f t="shared" si="1"/>
        <v>69</v>
      </c>
      <c r="U110" s="4"/>
    </row>
    <row r="111" spans="1:21">
      <c r="A111" s="26">
        <v>109</v>
      </c>
      <c r="B111" s="26">
        <v>109</v>
      </c>
      <c r="C111" s="4" t="s">
        <v>250</v>
      </c>
      <c r="D111" s="26">
        <v>2</v>
      </c>
      <c r="E111" s="26">
        <v>359</v>
      </c>
      <c r="F111" s="26">
        <v>402</v>
      </c>
      <c r="G111" s="26">
        <v>2</v>
      </c>
      <c r="H111" s="26">
        <v>0</v>
      </c>
      <c r="I111" s="26">
        <v>0</v>
      </c>
      <c r="J111" s="26">
        <v>0</v>
      </c>
      <c r="K111" s="26">
        <v>0</v>
      </c>
      <c r="L111" s="26">
        <v>2</v>
      </c>
      <c r="M111" s="26">
        <v>1</v>
      </c>
      <c r="N111" s="26">
        <v>768</v>
      </c>
      <c r="O111" s="26">
        <v>0</v>
      </c>
      <c r="P111" s="26">
        <v>11</v>
      </c>
      <c r="Q111" s="27">
        <v>779</v>
      </c>
      <c r="R111" s="3">
        <v>0</v>
      </c>
      <c r="S111" s="3">
        <v>1071</v>
      </c>
      <c r="T111" s="28">
        <f t="shared" si="1"/>
        <v>43</v>
      </c>
      <c r="U111" s="4"/>
    </row>
    <row r="112" spans="1:21">
      <c r="A112" s="26">
        <v>110</v>
      </c>
      <c r="B112" s="26">
        <v>110</v>
      </c>
      <c r="C112" s="4" t="s">
        <v>252</v>
      </c>
      <c r="D112" s="26">
        <v>4</v>
      </c>
      <c r="E112" s="26">
        <v>536</v>
      </c>
      <c r="F112" s="26">
        <v>330</v>
      </c>
      <c r="G112" s="26">
        <v>3</v>
      </c>
      <c r="H112" s="26">
        <v>0</v>
      </c>
      <c r="I112" s="26">
        <v>0</v>
      </c>
      <c r="J112" s="26">
        <v>0</v>
      </c>
      <c r="K112" s="26">
        <v>1</v>
      </c>
      <c r="L112" s="26">
        <v>2</v>
      </c>
      <c r="M112" s="26">
        <v>9</v>
      </c>
      <c r="N112" s="26">
        <v>885</v>
      </c>
      <c r="O112" s="26">
        <v>0</v>
      </c>
      <c r="P112" s="26">
        <v>6</v>
      </c>
      <c r="Q112" s="27">
        <v>891</v>
      </c>
      <c r="R112" s="3">
        <v>0</v>
      </c>
      <c r="S112" s="3">
        <v>1192</v>
      </c>
      <c r="T112" s="28">
        <f t="shared" si="1"/>
        <v>206</v>
      </c>
      <c r="U112" s="4"/>
    </row>
    <row r="113" spans="1:21">
      <c r="A113" s="26">
        <v>111</v>
      </c>
      <c r="B113" s="26">
        <v>111</v>
      </c>
      <c r="C113" s="4" t="s">
        <v>254</v>
      </c>
      <c r="D113" s="26">
        <v>2</v>
      </c>
      <c r="E113" s="26">
        <v>332</v>
      </c>
      <c r="F113" s="26">
        <v>385</v>
      </c>
      <c r="G113" s="26">
        <v>2</v>
      </c>
      <c r="H113" s="26">
        <v>1</v>
      </c>
      <c r="I113" s="26">
        <v>0</v>
      </c>
      <c r="J113" s="26">
        <v>0</v>
      </c>
      <c r="K113" s="26">
        <v>0</v>
      </c>
      <c r="L113" s="26">
        <v>1</v>
      </c>
      <c r="M113" s="26">
        <v>3</v>
      </c>
      <c r="N113" s="26">
        <v>726</v>
      </c>
      <c r="O113" s="26">
        <v>0</v>
      </c>
      <c r="P113" s="26">
        <v>5</v>
      </c>
      <c r="Q113" s="27">
        <v>731</v>
      </c>
      <c r="R113" s="3">
        <v>0</v>
      </c>
      <c r="S113" s="3">
        <v>1052</v>
      </c>
      <c r="T113" s="28">
        <f t="shared" si="1"/>
        <v>53</v>
      </c>
      <c r="U113" s="4"/>
    </row>
    <row r="114" spans="1:21">
      <c r="A114" s="29">
        <v>112</v>
      </c>
      <c r="B114" s="29">
        <v>112</v>
      </c>
      <c r="C114" s="4" t="s">
        <v>256</v>
      </c>
      <c r="D114" s="26">
        <v>2</v>
      </c>
      <c r="E114" s="26">
        <v>279</v>
      </c>
      <c r="F114" s="26">
        <v>297</v>
      </c>
      <c r="G114" s="26">
        <v>0</v>
      </c>
      <c r="H114" s="26">
        <v>0</v>
      </c>
      <c r="I114" s="26">
        <v>0</v>
      </c>
      <c r="J114" s="26">
        <v>1</v>
      </c>
      <c r="K114" s="26">
        <v>1</v>
      </c>
      <c r="L114" s="26">
        <v>0</v>
      </c>
      <c r="M114" s="26">
        <v>1</v>
      </c>
      <c r="N114" s="26">
        <v>581</v>
      </c>
      <c r="O114" s="26">
        <v>0</v>
      </c>
      <c r="P114" s="26">
        <v>3</v>
      </c>
      <c r="Q114" s="27">
        <v>584</v>
      </c>
      <c r="R114" s="3">
        <v>0</v>
      </c>
      <c r="S114" s="3">
        <v>818</v>
      </c>
      <c r="T114" s="28">
        <f t="shared" si="1"/>
        <v>18</v>
      </c>
      <c r="U114" s="4"/>
    </row>
    <row r="115" spans="1:21">
      <c r="A115" s="26">
        <v>113</v>
      </c>
      <c r="B115" s="26">
        <v>113</v>
      </c>
      <c r="C115" s="4" t="s">
        <v>258</v>
      </c>
      <c r="D115" s="26">
        <v>3</v>
      </c>
      <c r="E115" s="26">
        <v>260</v>
      </c>
      <c r="F115" s="26">
        <v>260</v>
      </c>
      <c r="G115" s="26">
        <v>1</v>
      </c>
      <c r="H115" s="26">
        <v>0</v>
      </c>
      <c r="I115" s="26">
        <v>0</v>
      </c>
      <c r="J115" s="26">
        <v>0</v>
      </c>
      <c r="K115" s="26">
        <v>1</v>
      </c>
      <c r="L115" s="26">
        <v>1</v>
      </c>
      <c r="M115" s="26">
        <v>2</v>
      </c>
      <c r="N115" s="26">
        <v>528</v>
      </c>
      <c r="O115" s="26">
        <v>0</v>
      </c>
      <c r="P115" s="26">
        <v>1</v>
      </c>
      <c r="Q115" s="27">
        <v>529</v>
      </c>
      <c r="R115" s="3">
        <v>0</v>
      </c>
      <c r="S115" s="3">
        <v>738</v>
      </c>
      <c r="T115" s="28">
        <f t="shared" si="1"/>
        <v>0</v>
      </c>
      <c r="U115" s="4"/>
    </row>
    <row r="116" spans="1:21">
      <c r="A116" s="26">
        <v>114</v>
      </c>
      <c r="B116" s="26">
        <v>114</v>
      </c>
      <c r="C116" s="4" t="s">
        <v>260</v>
      </c>
      <c r="D116" s="26">
        <v>0</v>
      </c>
      <c r="E116" s="26">
        <v>398</v>
      </c>
      <c r="F116" s="26">
        <v>220</v>
      </c>
      <c r="G116" s="26">
        <v>3</v>
      </c>
      <c r="H116" s="26">
        <v>0</v>
      </c>
      <c r="I116" s="26">
        <v>0</v>
      </c>
      <c r="J116" s="26">
        <v>0</v>
      </c>
      <c r="K116" s="26">
        <v>2</v>
      </c>
      <c r="L116" s="26">
        <v>2</v>
      </c>
      <c r="M116" s="26">
        <v>2</v>
      </c>
      <c r="N116" s="26">
        <v>627</v>
      </c>
      <c r="O116" s="26">
        <v>0</v>
      </c>
      <c r="P116" s="26">
        <v>3</v>
      </c>
      <c r="Q116" s="27">
        <v>630</v>
      </c>
      <c r="R116" s="3">
        <v>0</v>
      </c>
      <c r="S116" s="3">
        <v>810</v>
      </c>
      <c r="T116" s="28">
        <f t="shared" si="1"/>
        <v>178</v>
      </c>
      <c r="U116" s="4"/>
    </row>
    <row r="117" spans="1:21">
      <c r="A117" s="26">
        <v>115</v>
      </c>
      <c r="B117" s="26">
        <v>115</v>
      </c>
      <c r="C117" s="4" t="s">
        <v>262</v>
      </c>
      <c r="D117" s="26">
        <v>1</v>
      </c>
      <c r="E117" s="26">
        <v>281</v>
      </c>
      <c r="F117" s="26">
        <v>270</v>
      </c>
      <c r="G117" s="26">
        <v>0</v>
      </c>
      <c r="H117" s="26">
        <v>0</v>
      </c>
      <c r="I117" s="26">
        <v>0</v>
      </c>
      <c r="J117" s="26">
        <v>0</v>
      </c>
      <c r="K117" s="26">
        <v>1</v>
      </c>
      <c r="L117" s="26">
        <v>0</v>
      </c>
      <c r="M117" s="26">
        <v>1</v>
      </c>
      <c r="N117" s="26">
        <v>554</v>
      </c>
      <c r="O117" s="26">
        <v>0</v>
      </c>
      <c r="P117" s="26">
        <v>2</v>
      </c>
      <c r="Q117" s="27">
        <v>556</v>
      </c>
      <c r="R117" s="3">
        <v>0</v>
      </c>
      <c r="S117" s="3">
        <v>837</v>
      </c>
      <c r="T117" s="28">
        <f t="shared" si="1"/>
        <v>11</v>
      </c>
      <c r="U117" s="4"/>
    </row>
    <row r="118" spans="1:21">
      <c r="A118" s="26">
        <v>116</v>
      </c>
      <c r="B118" s="26">
        <v>116</v>
      </c>
      <c r="C118" s="4" t="s">
        <v>264</v>
      </c>
      <c r="D118" s="26">
        <v>2</v>
      </c>
      <c r="E118" s="26">
        <v>220</v>
      </c>
      <c r="F118" s="26">
        <v>307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1</v>
      </c>
      <c r="N118" s="26">
        <v>530</v>
      </c>
      <c r="O118" s="26">
        <v>0</v>
      </c>
      <c r="P118" s="26">
        <v>4</v>
      </c>
      <c r="Q118" s="27">
        <v>534</v>
      </c>
      <c r="R118" s="3">
        <v>0</v>
      </c>
      <c r="S118" s="3">
        <v>774</v>
      </c>
      <c r="T118" s="28">
        <f t="shared" si="1"/>
        <v>87</v>
      </c>
      <c r="U118" s="4"/>
    </row>
    <row r="119" spans="1:21">
      <c r="A119" s="26">
        <v>117</v>
      </c>
      <c r="B119" s="26">
        <v>117</v>
      </c>
      <c r="C119" s="4" t="s">
        <v>266</v>
      </c>
      <c r="D119" s="26">
        <v>5</v>
      </c>
      <c r="E119" s="26">
        <v>215</v>
      </c>
      <c r="F119" s="26">
        <v>298</v>
      </c>
      <c r="G119" s="26">
        <v>3</v>
      </c>
      <c r="H119" s="26">
        <v>0</v>
      </c>
      <c r="I119" s="26">
        <v>1</v>
      </c>
      <c r="J119" s="26">
        <v>0</v>
      </c>
      <c r="K119" s="26">
        <v>0</v>
      </c>
      <c r="L119" s="26">
        <v>2</v>
      </c>
      <c r="M119" s="26">
        <v>2</v>
      </c>
      <c r="N119" s="26">
        <v>526</v>
      </c>
      <c r="O119" s="26">
        <v>0</v>
      </c>
      <c r="P119" s="26">
        <v>6</v>
      </c>
      <c r="Q119" s="27">
        <v>532</v>
      </c>
      <c r="R119" s="3">
        <v>0</v>
      </c>
      <c r="S119" s="3">
        <v>770</v>
      </c>
      <c r="T119" s="28">
        <f t="shared" si="1"/>
        <v>83</v>
      </c>
      <c r="U119" s="4"/>
    </row>
    <row r="120" spans="1:21">
      <c r="A120" s="26">
        <v>118</v>
      </c>
      <c r="B120" s="26">
        <v>118</v>
      </c>
      <c r="C120" s="4" t="s">
        <v>268</v>
      </c>
      <c r="D120" s="26">
        <v>2</v>
      </c>
      <c r="E120" s="26">
        <v>105</v>
      </c>
      <c r="F120" s="26">
        <v>563</v>
      </c>
      <c r="G120" s="26">
        <v>3</v>
      </c>
      <c r="H120" s="26">
        <v>2</v>
      </c>
      <c r="I120" s="26">
        <v>0</v>
      </c>
      <c r="J120" s="26">
        <v>0</v>
      </c>
      <c r="K120" s="26">
        <v>1</v>
      </c>
      <c r="L120" s="26">
        <v>2</v>
      </c>
      <c r="M120" s="26">
        <v>0</v>
      </c>
      <c r="N120" s="26">
        <v>678</v>
      </c>
      <c r="O120" s="26">
        <v>0</v>
      </c>
      <c r="P120" s="26">
        <v>4</v>
      </c>
      <c r="Q120" s="27">
        <v>682</v>
      </c>
      <c r="R120" s="3">
        <v>0</v>
      </c>
      <c r="S120" s="3">
        <v>900</v>
      </c>
      <c r="T120" s="28">
        <f t="shared" si="1"/>
        <v>458</v>
      </c>
      <c r="U120" s="4"/>
    </row>
    <row r="121" spans="1:21">
      <c r="A121" s="26">
        <v>119</v>
      </c>
      <c r="B121" s="26">
        <v>119</v>
      </c>
      <c r="C121" s="4" t="s">
        <v>270</v>
      </c>
      <c r="D121" s="26">
        <v>6</v>
      </c>
      <c r="E121" s="26">
        <v>604</v>
      </c>
      <c r="F121" s="26">
        <v>345</v>
      </c>
      <c r="G121" s="26">
        <v>0</v>
      </c>
      <c r="H121" s="26">
        <v>0</v>
      </c>
      <c r="I121" s="26">
        <v>0</v>
      </c>
      <c r="J121" s="26">
        <v>0</v>
      </c>
      <c r="K121" s="26">
        <v>1</v>
      </c>
      <c r="L121" s="26">
        <v>0</v>
      </c>
      <c r="M121" s="26">
        <v>3</v>
      </c>
      <c r="N121" s="26">
        <v>959</v>
      </c>
      <c r="O121" s="26">
        <v>0</v>
      </c>
      <c r="P121" s="26">
        <v>9</v>
      </c>
      <c r="Q121" s="27">
        <v>968</v>
      </c>
      <c r="R121" s="3">
        <v>0</v>
      </c>
      <c r="S121" s="3">
        <v>969</v>
      </c>
      <c r="T121" s="28">
        <f t="shared" si="1"/>
        <v>259</v>
      </c>
      <c r="U121" s="4"/>
    </row>
    <row r="122" spans="1:21">
      <c r="A122" s="26">
        <v>120</v>
      </c>
      <c r="B122" s="26">
        <v>120</v>
      </c>
      <c r="C122" s="4" t="s">
        <v>272</v>
      </c>
      <c r="D122" s="26">
        <v>1</v>
      </c>
      <c r="E122" s="26">
        <v>272</v>
      </c>
      <c r="F122" s="26">
        <v>194</v>
      </c>
      <c r="G122" s="26">
        <v>2</v>
      </c>
      <c r="H122" s="26">
        <v>0</v>
      </c>
      <c r="I122" s="26">
        <v>0</v>
      </c>
      <c r="J122" s="26">
        <v>0</v>
      </c>
      <c r="K122" s="26">
        <v>0</v>
      </c>
      <c r="L122" s="26">
        <v>0</v>
      </c>
      <c r="M122" s="26">
        <v>7</v>
      </c>
      <c r="N122" s="26">
        <v>476</v>
      </c>
      <c r="O122" s="26">
        <v>0</v>
      </c>
      <c r="P122" s="26">
        <v>6</v>
      </c>
      <c r="Q122" s="27">
        <v>482</v>
      </c>
      <c r="R122" s="3">
        <v>0</v>
      </c>
      <c r="S122" s="3">
        <v>615</v>
      </c>
      <c r="T122" s="28">
        <f t="shared" si="1"/>
        <v>78</v>
      </c>
      <c r="U122" s="4"/>
    </row>
    <row r="123" spans="1:21">
      <c r="A123" s="26">
        <v>121</v>
      </c>
      <c r="B123" s="26">
        <v>121</v>
      </c>
      <c r="C123" s="4" t="s">
        <v>274</v>
      </c>
      <c r="D123" s="26">
        <v>4</v>
      </c>
      <c r="E123" s="26">
        <v>347</v>
      </c>
      <c r="F123" s="26">
        <v>451</v>
      </c>
      <c r="G123" s="26">
        <v>3</v>
      </c>
      <c r="H123" s="26">
        <v>1</v>
      </c>
      <c r="I123" s="26">
        <v>0</v>
      </c>
      <c r="J123" s="26">
        <v>1</v>
      </c>
      <c r="K123" s="26">
        <v>1</v>
      </c>
      <c r="L123" s="26">
        <v>2</v>
      </c>
      <c r="M123" s="26">
        <v>0</v>
      </c>
      <c r="N123" s="26">
        <v>810</v>
      </c>
      <c r="O123" s="26">
        <v>0</v>
      </c>
      <c r="P123" s="26">
        <v>3</v>
      </c>
      <c r="Q123" s="27">
        <v>813</v>
      </c>
      <c r="R123" s="3">
        <v>0</v>
      </c>
      <c r="S123" s="3">
        <v>1034</v>
      </c>
      <c r="T123" s="28">
        <f t="shared" si="1"/>
        <v>104</v>
      </c>
      <c r="U123" s="4"/>
    </row>
    <row r="124" spans="1:21">
      <c r="A124" s="26">
        <v>122</v>
      </c>
      <c r="B124" s="26">
        <v>122</v>
      </c>
      <c r="C124" s="4" t="s">
        <v>276</v>
      </c>
      <c r="D124" s="26">
        <v>0</v>
      </c>
      <c r="E124" s="26">
        <v>219</v>
      </c>
      <c r="F124" s="26">
        <v>107</v>
      </c>
      <c r="G124" s="26">
        <v>1</v>
      </c>
      <c r="H124" s="26">
        <v>0</v>
      </c>
      <c r="I124" s="26">
        <v>0</v>
      </c>
      <c r="J124" s="26">
        <v>0</v>
      </c>
      <c r="K124" s="26">
        <v>0</v>
      </c>
      <c r="L124" s="26">
        <v>1</v>
      </c>
      <c r="M124" s="26">
        <v>1</v>
      </c>
      <c r="N124" s="26">
        <v>329</v>
      </c>
      <c r="O124" s="26">
        <v>0</v>
      </c>
      <c r="P124" s="26">
        <v>11</v>
      </c>
      <c r="Q124" s="27">
        <v>340</v>
      </c>
      <c r="R124" s="3">
        <v>0</v>
      </c>
      <c r="S124" s="3">
        <v>379</v>
      </c>
      <c r="T124" s="28">
        <f t="shared" si="1"/>
        <v>112</v>
      </c>
      <c r="U124" s="4"/>
    </row>
    <row r="125" spans="1:21">
      <c r="A125" s="26">
        <v>123</v>
      </c>
      <c r="B125" s="26">
        <v>123</v>
      </c>
      <c r="C125" s="4" t="s">
        <v>278</v>
      </c>
      <c r="D125" s="26">
        <v>3</v>
      </c>
      <c r="E125" s="26">
        <v>759</v>
      </c>
      <c r="F125" s="26">
        <v>291</v>
      </c>
      <c r="G125" s="26">
        <v>2</v>
      </c>
      <c r="H125" s="26">
        <v>0</v>
      </c>
      <c r="I125" s="26">
        <v>0</v>
      </c>
      <c r="J125" s="26">
        <v>1</v>
      </c>
      <c r="K125" s="26">
        <v>2</v>
      </c>
      <c r="L125" s="26">
        <v>3</v>
      </c>
      <c r="M125" s="26">
        <v>1</v>
      </c>
      <c r="N125" s="26">
        <v>1062</v>
      </c>
      <c r="O125" s="26">
        <v>0</v>
      </c>
      <c r="P125" s="26">
        <v>12</v>
      </c>
      <c r="Q125" s="27">
        <v>1074</v>
      </c>
      <c r="R125" s="3">
        <v>0</v>
      </c>
      <c r="S125" s="3">
        <v>1473</v>
      </c>
      <c r="T125" s="28">
        <f t="shared" si="1"/>
        <v>468</v>
      </c>
      <c r="U125" s="4"/>
    </row>
    <row r="126" spans="1:21">
      <c r="A126" s="26">
        <v>124</v>
      </c>
      <c r="B126" s="26">
        <v>124</v>
      </c>
      <c r="C126" s="4" t="s">
        <v>280</v>
      </c>
      <c r="D126" s="26">
        <v>1</v>
      </c>
      <c r="E126" s="26">
        <v>215</v>
      </c>
      <c r="F126" s="26">
        <v>223</v>
      </c>
      <c r="G126" s="26">
        <v>0</v>
      </c>
      <c r="H126" s="26">
        <v>1</v>
      </c>
      <c r="I126" s="26">
        <v>0</v>
      </c>
      <c r="J126" s="26">
        <v>0</v>
      </c>
      <c r="K126" s="26">
        <v>3</v>
      </c>
      <c r="L126" s="26">
        <v>2</v>
      </c>
      <c r="M126" s="26">
        <v>2</v>
      </c>
      <c r="N126" s="26">
        <v>447</v>
      </c>
      <c r="O126" s="26">
        <v>0</v>
      </c>
      <c r="P126" s="26">
        <v>4</v>
      </c>
      <c r="Q126" s="27">
        <v>451</v>
      </c>
      <c r="R126" s="3">
        <v>0</v>
      </c>
      <c r="S126" s="3">
        <v>572</v>
      </c>
      <c r="T126" s="28">
        <f t="shared" si="1"/>
        <v>8</v>
      </c>
      <c r="U126" s="4"/>
    </row>
    <row r="127" spans="1:21">
      <c r="A127" s="26">
        <v>125</v>
      </c>
      <c r="B127" s="26">
        <v>125</v>
      </c>
      <c r="C127" s="4" t="s">
        <v>282</v>
      </c>
      <c r="D127" s="26">
        <v>6</v>
      </c>
      <c r="E127" s="26">
        <v>257</v>
      </c>
      <c r="F127" s="26">
        <v>197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460</v>
      </c>
      <c r="O127" s="26">
        <v>0</v>
      </c>
      <c r="P127" s="26">
        <v>7</v>
      </c>
      <c r="Q127" s="27">
        <v>467</v>
      </c>
      <c r="R127" s="3">
        <v>0</v>
      </c>
      <c r="S127" s="3">
        <v>634</v>
      </c>
      <c r="T127" s="28">
        <f t="shared" si="1"/>
        <v>60</v>
      </c>
      <c r="U127" s="4"/>
    </row>
    <row r="128" spans="1:21">
      <c r="A128" s="26">
        <v>126</v>
      </c>
      <c r="B128" s="26">
        <v>126</v>
      </c>
      <c r="C128" s="4" t="s">
        <v>284</v>
      </c>
      <c r="D128" s="26">
        <v>2</v>
      </c>
      <c r="E128" s="26">
        <v>156</v>
      </c>
      <c r="F128" s="26">
        <v>224</v>
      </c>
      <c r="G128" s="26">
        <v>1</v>
      </c>
      <c r="H128" s="26">
        <v>0</v>
      </c>
      <c r="I128" s="26">
        <v>0</v>
      </c>
      <c r="J128" s="26">
        <v>0</v>
      </c>
      <c r="K128" s="26">
        <v>2</v>
      </c>
      <c r="L128" s="26">
        <v>0</v>
      </c>
      <c r="M128" s="26">
        <v>0</v>
      </c>
      <c r="N128" s="26">
        <v>385</v>
      </c>
      <c r="O128" s="26">
        <v>0</v>
      </c>
      <c r="P128" s="26">
        <v>4</v>
      </c>
      <c r="Q128" s="27">
        <v>389</v>
      </c>
      <c r="R128" s="3">
        <v>0</v>
      </c>
      <c r="S128" s="3">
        <v>547</v>
      </c>
      <c r="T128" s="28">
        <f t="shared" si="1"/>
        <v>68</v>
      </c>
      <c r="U128" s="4"/>
    </row>
    <row r="129" spans="1:21">
      <c r="A129" s="26">
        <v>127</v>
      </c>
      <c r="B129" s="26">
        <v>127</v>
      </c>
      <c r="C129" s="4" t="s">
        <v>286</v>
      </c>
      <c r="D129" s="26">
        <v>1</v>
      </c>
      <c r="E129" s="26">
        <v>403</v>
      </c>
      <c r="F129" s="26">
        <v>214</v>
      </c>
      <c r="G129" s="26">
        <v>1</v>
      </c>
      <c r="H129" s="26">
        <v>0</v>
      </c>
      <c r="I129" s="26">
        <v>0</v>
      </c>
      <c r="J129" s="26">
        <v>1</v>
      </c>
      <c r="K129" s="26">
        <v>2</v>
      </c>
      <c r="L129" s="26">
        <v>1</v>
      </c>
      <c r="M129" s="26">
        <v>2</v>
      </c>
      <c r="N129" s="26">
        <v>625</v>
      </c>
      <c r="O129" s="26">
        <v>0</v>
      </c>
      <c r="P129" s="26">
        <v>4</v>
      </c>
      <c r="Q129" s="27">
        <v>629</v>
      </c>
      <c r="R129" s="3">
        <v>0</v>
      </c>
      <c r="S129" s="3">
        <v>843</v>
      </c>
      <c r="T129" s="28">
        <f t="shared" si="1"/>
        <v>189</v>
      </c>
      <c r="U129" s="4"/>
    </row>
    <row r="130" spans="1:21">
      <c r="A130" s="26">
        <v>128</v>
      </c>
      <c r="B130" s="26">
        <v>128</v>
      </c>
      <c r="C130" s="4" t="s">
        <v>288</v>
      </c>
      <c r="D130" s="26">
        <v>1</v>
      </c>
      <c r="E130" s="26">
        <v>359</v>
      </c>
      <c r="F130" s="26">
        <v>356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716</v>
      </c>
      <c r="O130" s="26">
        <v>0</v>
      </c>
      <c r="P130" s="26">
        <v>5</v>
      </c>
      <c r="Q130" s="27">
        <v>721</v>
      </c>
      <c r="R130" s="3">
        <v>0</v>
      </c>
      <c r="S130" s="3">
        <v>902</v>
      </c>
      <c r="T130" s="28">
        <f t="shared" si="1"/>
        <v>3</v>
      </c>
      <c r="U130" s="4"/>
    </row>
    <row r="131" spans="1:21">
      <c r="A131" s="26">
        <v>129</v>
      </c>
      <c r="B131" s="26">
        <v>129</v>
      </c>
      <c r="C131" s="4" t="s">
        <v>290</v>
      </c>
      <c r="D131" s="26">
        <v>0</v>
      </c>
      <c r="E131" s="26">
        <v>248</v>
      </c>
      <c r="F131" s="26">
        <v>213</v>
      </c>
      <c r="G131" s="26">
        <v>0</v>
      </c>
      <c r="H131" s="26">
        <v>0</v>
      </c>
      <c r="I131" s="26">
        <v>1</v>
      </c>
      <c r="J131" s="26">
        <v>0</v>
      </c>
      <c r="K131" s="26">
        <v>0</v>
      </c>
      <c r="L131" s="26">
        <v>1</v>
      </c>
      <c r="M131" s="26">
        <v>0</v>
      </c>
      <c r="N131" s="26">
        <v>463</v>
      </c>
      <c r="O131" s="26">
        <v>0</v>
      </c>
      <c r="P131" s="26">
        <v>4</v>
      </c>
      <c r="Q131" s="27">
        <v>467</v>
      </c>
      <c r="R131" s="3">
        <v>0</v>
      </c>
      <c r="S131" s="3">
        <v>648</v>
      </c>
      <c r="T131" s="28">
        <f t="shared" si="1"/>
        <v>35</v>
      </c>
      <c r="U131" s="4"/>
    </row>
    <row r="132" spans="1:21">
      <c r="A132" s="26">
        <v>130</v>
      </c>
      <c r="B132" s="26">
        <v>130</v>
      </c>
      <c r="C132" s="4" t="s">
        <v>292</v>
      </c>
      <c r="D132" s="26">
        <v>1</v>
      </c>
      <c r="E132" s="26">
        <v>266</v>
      </c>
      <c r="F132" s="26">
        <v>210</v>
      </c>
      <c r="G132" s="26">
        <v>3</v>
      </c>
      <c r="H132" s="26">
        <v>2</v>
      </c>
      <c r="I132" s="26">
        <v>0</v>
      </c>
      <c r="J132" s="26">
        <v>0</v>
      </c>
      <c r="K132" s="26">
        <v>2</v>
      </c>
      <c r="L132" s="26">
        <v>0</v>
      </c>
      <c r="M132" s="26">
        <v>1</v>
      </c>
      <c r="N132" s="26">
        <v>485</v>
      </c>
      <c r="O132" s="26">
        <v>0</v>
      </c>
      <c r="P132" s="26">
        <v>7</v>
      </c>
      <c r="Q132" s="27">
        <v>492</v>
      </c>
      <c r="R132" s="3">
        <v>0</v>
      </c>
      <c r="S132" s="3">
        <v>694</v>
      </c>
      <c r="T132" s="28">
        <f t="shared" ref="T132:T195" si="2">MAX(E132,F132)-MIN(E132,F132)</f>
        <v>56</v>
      </c>
      <c r="U132" s="4"/>
    </row>
    <row r="133" spans="1:21">
      <c r="A133" s="26">
        <v>131</v>
      </c>
      <c r="B133" s="26">
        <v>131</v>
      </c>
      <c r="C133" s="4" t="s">
        <v>294</v>
      </c>
      <c r="D133" s="26">
        <v>1</v>
      </c>
      <c r="E133" s="26">
        <v>167</v>
      </c>
      <c r="F133" s="26">
        <v>123</v>
      </c>
      <c r="G133" s="26">
        <v>0</v>
      </c>
      <c r="H133" s="26">
        <v>0</v>
      </c>
      <c r="I133" s="26">
        <v>0</v>
      </c>
      <c r="J133" s="26">
        <v>1</v>
      </c>
      <c r="K133" s="26">
        <v>0</v>
      </c>
      <c r="L133" s="26">
        <v>0</v>
      </c>
      <c r="M133" s="26">
        <v>1</v>
      </c>
      <c r="N133" s="26">
        <v>293</v>
      </c>
      <c r="O133" s="26">
        <v>0</v>
      </c>
      <c r="P133" s="26">
        <v>5</v>
      </c>
      <c r="Q133" s="27">
        <v>298</v>
      </c>
      <c r="R133" s="3">
        <v>0</v>
      </c>
      <c r="S133" s="3">
        <v>362</v>
      </c>
      <c r="T133" s="28">
        <f t="shared" si="2"/>
        <v>44</v>
      </c>
      <c r="U133" s="4"/>
    </row>
    <row r="134" spans="1:21">
      <c r="A134" s="26">
        <v>132</v>
      </c>
      <c r="B134" s="26">
        <v>132</v>
      </c>
      <c r="C134" s="4" t="s">
        <v>296</v>
      </c>
      <c r="D134" s="26">
        <v>8</v>
      </c>
      <c r="E134" s="26">
        <v>198</v>
      </c>
      <c r="F134" s="26">
        <v>325</v>
      </c>
      <c r="G134" s="26">
        <v>1</v>
      </c>
      <c r="H134" s="26">
        <v>0</v>
      </c>
      <c r="I134" s="26">
        <v>0</v>
      </c>
      <c r="J134" s="26">
        <v>0</v>
      </c>
      <c r="K134" s="26">
        <v>0</v>
      </c>
      <c r="L134" s="26">
        <v>1</v>
      </c>
      <c r="M134" s="26">
        <v>0</v>
      </c>
      <c r="N134" s="26">
        <v>533</v>
      </c>
      <c r="O134" s="26">
        <v>0</v>
      </c>
      <c r="P134" s="26">
        <v>6</v>
      </c>
      <c r="Q134" s="27">
        <v>539</v>
      </c>
      <c r="R134" s="3">
        <v>0</v>
      </c>
      <c r="S134" s="3">
        <v>672</v>
      </c>
      <c r="T134" s="28">
        <f t="shared" si="2"/>
        <v>127</v>
      </c>
      <c r="U134" s="4"/>
    </row>
    <row r="135" spans="1:21">
      <c r="A135" s="26">
        <v>133</v>
      </c>
      <c r="B135" s="26">
        <v>133</v>
      </c>
      <c r="C135" s="4" t="s">
        <v>298</v>
      </c>
      <c r="D135" s="26">
        <v>3</v>
      </c>
      <c r="E135" s="26">
        <v>161</v>
      </c>
      <c r="F135" s="26">
        <v>348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>
        <v>2</v>
      </c>
      <c r="N135" s="26">
        <v>514</v>
      </c>
      <c r="O135" s="26">
        <v>0</v>
      </c>
      <c r="P135" s="26">
        <v>8</v>
      </c>
      <c r="Q135" s="27">
        <v>522</v>
      </c>
      <c r="R135" s="3">
        <v>0</v>
      </c>
      <c r="S135" s="3">
        <v>678</v>
      </c>
      <c r="T135" s="28">
        <f t="shared" si="2"/>
        <v>187</v>
      </c>
      <c r="U135" s="4"/>
    </row>
    <row r="136" spans="1:21">
      <c r="A136" s="26">
        <v>134</v>
      </c>
      <c r="B136" s="26">
        <v>134</v>
      </c>
      <c r="C136" s="4" t="s">
        <v>300</v>
      </c>
      <c r="D136" s="26">
        <v>0</v>
      </c>
      <c r="E136" s="26">
        <v>239</v>
      </c>
      <c r="F136" s="26">
        <v>242</v>
      </c>
      <c r="G136" s="26">
        <v>4</v>
      </c>
      <c r="H136" s="26">
        <v>1</v>
      </c>
      <c r="I136" s="26">
        <v>0</v>
      </c>
      <c r="J136" s="26">
        <v>0</v>
      </c>
      <c r="K136" s="26">
        <v>1</v>
      </c>
      <c r="L136" s="26">
        <v>0</v>
      </c>
      <c r="M136" s="26">
        <v>0</v>
      </c>
      <c r="N136" s="26">
        <v>487</v>
      </c>
      <c r="O136" s="26">
        <v>0</v>
      </c>
      <c r="P136" s="26">
        <v>5</v>
      </c>
      <c r="Q136" s="27">
        <v>492</v>
      </c>
      <c r="R136" s="3">
        <v>0</v>
      </c>
      <c r="S136" s="3">
        <v>613</v>
      </c>
      <c r="T136" s="28">
        <f t="shared" si="2"/>
        <v>3</v>
      </c>
      <c r="U136" s="4"/>
    </row>
    <row r="137" spans="1:21">
      <c r="A137" s="26">
        <v>135</v>
      </c>
      <c r="B137" s="26">
        <v>135</v>
      </c>
      <c r="C137" s="4" t="s">
        <v>302</v>
      </c>
      <c r="D137" s="26">
        <v>1</v>
      </c>
      <c r="E137" s="26">
        <v>197</v>
      </c>
      <c r="F137" s="26">
        <v>209</v>
      </c>
      <c r="G137" s="26">
        <v>1</v>
      </c>
      <c r="H137" s="26">
        <v>0</v>
      </c>
      <c r="I137" s="26">
        <v>0</v>
      </c>
      <c r="J137" s="26">
        <v>0</v>
      </c>
      <c r="K137" s="26">
        <v>0</v>
      </c>
      <c r="L137" s="26">
        <v>1</v>
      </c>
      <c r="M137" s="26">
        <v>0</v>
      </c>
      <c r="N137" s="26">
        <v>409</v>
      </c>
      <c r="O137" s="26">
        <v>0</v>
      </c>
      <c r="P137" s="26">
        <v>2</v>
      </c>
      <c r="Q137" s="27">
        <v>411</v>
      </c>
      <c r="R137" s="3">
        <v>0</v>
      </c>
      <c r="S137" s="3">
        <v>539</v>
      </c>
      <c r="T137" s="28">
        <f t="shared" si="2"/>
        <v>12</v>
      </c>
      <c r="U137" s="4"/>
    </row>
    <row r="138" spans="1:21">
      <c r="A138" s="26">
        <v>136</v>
      </c>
      <c r="B138" s="26">
        <v>136</v>
      </c>
      <c r="C138" s="4" t="s">
        <v>304</v>
      </c>
      <c r="D138" s="26">
        <v>1</v>
      </c>
      <c r="E138" s="26">
        <v>195</v>
      </c>
      <c r="F138" s="26">
        <v>562</v>
      </c>
      <c r="G138" s="26">
        <v>1</v>
      </c>
      <c r="H138" s="26">
        <v>1</v>
      </c>
      <c r="I138" s="26">
        <v>0</v>
      </c>
      <c r="J138" s="26">
        <v>0</v>
      </c>
      <c r="K138" s="26">
        <v>0</v>
      </c>
      <c r="L138" s="26">
        <v>1</v>
      </c>
      <c r="M138" s="26">
        <v>2</v>
      </c>
      <c r="N138" s="26">
        <v>763</v>
      </c>
      <c r="O138" s="26">
        <v>0</v>
      </c>
      <c r="P138" s="26">
        <v>2</v>
      </c>
      <c r="Q138" s="27">
        <v>765</v>
      </c>
      <c r="R138" s="3">
        <v>0</v>
      </c>
      <c r="S138" s="3">
        <v>1051</v>
      </c>
      <c r="T138" s="28">
        <f t="shared" si="2"/>
        <v>367</v>
      </c>
      <c r="U138" s="4"/>
    </row>
    <row r="139" spans="1:21">
      <c r="A139" s="26">
        <v>137</v>
      </c>
      <c r="B139" s="26">
        <v>137</v>
      </c>
      <c r="C139" s="4" t="s">
        <v>306</v>
      </c>
      <c r="D139" s="26">
        <v>0</v>
      </c>
      <c r="E139" s="26">
        <v>382</v>
      </c>
      <c r="F139" s="26">
        <v>316</v>
      </c>
      <c r="G139" s="26">
        <v>1</v>
      </c>
      <c r="H139" s="26">
        <v>0</v>
      </c>
      <c r="I139" s="26">
        <v>1</v>
      </c>
      <c r="J139" s="26">
        <v>0</v>
      </c>
      <c r="K139" s="26">
        <v>0</v>
      </c>
      <c r="L139" s="26">
        <v>0</v>
      </c>
      <c r="M139" s="26">
        <v>1</v>
      </c>
      <c r="N139" s="26">
        <v>701</v>
      </c>
      <c r="O139" s="26">
        <v>0</v>
      </c>
      <c r="P139" s="26">
        <v>5</v>
      </c>
      <c r="Q139" s="27">
        <v>706</v>
      </c>
      <c r="R139" s="3">
        <v>0</v>
      </c>
      <c r="S139" s="3">
        <v>1057</v>
      </c>
      <c r="T139" s="28">
        <f t="shared" si="2"/>
        <v>66</v>
      </c>
      <c r="U139" s="4"/>
    </row>
    <row r="140" spans="1:21">
      <c r="A140" s="26">
        <v>138</v>
      </c>
      <c r="B140" s="26">
        <v>138</v>
      </c>
      <c r="C140" s="4" t="s">
        <v>308</v>
      </c>
      <c r="D140" s="26">
        <v>0</v>
      </c>
      <c r="E140" s="26">
        <v>307</v>
      </c>
      <c r="F140" s="26">
        <v>198</v>
      </c>
      <c r="G140" s="26">
        <v>1</v>
      </c>
      <c r="H140" s="26">
        <v>1</v>
      </c>
      <c r="I140" s="26">
        <v>0</v>
      </c>
      <c r="J140" s="26">
        <v>0</v>
      </c>
      <c r="K140" s="26">
        <v>0</v>
      </c>
      <c r="L140" s="26">
        <v>0</v>
      </c>
      <c r="M140" s="26">
        <v>0</v>
      </c>
      <c r="N140" s="26">
        <v>507</v>
      </c>
      <c r="O140" s="26">
        <v>0</v>
      </c>
      <c r="P140" s="26">
        <v>5</v>
      </c>
      <c r="Q140" s="27">
        <v>512</v>
      </c>
      <c r="R140" s="3">
        <v>0</v>
      </c>
      <c r="S140" s="3">
        <v>678</v>
      </c>
      <c r="T140" s="28">
        <f t="shared" si="2"/>
        <v>109</v>
      </c>
      <c r="U140" s="4"/>
    </row>
    <row r="141" spans="1:21">
      <c r="A141" s="26">
        <v>139</v>
      </c>
      <c r="B141" s="26">
        <v>139</v>
      </c>
      <c r="C141" s="4" t="s">
        <v>310</v>
      </c>
      <c r="D141" s="26">
        <v>0</v>
      </c>
      <c r="E141" s="26">
        <v>287</v>
      </c>
      <c r="F141" s="26">
        <v>209</v>
      </c>
      <c r="G141" s="26">
        <v>2</v>
      </c>
      <c r="H141" s="26">
        <v>0</v>
      </c>
      <c r="I141" s="26">
        <v>1</v>
      </c>
      <c r="J141" s="26">
        <v>1</v>
      </c>
      <c r="K141" s="26">
        <v>1</v>
      </c>
      <c r="L141" s="26">
        <v>0</v>
      </c>
      <c r="M141" s="26">
        <v>0</v>
      </c>
      <c r="N141" s="26">
        <v>501</v>
      </c>
      <c r="O141" s="26">
        <v>0</v>
      </c>
      <c r="P141" s="26">
        <v>6</v>
      </c>
      <c r="Q141" s="27">
        <v>507</v>
      </c>
      <c r="R141" s="3">
        <v>0</v>
      </c>
      <c r="S141" s="3">
        <v>736</v>
      </c>
      <c r="T141" s="28">
        <f t="shared" si="2"/>
        <v>78</v>
      </c>
      <c r="U141" s="4"/>
    </row>
    <row r="142" spans="1:21">
      <c r="A142" s="29">
        <v>140</v>
      </c>
      <c r="B142" s="29">
        <v>140</v>
      </c>
      <c r="C142" s="4" t="s">
        <v>312</v>
      </c>
      <c r="D142" s="26">
        <v>2</v>
      </c>
      <c r="E142" s="26">
        <v>306</v>
      </c>
      <c r="F142" s="26">
        <v>280</v>
      </c>
      <c r="G142" s="26">
        <v>1</v>
      </c>
      <c r="H142" s="26">
        <v>0</v>
      </c>
      <c r="I142" s="26">
        <v>0</v>
      </c>
      <c r="J142" s="26">
        <v>4</v>
      </c>
      <c r="K142" s="26">
        <v>1</v>
      </c>
      <c r="L142" s="26">
        <v>0</v>
      </c>
      <c r="M142" s="26">
        <v>2</v>
      </c>
      <c r="N142" s="26">
        <v>596</v>
      </c>
      <c r="O142" s="26">
        <v>0</v>
      </c>
      <c r="P142" s="26">
        <v>6</v>
      </c>
      <c r="Q142" s="27">
        <v>602</v>
      </c>
      <c r="R142" s="3">
        <v>0</v>
      </c>
      <c r="S142" s="3">
        <v>864</v>
      </c>
      <c r="T142" s="28">
        <f t="shared" si="2"/>
        <v>26</v>
      </c>
      <c r="U142" s="4"/>
    </row>
    <row r="143" spans="1:21">
      <c r="A143" s="26">
        <v>141</v>
      </c>
      <c r="B143" s="26">
        <v>141</v>
      </c>
      <c r="C143" s="4" t="s">
        <v>314</v>
      </c>
      <c r="D143" s="26">
        <v>2</v>
      </c>
      <c r="E143" s="26">
        <v>460</v>
      </c>
      <c r="F143" s="26">
        <v>268</v>
      </c>
      <c r="G143" s="26">
        <v>3</v>
      </c>
      <c r="H143" s="26">
        <v>0</v>
      </c>
      <c r="I143" s="26">
        <v>0</v>
      </c>
      <c r="J143" s="26">
        <v>0</v>
      </c>
      <c r="K143" s="26">
        <v>2</v>
      </c>
      <c r="L143" s="26">
        <v>1</v>
      </c>
      <c r="M143" s="26">
        <v>2</v>
      </c>
      <c r="N143" s="26">
        <v>738</v>
      </c>
      <c r="O143" s="26">
        <v>0</v>
      </c>
      <c r="P143" s="26">
        <v>12</v>
      </c>
      <c r="Q143" s="27">
        <v>750</v>
      </c>
      <c r="R143" s="3">
        <v>0</v>
      </c>
      <c r="S143" s="3">
        <v>950</v>
      </c>
      <c r="T143" s="28">
        <f t="shared" si="2"/>
        <v>192</v>
      </c>
      <c r="U143" s="4"/>
    </row>
    <row r="144" spans="1:21">
      <c r="A144" s="26">
        <v>142</v>
      </c>
      <c r="B144" s="26">
        <v>142</v>
      </c>
      <c r="C144" s="4" t="s">
        <v>316</v>
      </c>
      <c r="D144" s="26">
        <v>4</v>
      </c>
      <c r="E144" s="26">
        <v>302</v>
      </c>
      <c r="F144" s="26">
        <v>260</v>
      </c>
      <c r="G144" s="26">
        <v>1</v>
      </c>
      <c r="H144" s="26">
        <v>0</v>
      </c>
      <c r="I144" s="26">
        <v>0</v>
      </c>
      <c r="J144" s="26">
        <v>0</v>
      </c>
      <c r="K144" s="26">
        <v>1</v>
      </c>
      <c r="L144" s="26">
        <v>6</v>
      </c>
      <c r="M144" s="26">
        <v>1</v>
      </c>
      <c r="N144" s="26">
        <v>575</v>
      </c>
      <c r="O144" s="26">
        <v>0</v>
      </c>
      <c r="P144" s="26">
        <v>4</v>
      </c>
      <c r="Q144" s="27">
        <v>579</v>
      </c>
      <c r="R144" s="3">
        <v>0</v>
      </c>
      <c r="S144" s="3">
        <v>732</v>
      </c>
      <c r="T144" s="28">
        <f t="shared" si="2"/>
        <v>42</v>
      </c>
      <c r="U144" s="4"/>
    </row>
    <row r="145" spans="1:21">
      <c r="A145" s="26">
        <v>143</v>
      </c>
      <c r="B145" s="26">
        <v>143</v>
      </c>
      <c r="C145" s="4" t="s">
        <v>318</v>
      </c>
      <c r="D145" s="26">
        <v>1</v>
      </c>
      <c r="E145" s="26">
        <v>292</v>
      </c>
      <c r="F145" s="26">
        <v>190</v>
      </c>
      <c r="G145" s="26">
        <v>2</v>
      </c>
      <c r="H145" s="26">
        <v>0</v>
      </c>
      <c r="I145" s="26">
        <v>0</v>
      </c>
      <c r="J145" s="26">
        <v>0</v>
      </c>
      <c r="K145" s="26">
        <v>3</v>
      </c>
      <c r="L145" s="26">
        <v>0</v>
      </c>
      <c r="M145" s="26">
        <v>2</v>
      </c>
      <c r="N145" s="26">
        <v>490</v>
      </c>
      <c r="O145" s="26">
        <v>0</v>
      </c>
      <c r="P145" s="26">
        <v>6</v>
      </c>
      <c r="Q145" s="27">
        <v>496</v>
      </c>
      <c r="R145" s="3">
        <v>0</v>
      </c>
      <c r="S145" s="3">
        <v>598</v>
      </c>
      <c r="T145" s="28">
        <f t="shared" si="2"/>
        <v>102</v>
      </c>
      <c r="U145" s="4"/>
    </row>
    <row r="146" spans="1:21">
      <c r="A146" s="26">
        <v>144</v>
      </c>
      <c r="B146" s="26">
        <v>144</v>
      </c>
      <c r="C146" s="4" t="s">
        <v>320</v>
      </c>
      <c r="D146" s="26">
        <v>10</v>
      </c>
      <c r="E146" s="26">
        <v>517</v>
      </c>
      <c r="F146" s="26">
        <v>196</v>
      </c>
      <c r="G146" s="26">
        <v>3</v>
      </c>
      <c r="H146" s="26">
        <v>0</v>
      </c>
      <c r="I146" s="26">
        <v>0</v>
      </c>
      <c r="J146" s="26">
        <v>1</v>
      </c>
      <c r="K146" s="26">
        <v>3</v>
      </c>
      <c r="L146" s="26">
        <v>0</v>
      </c>
      <c r="M146" s="26">
        <v>1</v>
      </c>
      <c r="N146" s="26">
        <v>731</v>
      </c>
      <c r="O146" s="26">
        <v>0</v>
      </c>
      <c r="P146" s="26">
        <v>10</v>
      </c>
      <c r="Q146" s="27">
        <v>741</v>
      </c>
      <c r="R146" s="3">
        <v>0</v>
      </c>
      <c r="S146" s="3">
        <v>929</v>
      </c>
      <c r="T146" s="28">
        <f t="shared" si="2"/>
        <v>321</v>
      </c>
      <c r="U146" s="4"/>
    </row>
    <row r="147" spans="1:21">
      <c r="A147" s="26">
        <v>145</v>
      </c>
      <c r="B147" s="26">
        <v>145</v>
      </c>
      <c r="C147" s="4" t="s">
        <v>322</v>
      </c>
      <c r="D147" s="26">
        <v>6</v>
      </c>
      <c r="E147" s="26">
        <v>494</v>
      </c>
      <c r="F147" s="26">
        <v>286</v>
      </c>
      <c r="G147" s="26">
        <v>3</v>
      </c>
      <c r="H147" s="26">
        <v>2</v>
      </c>
      <c r="I147" s="26">
        <v>0</v>
      </c>
      <c r="J147" s="26">
        <v>0</v>
      </c>
      <c r="K147" s="26">
        <v>0</v>
      </c>
      <c r="L147" s="26">
        <v>3</v>
      </c>
      <c r="M147" s="26">
        <v>3</v>
      </c>
      <c r="N147" s="26">
        <v>797</v>
      </c>
      <c r="O147" s="26">
        <v>0</v>
      </c>
      <c r="P147" s="26">
        <v>5</v>
      </c>
      <c r="Q147" s="27">
        <v>802</v>
      </c>
      <c r="R147" s="3">
        <v>0</v>
      </c>
      <c r="S147" s="3">
        <v>1019</v>
      </c>
      <c r="T147" s="28">
        <f t="shared" si="2"/>
        <v>208</v>
      </c>
      <c r="U147" s="4"/>
    </row>
    <row r="148" spans="1:21">
      <c r="A148" s="26">
        <v>146</v>
      </c>
      <c r="B148" s="26">
        <v>146</v>
      </c>
      <c r="C148" s="4" t="s">
        <v>324</v>
      </c>
      <c r="D148" s="26">
        <v>4</v>
      </c>
      <c r="E148" s="26">
        <v>524</v>
      </c>
      <c r="F148" s="26">
        <v>300</v>
      </c>
      <c r="G148" s="26">
        <v>3</v>
      </c>
      <c r="H148" s="26">
        <v>1</v>
      </c>
      <c r="I148" s="26">
        <v>1</v>
      </c>
      <c r="J148" s="26">
        <v>0</v>
      </c>
      <c r="K148" s="26">
        <v>1</v>
      </c>
      <c r="L148" s="26">
        <v>3</v>
      </c>
      <c r="M148" s="26">
        <v>2</v>
      </c>
      <c r="N148" s="26">
        <v>839</v>
      </c>
      <c r="O148" s="26">
        <v>0</v>
      </c>
      <c r="P148" s="26">
        <v>5</v>
      </c>
      <c r="Q148" s="27">
        <v>844</v>
      </c>
      <c r="R148" s="3">
        <v>0</v>
      </c>
      <c r="S148" s="3">
        <v>1023</v>
      </c>
      <c r="T148" s="28">
        <f t="shared" si="2"/>
        <v>224</v>
      </c>
      <c r="U148" s="4"/>
    </row>
    <row r="149" spans="1:21">
      <c r="A149" s="26">
        <v>147</v>
      </c>
      <c r="B149" s="26">
        <v>147</v>
      </c>
      <c r="C149" s="4" t="s">
        <v>326</v>
      </c>
      <c r="D149" s="26">
        <v>6</v>
      </c>
      <c r="E149" s="26">
        <v>611</v>
      </c>
      <c r="F149" s="26">
        <v>337</v>
      </c>
      <c r="G149" s="26">
        <v>2</v>
      </c>
      <c r="H149" s="26">
        <v>0</v>
      </c>
      <c r="I149" s="26">
        <v>0</v>
      </c>
      <c r="J149" s="26">
        <v>2</v>
      </c>
      <c r="K149" s="26">
        <v>1</v>
      </c>
      <c r="L149" s="26">
        <v>3</v>
      </c>
      <c r="M149" s="26">
        <v>4</v>
      </c>
      <c r="N149" s="26">
        <v>966</v>
      </c>
      <c r="O149" s="26">
        <v>0</v>
      </c>
      <c r="P149" s="26">
        <v>10</v>
      </c>
      <c r="Q149" s="27">
        <v>976</v>
      </c>
      <c r="R149" s="3">
        <v>0</v>
      </c>
      <c r="S149" s="3">
        <v>1260</v>
      </c>
      <c r="T149" s="28">
        <f t="shared" si="2"/>
        <v>274</v>
      </c>
      <c r="U149" s="4"/>
    </row>
    <row r="150" spans="1:21">
      <c r="A150" s="26">
        <v>148</v>
      </c>
      <c r="B150" s="26">
        <v>148</v>
      </c>
      <c r="C150" s="4" t="s">
        <v>328</v>
      </c>
      <c r="D150" s="26">
        <v>8</v>
      </c>
      <c r="E150" s="26">
        <v>626</v>
      </c>
      <c r="F150" s="26">
        <v>215</v>
      </c>
      <c r="G150" s="26">
        <v>3</v>
      </c>
      <c r="H150" s="26">
        <v>0</v>
      </c>
      <c r="I150" s="26">
        <v>1</v>
      </c>
      <c r="J150" s="26">
        <v>1</v>
      </c>
      <c r="K150" s="26">
        <v>0</v>
      </c>
      <c r="L150" s="26">
        <v>4</v>
      </c>
      <c r="M150" s="26">
        <v>6</v>
      </c>
      <c r="N150" s="26">
        <v>864</v>
      </c>
      <c r="O150" s="26">
        <v>0</v>
      </c>
      <c r="P150" s="26">
        <v>4</v>
      </c>
      <c r="Q150" s="27">
        <v>868</v>
      </c>
      <c r="R150" s="3">
        <v>0</v>
      </c>
      <c r="S150" s="3">
        <v>1131</v>
      </c>
      <c r="T150" s="28">
        <f t="shared" si="2"/>
        <v>411</v>
      </c>
      <c r="U150" s="4"/>
    </row>
    <row r="151" spans="1:21">
      <c r="A151" s="26">
        <v>149</v>
      </c>
      <c r="B151" s="26">
        <v>149</v>
      </c>
      <c r="C151" s="4" t="s">
        <v>330</v>
      </c>
      <c r="D151" s="26">
        <v>5</v>
      </c>
      <c r="E151" s="26">
        <v>476</v>
      </c>
      <c r="F151" s="26">
        <v>231</v>
      </c>
      <c r="G151" s="26">
        <v>0</v>
      </c>
      <c r="H151" s="26">
        <v>0</v>
      </c>
      <c r="I151" s="26">
        <v>1</v>
      </c>
      <c r="J151" s="26">
        <v>1</v>
      </c>
      <c r="K151" s="26">
        <v>0</v>
      </c>
      <c r="L151" s="26">
        <v>3</v>
      </c>
      <c r="M151" s="26">
        <v>4</v>
      </c>
      <c r="N151" s="26">
        <v>721</v>
      </c>
      <c r="O151" s="26">
        <v>0</v>
      </c>
      <c r="P151" s="26">
        <v>2</v>
      </c>
      <c r="Q151" s="27">
        <v>723</v>
      </c>
      <c r="R151" s="3">
        <v>0</v>
      </c>
      <c r="S151" s="3">
        <v>973</v>
      </c>
      <c r="T151" s="28">
        <f t="shared" si="2"/>
        <v>245</v>
      </c>
      <c r="U151" s="4"/>
    </row>
    <row r="152" spans="1:21">
      <c r="A152" s="26">
        <v>150</v>
      </c>
      <c r="B152" s="26">
        <v>150</v>
      </c>
      <c r="C152" s="4" t="s">
        <v>332</v>
      </c>
      <c r="D152" s="26">
        <v>5</v>
      </c>
      <c r="E152" s="26">
        <v>544</v>
      </c>
      <c r="F152" s="26">
        <v>230</v>
      </c>
      <c r="G152" s="26">
        <v>2</v>
      </c>
      <c r="H152" s="26">
        <v>0</v>
      </c>
      <c r="I152" s="26">
        <v>1</v>
      </c>
      <c r="J152" s="26">
        <v>2</v>
      </c>
      <c r="K152" s="26">
        <v>0</v>
      </c>
      <c r="L152" s="26">
        <v>3</v>
      </c>
      <c r="M152" s="26">
        <v>0</v>
      </c>
      <c r="N152" s="26">
        <v>787</v>
      </c>
      <c r="O152" s="26">
        <v>0</v>
      </c>
      <c r="P152" s="26">
        <v>4</v>
      </c>
      <c r="Q152" s="27">
        <v>791</v>
      </c>
      <c r="R152" s="3">
        <v>0</v>
      </c>
      <c r="S152" s="3">
        <v>1078</v>
      </c>
      <c r="T152" s="28">
        <f t="shared" si="2"/>
        <v>314</v>
      </c>
      <c r="U152" s="4"/>
    </row>
    <row r="153" spans="1:21">
      <c r="A153" s="26">
        <v>151</v>
      </c>
      <c r="B153" s="26">
        <v>151</v>
      </c>
      <c r="C153" s="4" t="s">
        <v>334</v>
      </c>
      <c r="D153" s="26">
        <v>3</v>
      </c>
      <c r="E153" s="26">
        <v>668</v>
      </c>
      <c r="F153" s="26">
        <v>332</v>
      </c>
      <c r="G153" s="26">
        <v>2</v>
      </c>
      <c r="H153" s="26">
        <v>0</v>
      </c>
      <c r="I153" s="26">
        <v>1</v>
      </c>
      <c r="J153" s="26">
        <v>1</v>
      </c>
      <c r="K153" s="26">
        <v>4</v>
      </c>
      <c r="L153" s="26">
        <v>4</v>
      </c>
      <c r="M153" s="26">
        <v>4</v>
      </c>
      <c r="N153" s="26">
        <v>1019</v>
      </c>
      <c r="O153" s="26">
        <v>0</v>
      </c>
      <c r="P153" s="26">
        <v>5</v>
      </c>
      <c r="Q153" s="27">
        <v>1024</v>
      </c>
      <c r="R153" s="3">
        <v>0</v>
      </c>
      <c r="S153" s="3">
        <v>1211</v>
      </c>
      <c r="T153" s="28">
        <f t="shared" si="2"/>
        <v>336</v>
      </c>
      <c r="U153" s="4"/>
    </row>
    <row r="154" spans="1:21">
      <c r="A154" s="26">
        <v>152</v>
      </c>
      <c r="B154" s="26">
        <v>152</v>
      </c>
      <c r="C154" s="4" t="s">
        <v>336</v>
      </c>
      <c r="D154" s="26">
        <v>3</v>
      </c>
      <c r="E154" s="26">
        <v>513</v>
      </c>
      <c r="F154" s="26">
        <v>405</v>
      </c>
      <c r="G154" s="26">
        <v>9</v>
      </c>
      <c r="H154" s="26">
        <v>0</v>
      </c>
      <c r="I154" s="26">
        <v>0</v>
      </c>
      <c r="J154" s="26">
        <v>0</v>
      </c>
      <c r="K154" s="26">
        <v>1</v>
      </c>
      <c r="L154" s="26">
        <v>4</v>
      </c>
      <c r="M154" s="26">
        <v>1</v>
      </c>
      <c r="N154" s="26">
        <v>936</v>
      </c>
      <c r="O154" s="26">
        <v>0</v>
      </c>
      <c r="P154" s="26">
        <v>3</v>
      </c>
      <c r="Q154" s="27">
        <v>939</v>
      </c>
      <c r="R154" s="3">
        <v>0</v>
      </c>
      <c r="S154" s="3">
        <v>1181</v>
      </c>
      <c r="T154" s="28">
        <f t="shared" si="2"/>
        <v>108</v>
      </c>
      <c r="U154" s="4"/>
    </row>
    <row r="155" spans="1:21">
      <c r="A155" s="26">
        <v>153</v>
      </c>
      <c r="B155" s="26">
        <v>153</v>
      </c>
      <c r="C155" s="4" t="s">
        <v>338</v>
      </c>
      <c r="D155" s="26">
        <v>7</v>
      </c>
      <c r="E155" s="26">
        <v>541</v>
      </c>
      <c r="F155" s="26">
        <v>346</v>
      </c>
      <c r="G155" s="26">
        <v>2</v>
      </c>
      <c r="H155" s="26">
        <v>0</v>
      </c>
      <c r="I155" s="26">
        <v>1</v>
      </c>
      <c r="J155" s="26">
        <v>0</v>
      </c>
      <c r="K155" s="26">
        <v>0</v>
      </c>
      <c r="L155" s="26">
        <v>0</v>
      </c>
      <c r="M155" s="26">
        <v>1</v>
      </c>
      <c r="N155" s="26">
        <v>898</v>
      </c>
      <c r="O155" s="26">
        <v>0</v>
      </c>
      <c r="P155" s="26">
        <v>4</v>
      </c>
      <c r="Q155" s="27">
        <v>902</v>
      </c>
      <c r="R155" s="3">
        <v>0</v>
      </c>
      <c r="S155" s="3">
        <v>1183</v>
      </c>
      <c r="T155" s="28">
        <f t="shared" si="2"/>
        <v>195</v>
      </c>
      <c r="U155" s="4"/>
    </row>
    <row r="156" spans="1:21">
      <c r="A156" s="26">
        <v>154</v>
      </c>
      <c r="B156" s="26">
        <v>154</v>
      </c>
      <c r="C156" s="4" t="s">
        <v>340</v>
      </c>
      <c r="D156" s="26">
        <v>6</v>
      </c>
      <c r="E156" s="26">
        <v>283</v>
      </c>
      <c r="F156" s="26">
        <v>394</v>
      </c>
      <c r="G156" s="26">
        <v>3</v>
      </c>
      <c r="H156" s="26">
        <v>1</v>
      </c>
      <c r="I156" s="26">
        <v>0</v>
      </c>
      <c r="J156" s="26">
        <v>3</v>
      </c>
      <c r="K156" s="26">
        <v>0</v>
      </c>
      <c r="L156" s="26">
        <v>3</v>
      </c>
      <c r="M156" s="26">
        <v>0</v>
      </c>
      <c r="N156" s="26">
        <v>693</v>
      </c>
      <c r="O156" s="26">
        <v>0</v>
      </c>
      <c r="P156" s="26">
        <v>1</v>
      </c>
      <c r="Q156" s="27">
        <v>694</v>
      </c>
      <c r="R156" s="3">
        <v>0</v>
      </c>
      <c r="S156" s="3">
        <v>960</v>
      </c>
      <c r="T156" s="28">
        <f t="shared" si="2"/>
        <v>111</v>
      </c>
      <c r="U156" s="4"/>
    </row>
    <row r="157" spans="1:21">
      <c r="A157" s="26">
        <v>155</v>
      </c>
      <c r="B157" s="26">
        <v>155</v>
      </c>
      <c r="C157" s="4" t="s">
        <v>342</v>
      </c>
      <c r="D157" s="26">
        <v>4</v>
      </c>
      <c r="E157" s="26">
        <v>328</v>
      </c>
      <c r="F157" s="26">
        <v>250</v>
      </c>
      <c r="G157" s="26">
        <v>4</v>
      </c>
      <c r="H157" s="26">
        <v>0</v>
      </c>
      <c r="I157" s="26">
        <v>2</v>
      </c>
      <c r="J157" s="26">
        <v>1</v>
      </c>
      <c r="K157" s="26">
        <v>1</v>
      </c>
      <c r="L157" s="26">
        <v>2</v>
      </c>
      <c r="M157" s="26">
        <v>2</v>
      </c>
      <c r="N157" s="26">
        <v>594</v>
      </c>
      <c r="O157" s="26">
        <v>0</v>
      </c>
      <c r="P157" s="26">
        <v>1</v>
      </c>
      <c r="Q157" s="27">
        <v>595</v>
      </c>
      <c r="R157" s="3">
        <v>0</v>
      </c>
      <c r="S157" s="3">
        <v>775</v>
      </c>
      <c r="T157" s="28">
        <f t="shared" si="2"/>
        <v>78</v>
      </c>
      <c r="U157" s="4"/>
    </row>
    <row r="158" spans="1:21">
      <c r="A158" s="26">
        <v>156</v>
      </c>
      <c r="B158" s="26">
        <v>156</v>
      </c>
      <c r="C158" s="4" t="s">
        <v>344</v>
      </c>
      <c r="D158" s="26">
        <v>4</v>
      </c>
      <c r="E158" s="26">
        <v>248</v>
      </c>
      <c r="F158" s="26">
        <v>240</v>
      </c>
      <c r="G158" s="26">
        <v>1</v>
      </c>
      <c r="H158" s="26">
        <v>0</v>
      </c>
      <c r="I158" s="26">
        <v>1</v>
      </c>
      <c r="J158" s="26">
        <v>0</v>
      </c>
      <c r="K158" s="26">
        <v>1</v>
      </c>
      <c r="L158" s="26">
        <v>0</v>
      </c>
      <c r="M158" s="26">
        <v>0</v>
      </c>
      <c r="N158" s="26">
        <v>495</v>
      </c>
      <c r="O158" s="26">
        <v>0</v>
      </c>
      <c r="P158" s="26">
        <v>2</v>
      </c>
      <c r="Q158" s="27">
        <v>497</v>
      </c>
      <c r="R158" s="3">
        <v>0</v>
      </c>
      <c r="S158" s="3">
        <v>829</v>
      </c>
      <c r="T158" s="28">
        <f t="shared" si="2"/>
        <v>8</v>
      </c>
      <c r="U158" s="4"/>
    </row>
    <row r="159" spans="1:21">
      <c r="A159" s="26">
        <v>157</v>
      </c>
      <c r="B159" s="26">
        <v>157</v>
      </c>
      <c r="C159" s="4" t="s">
        <v>346</v>
      </c>
      <c r="D159" s="26">
        <v>10</v>
      </c>
      <c r="E159" s="26">
        <v>353</v>
      </c>
      <c r="F159" s="26">
        <v>382</v>
      </c>
      <c r="G159" s="26">
        <v>5</v>
      </c>
      <c r="H159" s="26">
        <v>1</v>
      </c>
      <c r="I159" s="26">
        <v>3</v>
      </c>
      <c r="J159" s="26">
        <v>0</v>
      </c>
      <c r="K159" s="26">
        <v>1</v>
      </c>
      <c r="L159" s="26">
        <v>1</v>
      </c>
      <c r="M159" s="26">
        <v>1</v>
      </c>
      <c r="N159" s="26">
        <v>757</v>
      </c>
      <c r="O159" s="26">
        <v>0</v>
      </c>
      <c r="P159" s="26">
        <v>3</v>
      </c>
      <c r="Q159" s="27">
        <v>760</v>
      </c>
      <c r="R159" s="3">
        <v>0</v>
      </c>
      <c r="S159" s="3">
        <v>927</v>
      </c>
      <c r="T159" s="28">
        <f t="shared" si="2"/>
        <v>29</v>
      </c>
      <c r="U159" s="4"/>
    </row>
    <row r="160" spans="1:21">
      <c r="A160" s="26">
        <v>158</v>
      </c>
      <c r="B160" s="26">
        <v>158</v>
      </c>
      <c r="C160" s="4" t="s">
        <v>348</v>
      </c>
      <c r="D160" s="26">
        <v>5</v>
      </c>
      <c r="E160" s="26">
        <v>426</v>
      </c>
      <c r="F160" s="26">
        <v>380</v>
      </c>
      <c r="G160" s="26">
        <v>1</v>
      </c>
      <c r="H160" s="26">
        <v>0</v>
      </c>
      <c r="I160" s="26">
        <v>0</v>
      </c>
      <c r="J160" s="26">
        <v>1</v>
      </c>
      <c r="K160" s="26">
        <v>0</v>
      </c>
      <c r="L160" s="26">
        <v>1</v>
      </c>
      <c r="M160" s="26">
        <v>6</v>
      </c>
      <c r="N160" s="26">
        <v>820</v>
      </c>
      <c r="O160" s="26">
        <v>0</v>
      </c>
      <c r="P160" s="26">
        <v>6</v>
      </c>
      <c r="Q160" s="27">
        <v>826</v>
      </c>
      <c r="R160" s="3">
        <v>0</v>
      </c>
      <c r="S160" s="3">
        <v>1025</v>
      </c>
      <c r="T160" s="28">
        <f t="shared" si="2"/>
        <v>46</v>
      </c>
      <c r="U160" s="4"/>
    </row>
    <row r="161" spans="1:21">
      <c r="A161" s="26">
        <v>159</v>
      </c>
      <c r="B161" s="26">
        <v>159</v>
      </c>
      <c r="C161" s="4" t="s">
        <v>350</v>
      </c>
      <c r="D161" s="26">
        <v>3</v>
      </c>
      <c r="E161" s="26">
        <v>314</v>
      </c>
      <c r="F161" s="26">
        <v>390</v>
      </c>
      <c r="G161" s="26">
        <v>4</v>
      </c>
      <c r="H161" s="26">
        <v>1</v>
      </c>
      <c r="I161" s="26">
        <v>0</v>
      </c>
      <c r="J161" s="26">
        <v>0</v>
      </c>
      <c r="K161" s="26">
        <v>0</v>
      </c>
      <c r="L161" s="26">
        <v>3</v>
      </c>
      <c r="M161" s="26">
        <v>0</v>
      </c>
      <c r="N161" s="26">
        <v>715</v>
      </c>
      <c r="O161" s="26">
        <v>0</v>
      </c>
      <c r="P161" s="26">
        <v>3</v>
      </c>
      <c r="Q161" s="27">
        <v>718</v>
      </c>
      <c r="R161" s="3">
        <v>0</v>
      </c>
      <c r="S161" s="3">
        <v>983</v>
      </c>
      <c r="T161" s="28">
        <f t="shared" si="2"/>
        <v>76</v>
      </c>
      <c r="U161" s="4"/>
    </row>
    <row r="162" spans="1:21">
      <c r="A162" s="26">
        <v>160</v>
      </c>
      <c r="B162" s="26">
        <v>160</v>
      </c>
      <c r="C162" s="4" t="s">
        <v>352</v>
      </c>
      <c r="D162" s="26">
        <v>5</v>
      </c>
      <c r="E162" s="26">
        <v>385</v>
      </c>
      <c r="F162" s="26">
        <v>265</v>
      </c>
      <c r="G162" s="26">
        <v>2</v>
      </c>
      <c r="H162" s="26">
        <v>1</v>
      </c>
      <c r="I162" s="26">
        <v>0</v>
      </c>
      <c r="J162" s="26">
        <v>1</v>
      </c>
      <c r="K162" s="26">
        <v>1</v>
      </c>
      <c r="L162" s="26">
        <v>0</v>
      </c>
      <c r="M162" s="26">
        <v>2</v>
      </c>
      <c r="N162" s="26">
        <v>662</v>
      </c>
      <c r="O162" s="26">
        <v>0</v>
      </c>
      <c r="P162" s="26">
        <v>10</v>
      </c>
      <c r="Q162" s="27">
        <v>672</v>
      </c>
      <c r="R162" s="3">
        <v>0</v>
      </c>
      <c r="S162" s="3">
        <v>929</v>
      </c>
      <c r="T162" s="28">
        <f t="shared" si="2"/>
        <v>120</v>
      </c>
      <c r="U162" s="4"/>
    </row>
    <row r="163" spans="1:21">
      <c r="A163" s="26">
        <v>161</v>
      </c>
      <c r="B163" s="26">
        <v>161</v>
      </c>
      <c r="C163" s="4" t="s">
        <v>354</v>
      </c>
      <c r="D163" s="26">
        <v>3</v>
      </c>
      <c r="E163" s="26">
        <v>809</v>
      </c>
      <c r="F163" s="26">
        <v>273</v>
      </c>
      <c r="G163" s="26">
        <v>1</v>
      </c>
      <c r="H163" s="26">
        <v>1</v>
      </c>
      <c r="I163" s="26">
        <v>0</v>
      </c>
      <c r="J163" s="26">
        <v>0</v>
      </c>
      <c r="K163" s="26">
        <v>0</v>
      </c>
      <c r="L163" s="26">
        <v>0</v>
      </c>
      <c r="M163" s="26">
        <v>3</v>
      </c>
      <c r="N163" s="26">
        <v>1090</v>
      </c>
      <c r="O163" s="26">
        <v>0</v>
      </c>
      <c r="P163" s="26">
        <v>5</v>
      </c>
      <c r="Q163" s="27">
        <v>1095</v>
      </c>
      <c r="R163" s="3">
        <v>0</v>
      </c>
      <c r="S163" s="3">
        <v>923</v>
      </c>
      <c r="T163" s="28">
        <f t="shared" si="2"/>
        <v>536</v>
      </c>
      <c r="U163" s="4"/>
    </row>
    <row r="164" spans="1:21">
      <c r="A164" s="26">
        <v>162</v>
      </c>
      <c r="B164" s="26">
        <v>162</v>
      </c>
      <c r="C164" s="4" t="s">
        <v>356</v>
      </c>
      <c r="D164" s="26">
        <v>2</v>
      </c>
      <c r="E164" s="26">
        <v>209</v>
      </c>
      <c r="F164" s="26">
        <v>112</v>
      </c>
      <c r="G164" s="26">
        <v>0</v>
      </c>
      <c r="H164" s="26">
        <v>0</v>
      </c>
      <c r="I164" s="26">
        <v>2</v>
      </c>
      <c r="J164" s="26">
        <v>0</v>
      </c>
      <c r="K164" s="26">
        <v>1</v>
      </c>
      <c r="L164" s="26">
        <v>0</v>
      </c>
      <c r="M164" s="26">
        <v>1</v>
      </c>
      <c r="N164" s="26">
        <v>327</v>
      </c>
      <c r="O164" s="26">
        <v>0</v>
      </c>
      <c r="P164" s="26">
        <v>4</v>
      </c>
      <c r="Q164" s="27">
        <v>331</v>
      </c>
      <c r="R164" s="3">
        <v>0</v>
      </c>
      <c r="S164" s="3">
        <v>476</v>
      </c>
      <c r="T164" s="28">
        <f t="shared" si="2"/>
        <v>97</v>
      </c>
      <c r="U164" s="4"/>
    </row>
    <row r="165" spans="1:21">
      <c r="A165" s="26">
        <v>163</v>
      </c>
      <c r="B165" s="26">
        <v>163</v>
      </c>
      <c r="C165" s="4" t="s">
        <v>358</v>
      </c>
      <c r="D165" s="26">
        <v>4</v>
      </c>
      <c r="E165" s="26">
        <v>395</v>
      </c>
      <c r="F165" s="26">
        <v>186</v>
      </c>
      <c r="G165" s="26">
        <v>1</v>
      </c>
      <c r="H165" s="26">
        <v>0</v>
      </c>
      <c r="I165" s="26">
        <v>0</v>
      </c>
      <c r="J165" s="26">
        <v>2</v>
      </c>
      <c r="K165" s="26">
        <v>1</v>
      </c>
      <c r="L165" s="26">
        <v>0</v>
      </c>
      <c r="M165" s="26">
        <v>1</v>
      </c>
      <c r="N165" s="26">
        <v>590</v>
      </c>
      <c r="O165" s="26">
        <v>0</v>
      </c>
      <c r="P165" s="26">
        <v>11</v>
      </c>
      <c r="Q165" s="27">
        <v>601</v>
      </c>
      <c r="R165" s="3">
        <v>0</v>
      </c>
      <c r="S165" s="3">
        <v>858</v>
      </c>
      <c r="T165" s="28">
        <f t="shared" si="2"/>
        <v>209</v>
      </c>
      <c r="U165" s="4"/>
    </row>
    <row r="166" spans="1:21">
      <c r="A166" s="26">
        <v>164</v>
      </c>
      <c r="B166" s="26">
        <v>164</v>
      </c>
      <c r="C166" s="4" t="s">
        <v>360</v>
      </c>
      <c r="D166" s="26">
        <v>7</v>
      </c>
      <c r="E166" s="26">
        <v>570</v>
      </c>
      <c r="F166" s="26">
        <v>184</v>
      </c>
      <c r="G166" s="26">
        <v>1</v>
      </c>
      <c r="H166" s="26">
        <v>0</v>
      </c>
      <c r="I166" s="26">
        <v>0</v>
      </c>
      <c r="J166" s="26">
        <v>0</v>
      </c>
      <c r="K166" s="26">
        <v>1</v>
      </c>
      <c r="L166" s="26">
        <v>2</v>
      </c>
      <c r="M166" s="26">
        <v>2</v>
      </c>
      <c r="N166" s="26">
        <v>767</v>
      </c>
      <c r="O166" s="26">
        <v>0</v>
      </c>
      <c r="P166" s="26">
        <v>8</v>
      </c>
      <c r="Q166" s="27">
        <v>775</v>
      </c>
      <c r="R166" s="3">
        <v>0</v>
      </c>
      <c r="S166" s="3">
        <v>1156</v>
      </c>
      <c r="T166" s="28">
        <f t="shared" si="2"/>
        <v>386</v>
      </c>
      <c r="U166" s="4"/>
    </row>
    <row r="167" spans="1:21">
      <c r="A167" s="26">
        <v>165</v>
      </c>
      <c r="B167" s="26">
        <v>165</v>
      </c>
      <c r="C167" s="4" t="s">
        <v>362</v>
      </c>
      <c r="D167" s="26">
        <v>0</v>
      </c>
      <c r="E167" s="26">
        <v>327</v>
      </c>
      <c r="F167" s="26">
        <v>217</v>
      </c>
      <c r="G167" s="26">
        <v>2</v>
      </c>
      <c r="H167" s="26">
        <v>0</v>
      </c>
      <c r="I167" s="26">
        <v>0</v>
      </c>
      <c r="J167" s="26">
        <v>0</v>
      </c>
      <c r="K167" s="26">
        <v>0</v>
      </c>
      <c r="L167" s="26">
        <v>0</v>
      </c>
      <c r="M167" s="26">
        <v>1</v>
      </c>
      <c r="N167" s="26">
        <v>547</v>
      </c>
      <c r="O167" s="26">
        <v>0</v>
      </c>
      <c r="P167" s="26">
        <v>5</v>
      </c>
      <c r="Q167" s="27">
        <v>552</v>
      </c>
      <c r="R167" s="3">
        <v>0</v>
      </c>
      <c r="S167" s="3">
        <v>852</v>
      </c>
      <c r="T167" s="28">
        <f t="shared" si="2"/>
        <v>110</v>
      </c>
      <c r="U167" s="4"/>
    </row>
    <row r="168" spans="1:21">
      <c r="A168" s="26">
        <v>166</v>
      </c>
      <c r="B168" s="26">
        <v>166</v>
      </c>
      <c r="C168" s="4" t="s">
        <v>364</v>
      </c>
      <c r="D168" s="26">
        <v>2</v>
      </c>
      <c r="E168" s="26">
        <v>378</v>
      </c>
      <c r="F168" s="26">
        <v>226</v>
      </c>
      <c r="G168" s="26">
        <v>1</v>
      </c>
      <c r="H168" s="26">
        <v>0</v>
      </c>
      <c r="I168" s="26">
        <v>0</v>
      </c>
      <c r="J168" s="26">
        <v>1</v>
      </c>
      <c r="K168" s="26">
        <v>1</v>
      </c>
      <c r="L168" s="26">
        <v>3</v>
      </c>
      <c r="M168" s="26">
        <v>1</v>
      </c>
      <c r="N168" s="26">
        <v>613</v>
      </c>
      <c r="O168" s="26">
        <v>0</v>
      </c>
      <c r="P168" s="26">
        <v>5</v>
      </c>
      <c r="Q168" s="27">
        <v>618</v>
      </c>
      <c r="R168" s="3">
        <v>0</v>
      </c>
      <c r="S168" s="3">
        <v>855</v>
      </c>
      <c r="T168" s="28">
        <f t="shared" si="2"/>
        <v>152</v>
      </c>
      <c r="U168" s="4"/>
    </row>
    <row r="169" spans="1:21">
      <c r="A169" s="26">
        <v>167</v>
      </c>
      <c r="B169" s="26">
        <v>167</v>
      </c>
      <c r="C169" s="4" t="s">
        <v>366</v>
      </c>
      <c r="D169" s="26">
        <v>1</v>
      </c>
      <c r="E169" s="26">
        <v>259</v>
      </c>
      <c r="F169" s="26">
        <v>241</v>
      </c>
      <c r="G169" s="26">
        <v>6</v>
      </c>
      <c r="H169" s="26">
        <v>0</v>
      </c>
      <c r="I169" s="26">
        <v>1</v>
      </c>
      <c r="J169" s="26">
        <v>0</v>
      </c>
      <c r="K169" s="26">
        <v>0</v>
      </c>
      <c r="L169" s="26">
        <v>0</v>
      </c>
      <c r="M169" s="26">
        <v>0</v>
      </c>
      <c r="N169" s="26">
        <v>508</v>
      </c>
      <c r="O169" s="26">
        <v>0</v>
      </c>
      <c r="P169" s="26">
        <v>7</v>
      </c>
      <c r="Q169" s="27">
        <v>515</v>
      </c>
      <c r="R169" s="3">
        <v>0</v>
      </c>
      <c r="S169" s="3">
        <v>722</v>
      </c>
      <c r="T169" s="28">
        <f t="shared" si="2"/>
        <v>18</v>
      </c>
      <c r="U169" s="4"/>
    </row>
    <row r="170" spans="1:21">
      <c r="A170" s="26">
        <v>168</v>
      </c>
      <c r="B170" s="29">
        <v>168</v>
      </c>
      <c r="C170" s="4" t="s">
        <v>368</v>
      </c>
      <c r="D170" s="26">
        <v>8</v>
      </c>
      <c r="E170" s="26">
        <v>248</v>
      </c>
      <c r="F170" s="26">
        <v>317</v>
      </c>
      <c r="G170" s="26">
        <v>2</v>
      </c>
      <c r="H170" s="26">
        <v>0</v>
      </c>
      <c r="I170" s="26">
        <v>0</v>
      </c>
      <c r="J170" s="26">
        <v>1</v>
      </c>
      <c r="K170" s="26">
        <v>2</v>
      </c>
      <c r="L170" s="26">
        <v>0</v>
      </c>
      <c r="M170" s="26">
        <v>1</v>
      </c>
      <c r="N170" s="26">
        <v>579</v>
      </c>
      <c r="O170" s="26">
        <v>0</v>
      </c>
      <c r="P170" s="26">
        <v>7</v>
      </c>
      <c r="Q170" s="27">
        <v>586</v>
      </c>
      <c r="R170" s="3">
        <v>0</v>
      </c>
      <c r="S170" s="3">
        <v>747</v>
      </c>
      <c r="T170" s="28">
        <f t="shared" si="2"/>
        <v>69</v>
      </c>
      <c r="U170" s="4"/>
    </row>
    <row r="171" spans="1:21">
      <c r="A171" s="26">
        <v>169</v>
      </c>
      <c r="B171" s="26">
        <v>169</v>
      </c>
      <c r="C171" s="4" t="s">
        <v>370</v>
      </c>
      <c r="D171" s="26">
        <v>4</v>
      </c>
      <c r="E171" s="26">
        <v>193</v>
      </c>
      <c r="F171" s="26">
        <v>500</v>
      </c>
      <c r="G171" s="26">
        <v>6</v>
      </c>
      <c r="H171" s="26">
        <v>0</v>
      </c>
      <c r="I171" s="26">
        <v>1</v>
      </c>
      <c r="J171" s="26">
        <v>1</v>
      </c>
      <c r="K171" s="26">
        <v>0</v>
      </c>
      <c r="L171" s="26">
        <v>3</v>
      </c>
      <c r="M171" s="26">
        <v>2</v>
      </c>
      <c r="N171" s="26">
        <v>710</v>
      </c>
      <c r="O171" s="26">
        <v>0</v>
      </c>
      <c r="P171" s="26">
        <v>2</v>
      </c>
      <c r="Q171" s="27">
        <v>712</v>
      </c>
      <c r="R171" s="3">
        <v>0</v>
      </c>
      <c r="S171" s="3">
        <v>1078</v>
      </c>
      <c r="T171" s="28">
        <f t="shared" si="2"/>
        <v>307</v>
      </c>
      <c r="U171" s="4"/>
    </row>
    <row r="172" spans="1:21">
      <c r="A172" s="26">
        <v>170</v>
      </c>
      <c r="B172" s="26">
        <v>170</v>
      </c>
      <c r="C172" s="4" t="s">
        <v>372</v>
      </c>
      <c r="D172" s="26">
        <v>3</v>
      </c>
      <c r="E172" s="26">
        <v>278</v>
      </c>
      <c r="F172" s="26">
        <v>388</v>
      </c>
      <c r="G172" s="26">
        <v>5</v>
      </c>
      <c r="H172" s="26">
        <v>0</v>
      </c>
      <c r="I172" s="26">
        <v>0</v>
      </c>
      <c r="J172" s="26">
        <v>1</v>
      </c>
      <c r="K172" s="26">
        <v>0</v>
      </c>
      <c r="L172" s="26">
        <v>7</v>
      </c>
      <c r="M172" s="26">
        <v>0</v>
      </c>
      <c r="N172" s="26">
        <v>682</v>
      </c>
      <c r="O172" s="26">
        <v>0</v>
      </c>
      <c r="P172" s="26">
        <v>6</v>
      </c>
      <c r="Q172" s="27">
        <v>688</v>
      </c>
      <c r="R172" s="3">
        <v>0</v>
      </c>
      <c r="S172" s="3">
        <v>968</v>
      </c>
      <c r="T172" s="28">
        <f t="shared" si="2"/>
        <v>110</v>
      </c>
      <c r="U172" s="4"/>
    </row>
    <row r="173" spans="1:21">
      <c r="A173" s="26">
        <v>171</v>
      </c>
      <c r="B173" s="26">
        <v>171</v>
      </c>
      <c r="C173" s="4" t="s">
        <v>374</v>
      </c>
      <c r="D173" s="26">
        <v>3</v>
      </c>
      <c r="E173" s="26">
        <v>366</v>
      </c>
      <c r="F173" s="26">
        <v>302</v>
      </c>
      <c r="G173" s="26">
        <v>1</v>
      </c>
      <c r="H173" s="26">
        <v>0</v>
      </c>
      <c r="I173" s="26">
        <v>0</v>
      </c>
      <c r="J173" s="26">
        <v>0</v>
      </c>
      <c r="K173" s="26">
        <v>0</v>
      </c>
      <c r="L173" s="26">
        <v>0</v>
      </c>
      <c r="M173" s="26">
        <v>3</v>
      </c>
      <c r="N173" s="26">
        <v>675</v>
      </c>
      <c r="O173" s="26">
        <v>0</v>
      </c>
      <c r="P173" s="26">
        <v>4</v>
      </c>
      <c r="Q173" s="27">
        <v>679</v>
      </c>
      <c r="R173" s="3">
        <v>0</v>
      </c>
      <c r="S173" s="3">
        <v>1113</v>
      </c>
      <c r="T173" s="28">
        <f t="shared" si="2"/>
        <v>64</v>
      </c>
      <c r="U173" s="4"/>
    </row>
    <row r="174" spans="1:21">
      <c r="A174" s="26">
        <v>172</v>
      </c>
      <c r="B174" s="26">
        <v>172</v>
      </c>
      <c r="C174" s="4" t="s">
        <v>376</v>
      </c>
      <c r="D174" s="26">
        <v>2</v>
      </c>
      <c r="E174" s="26">
        <v>366</v>
      </c>
      <c r="F174" s="26">
        <v>174</v>
      </c>
      <c r="G174" s="26">
        <v>1</v>
      </c>
      <c r="H174" s="26">
        <v>0</v>
      </c>
      <c r="I174" s="26">
        <v>1</v>
      </c>
      <c r="J174" s="26">
        <v>0</v>
      </c>
      <c r="K174" s="26">
        <v>0</v>
      </c>
      <c r="L174" s="26">
        <v>1</v>
      </c>
      <c r="M174" s="26">
        <v>0</v>
      </c>
      <c r="N174" s="26">
        <v>545</v>
      </c>
      <c r="O174" s="26">
        <v>0</v>
      </c>
      <c r="P174" s="26">
        <v>15</v>
      </c>
      <c r="Q174" s="27">
        <v>560</v>
      </c>
      <c r="R174" s="3">
        <v>0</v>
      </c>
      <c r="S174" s="3">
        <v>793</v>
      </c>
      <c r="T174" s="28">
        <f t="shared" si="2"/>
        <v>192</v>
      </c>
      <c r="U174" s="4"/>
    </row>
    <row r="175" spans="1:21">
      <c r="A175" s="26">
        <v>173</v>
      </c>
      <c r="B175" s="26">
        <v>173</v>
      </c>
      <c r="C175" s="4" t="s">
        <v>378</v>
      </c>
      <c r="D175" s="26">
        <v>3</v>
      </c>
      <c r="E175" s="26">
        <v>300</v>
      </c>
      <c r="F175" s="26">
        <v>348</v>
      </c>
      <c r="G175" s="26">
        <v>2</v>
      </c>
      <c r="H175" s="26">
        <v>0</v>
      </c>
      <c r="I175" s="26">
        <v>0</v>
      </c>
      <c r="J175" s="26">
        <v>0</v>
      </c>
      <c r="K175" s="26">
        <v>1</v>
      </c>
      <c r="L175" s="26">
        <v>1</v>
      </c>
      <c r="M175" s="26">
        <v>1</v>
      </c>
      <c r="N175" s="26">
        <v>656</v>
      </c>
      <c r="O175" s="26">
        <v>0</v>
      </c>
      <c r="P175" s="26">
        <v>6</v>
      </c>
      <c r="Q175" s="27">
        <v>662</v>
      </c>
      <c r="R175" s="3">
        <v>0</v>
      </c>
      <c r="S175" s="3">
        <v>850</v>
      </c>
      <c r="T175" s="28">
        <f t="shared" si="2"/>
        <v>48</v>
      </c>
      <c r="U175" s="4"/>
    </row>
    <row r="176" spans="1:21">
      <c r="A176" s="26">
        <v>174</v>
      </c>
      <c r="B176" s="26">
        <v>174</v>
      </c>
      <c r="C176" s="4" t="s">
        <v>380</v>
      </c>
      <c r="D176" s="26">
        <v>0</v>
      </c>
      <c r="E176" s="26">
        <v>176</v>
      </c>
      <c r="F176" s="26">
        <v>195</v>
      </c>
      <c r="G176" s="26">
        <v>1</v>
      </c>
      <c r="H176" s="26">
        <v>0</v>
      </c>
      <c r="I176" s="26">
        <v>0</v>
      </c>
      <c r="J176" s="26">
        <v>1</v>
      </c>
      <c r="K176" s="26">
        <v>0</v>
      </c>
      <c r="L176" s="26">
        <v>1</v>
      </c>
      <c r="M176" s="26">
        <v>0</v>
      </c>
      <c r="N176" s="26">
        <v>374</v>
      </c>
      <c r="O176" s="26">
        <v>0</v>
      </c>
      <c r="P176" s="26">
        <v>3</v>
      </c>
      <c r="Q176" s="27">
        <v>377</v>
      </c>
      <c r="R176" s="3">
        <v>0</v>
      </c>
      <c r="S176" s="3">
        <v>498</v>
      </c>
      <c r="T176" s="28">
        <f t="shared" si="2"/>
        <v>19</v>
      </c>
      <c r="U176" s="4"/>
    </row>
    <row r="177" spans="1:21">
      <c r="A177" s="26">
        <v>175</v>
      </c>
      <c r="B177" s="26">
        <v>175</v>
      </c>
      <c r="C177" s="4" t="s">
        <v>382</v>
      </c>
      <c r="D177" s="26">
        <v>2</v>
      </c>
      <c r="E177" s="26">
        <v>236</v>
      </c>
      <c r="F177" s="26">
        <v>305</v>
      </c>
      <c r="G177" s="26">
        <v>0</v>
      </c>
      <c r="H177" s="26">
        <v>0</v>
      </c>
      <c r="I177" s="26">
        <v>0</v>
      </c>
      <c r="J177" s="26">
        <v>0</v>
      </c>
      <c r="K177" s="26">
        <v>0</v>
      </c>
      <c r="L177" s="26">
        <v>3</v>
      </c>
      <c r="M177" s="26">
        <v>3</v>
      </c>
      <c r="N177" s="26">
        <v>549</v>
      </c>
      <c r="O177" s="26">
        <v>0</v>
      </c>
      <c r="P177" s="26">
        <v>12</v>
      </c>
      <c r="Q177" s="27">
        <v>561</v>
      </c>
      <c r="R177" s="3">
        <v>0</v>
      </c>
      <c r="S177" s="3">
        <v>804</v>
      </c>
      <c r="T177" s="28">
        <f t="shared" si="2"/>
        <v>69</v>
      </c>
      <c r="U177" s="4"/>
    </row>
    <row r="178" spans="1:21">
      <c r="A178" s="26">
        <v>176</v>
      </c>
      <c r="B178" s="26">
        <v>176</v>
      </c>
      <c r="C178" s="4" t="s">
        <v>384</v>
      </c>
      <c r="D178" s="26">
        <v>3</v>
      </c>
      <c r="E178" s="26">
        <v>133</v>
      </c>
      <c r="F178" s="26">
        <v>120</v>
      </c>
      <c r="G178" s="26">
        <v>1</v>
      </c>
      <c r="H178" s="26">
        <v>0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26">
        <v>257</v>
      </c>
      <c r="O178" s="26">
        <v>0</v>
      </c>
      <c r="P178" s="26">
        <v>2</v>
      </c>
      <c r="Q178" s="27">
        <v>259</v>
      </c>
      <c r="R178" s="3">
        <v>0</v>
      </c>
      <c r="S178" s="3">
        <v>377</v>
      </c>
      <c r="T178" s="28">
        <f t="shared" si="2"/>
        <v>13</v>
      </c>
      <c r="U178" s="4"/>
    </row>
    <row r="179" spans="1:21">
      <c r="A179" s="26">
        <v>177</v>
      </c>
      <c r="B179" s="26">
        <v>177</v>
      </c>
      <c r="C179" s="4" t="s">
        <v>386</v>
      </c>
      <c r="D179" s="26">
        <v>2</v>
      </c>
      <c r="E179" s="26">
        <v>201</v>
      </c>
      <c r="F179" s="26">
        <v>253</v>
      </c>
      <c r="G179" s="26">
        <v>0</v>
      </c>
      <c r="H179" s="26">
        <v>0</v>
      </c>
      <c r="I179" s="26">
        <v>0</v>
      </c>
      <c r="J179" s="26">
        <v>0</v>
      </c>
      <c r="K179" s="26">
        <v>1</v>
      </c>
      <c r="L179" s="26">
        <v>0</v>
      </c>
      <c r="M179" s="26">
        <v>0</v>
      </c>
      <c r="N179" s="26">
        <v>457</v>
      </c>
      <c r="O179" s="26">
        <v>0</v>
      </c>
      <c r="P179" s="26">
        <v>3</v>
      </c>
      <c r="Q179" s="27">
        <v>460</v>
      </c>
      <c r="R179" s="3">
        <v>0</v>
      </c>
      <c r="S179" s="3">
        <v>598</v>
      </c>
      <c r="T179" s="28">
        <f t="shared" si="2"/>
        <v>52</v>
      </c>
      <c r="U179" s="4"/>
    </row>
    <row r="180" spans="1:21">
      <c r="A180" s="26">
        <v>178</v>
      </c>
      <c r="B180" s="26">
        <v>178</v>
      </c>
      <c r="C180" s="4" t="s">
        <v>388</v>
      </c>
      <c r="D180" s="26">
        <v>5</v>
      </c>
      <c r="E180" s="26">
        <v>358</v>
      </c>
      <c r="F180" s="26">
        <v>348</v>
      </c>
      <c r="G180" s="26">
        <v>0</v>
      </c>
      <c r="H180" s="26">
        <v>0</v>
      </c>
      <c r="I180" s="26">
        <v>3</v>
      </c>
      <c r="J180" s="26">
        <v>1</v>
      </c>
      <c r="K180" s="26">
        <v>0</v>
      </c>
      <c r="L180" s="26">
        <v>1</v>
      </c>
      <c r="M180" s="26">
        <v>1</v>
      </c>
      <c r="N180" s="26">
        <v>717</v>
      </c>
      <c r="O180" s="26">
        <v>0</v>
      </c>
      <c r="P180" s="26">
        <v>3</v>
      </c>
      <c r="Q180" s="27">
        <v>720</v>
      </c>
      <c r="R180" s="3">
        <v>0</v>
      </c>
      <c r="S180" s="3">
        <v>1176</v>
      </c>
      <c r="T180" s="28">
        <f t="shared" si="2"/>
        <v>10</v>
      </c>
      <c r="U180" s="4"/>
    </row>
    <row r="181" spans="1:21">
      <c r="A181" s="26">
        <v>179</v>
      </c>
      <c r="B181" s="26">
        <v>179</v>
      </c>
      <c r="C181" s="4" t="s">
        <v>390</v>
      </c>
      <c r="D181" s="26">
        <v>0</v>
      </c>
      <c r="E181" s="26">
        <v>259</v>
      </c>
      <c r="F181" s="26">
        <v>351</v>
      </c>
      <c r="G181" s="26">
        <v>1</v>
      </c>
      <c r="H181" s="26">
        <v>0</v>
      </c>
      <c r="I181" s="26">
        <v>0</v>
      </c>
      <c r="J181" s="26">
        <v>0</v>
      </c>
      <c r="K181" s="26">
        <v>0</v>
      </c>
      <c r="L181" s="26">
        <v>1</v>
      </c>
      <c r="M181" s="26">
        <v>0</v>
      </c>
      <c r="N181" s="26">
        <v>612</v>
      </c>
      <c r="O181" s="26">
        <v>0</v>
      </c>
      <c r="P181" s="26">
        <v>19</v>
      </c>
      <c r="Q181" s="27">
        <v>631</v>
      </c>
      <c r="R181" s="3">
        <v>0</v>
      </c>
      <c r="S181" s="3">
        <v>1009</v>
      </c>
      <c r="T181" s="28">
        <f t="shared" si="2"/>
        <v>92</v>
      </c>
      <c r="U181" s="4"/>
    </row>
    <row r="182" spans="1:21">
      <c r="A182" s="26">
        <v>180</v>
      </c>
      <c r="B182" s="26">
        <v>180</v>
      </c>
      <c r="C182" s="4" t="s">
        <v>392</v>
      </c>
      <c r="D182" s="26">
        <v>0</v>
      </c>
      <c r="E182" s="26">
        <v>215</v>
      </c>
      <c r="F182" s="26">
        <v>308</v>
      </c>
      <c r="G182" s="26">
        <v>1</v>
      </c>
      <c r="H182" s="26">
        <v>0</v>
      </c>
      <c r="I182" s="26">
        <v>0</v>
      </c>
      <c r="J182" s="26">
        <v>0</v>
      </c>
      <c r="K182" s="26">
        <v>0</v>
      </c>
      <c r="L182" s="26">
        <v>1</v>
      </c>
      <c r="M182" s="26">
        <v>0</v>
      </c>
      <c r="N182" s="26">
        <v>525</v>
      </c>
      <c r="O182" s="26">
        <v>0</v>
      </c>
      <c r="P182" s="26">
        <v>7</v>
      </c>
      <c r="Q182" s="27">
        <v>532</v>
      </c>
      <c r="R182" s="3">
        <v>0</v>
      </c>
      <c r="S182" s="3">
        <v>802</v>
      </c>
      <c r="T182" s="28">
        <f t="shared" si="2"/>
        <v>93</v>
      </c>
      <c r="U182" s="4"/>
    </row>
    <row r="183" spans="1:21">
      <c r="A183" s="26">
        <v>181</v>
      </c>
      <c r="B183" s="26">
        <v>181</v>
      </c>
      <c r="C183" s="4" t="s">
        <v>394</v>
      </c>
      <c r="D183" s="26">
        <v>1</v>
      </c>
      <c r="E183" s="26">
        <v>384</v>
      </c>
      <c r="F183" s="26">
        <v>364</v>
      </c>
      <c r="G183" s="26">
        <v>3</v>
      </c>
      <c r="H183" s="26">
        <v>2</v>
      </c>
      <c r="I183" s="26">
        <v>0</v>
      </c>
      <c r="J183" s="26">
        <v>0</v>
      </c>
      <c r="K183" s="26">
        <v>0</v>
      </c>
      <c r="L183" s="26">
        <v>0</v>
      </c>
      <c r="M183" s="26">
        <v>0</v>
      </c>
      <c r="N183" s="26">
        <v>754</v>
      </c>
      <c r="O183" s="26">
        <v>0</v>
      </c>
      <c r="P183" s="26">
        <v>7</v>
      </c>
      <c r="Q183" s="27">
        <v>761</v>
      </c>
      <c r="R183" s="3">
        <v>0</v>
      </c>
      <c r="S183" s="3">
        <v>1101</v>
      </c>
      <c r="T183" s="28">
        <f t="shared" si="2"/>
        <v>20</v>
      </c>
      <c r="U183" s="4"/>
    </row>
    <row r="184" spans="1:21">
      <c r="A184" s="26">
        <v>182</v>
      </c>
      <c r="B184" s="26">
        <v>182</v>
      </c>
      <c r="C184" s="4" t="s">
        <v>396</v>
      </c>
      <c r="D184" s="26">
        <v>4</v>
      </c>
      <c r="E184" s="26">
        <v>399</v>
      </c>
      <c r="F184" s="26">
        <v>357</v>
      </c>
      <c r="G184" s="26">
        <v>2</v>
      </c>
      <c r="H184" s="26">
        <v>0</v>
      </c>
      <c r="I184" s="26">
        <v>0</v>
      </c>
      <c r="J184" s="26">
        <v>0</v>
      </c>
      <c r="K184" s="26">
        <v>0</v>
      </c>
      <c r="L184" s="26">
        <v>0</v>
      </c>
      <c r="M184" s="26">
        <v>0</v>
      </c>
      <c r="N184" s="26">
        <v>762</v>
      </c>
      <c r="O184" s="26">
        <v>0</v>
      </c>
      <c r="P184" s="26">
        <v>11</v>
      </c>
      <c r="Q184" s="27">
        <v>773</v>
      </c>
      <c r="R184" s="3">
        <v>0</v>
      </c>
      <c r="S184" s="3">
        <v>1030</v>
      </c>
      <c r="T184" s="28">
        <f t="shared" si="2"/>
        <v>42</v>
      </c>
      <c r="U184" s="4"/>
    </row>
    <row r="185" spans="1:21">
      <c r="A185" s="26">
        <v>183</v>
      </c>
      <c r="B185" s="26">
        <v>183</v>
      </c>
      <c r="C185" s="4" t="s">
        <v>398</v>
      </c>
      <c r="D185" s="26">
        <v>4</v>
      </c>
      <c r="E185" s="26">
        <v>487</v>
      </c>
      <c r="F185" s="26">
        <v>174</v>
      </c>
      <c r="G185" s="26">
        <v>0</v>
      </c>
      <c r="H185" s="26">
        <v>0</v>
      </c>
      <c r="I185" s="26">
        <v>1</v>
      </c>
      <c r="J185" s="26">
        <v>1</v>
      </c>
      <c r="K185" s="26">
        <v>1</v>
      </c>
      <c r="L185" s="26">
        <v>0</v>
      </c>
      <c r="M185" s="26">
        <v>1</v>
      </c>
      <c r="N185" s="26">
        <v>669</v>
      </c>
      <c r="O185" s="26">
        <v>0</v>
      </c>
      <c r="P185" s="26">
        <v>8</v>
      </c>
      <c r="Q185" s="27">
        <v>677</v>
      </c>
      <c r="R185" s="3">
        <v>0</v>
      </c>
      <c r="S185" s="3">
        <v>1036</v>
      </c>
      <c r="T185" s="28">
        <f t="shared" si="2"/>
        <v>313</v>
      </c>
      <c r="U185" s="4"/>
    </row>
    <row r="186" spans="1:21">
      <c r="A186" s="26">
        <v>184</v>
      </c>
      <c r="B186" s="26">
        <v>184</v>
      </c>
      <c r="C186" s="4" t="s">
        <v>400</v>
      </c>
      <c r="D186" s="26">
        <v>3</v>
      </c>
      <c r="E186" s="26">
        <v>438</v>
      </c>
      <c r="F186" s="26">
        <v>223</v>
      </c>
      <c r="G186" s="26">
        <v>3</v>
      </c>
      <c r="H186" s="26">
        <v>0</v>
      </c>
      <c r="I186" s="26">
        <v>0</v>
      </c>
      <c r="J186" s="26">
        <v>0</v>
      </c>
      <c r="K186" s="26">
        <v>0</v>
      </c>
      <c r="L186" s="26">
        <v>2</v>
      </c>
      <c r="M186" s="26">
        <v>1</v>
      </c>
      <c r="N186" s="26">
        <v>670</v>
      </c>
      <c r="O186" s="26">
        <v>0</v>
      </c>
      <c r="P186" s="26">
        <v>1</v>
      </c>
      <c r="Q186" s="27">
        <v>671</v>
      </c>
      <c r="R186" s="3">
        <v>0</v>
      </c>
      <c r="S186" s="3">
        <v>973</v>
      </c>
      <c r="T186" s="28">
        <f t="shared" si="2"/>
        <v>215</v>
      </c>
      <c r="U186" s="4"/>
    </row>
    <row r="187" spans="1:21">
      <c r="A187" s="26">
        <v>185</v>
      </c>
      <c r="B187" s="26">
        <v>185</v>
      </c>
      <c r="C187" s="4" t="s">
        <v>402</v>
      </c>
      <c r="D187" s="26">
        <v>2</v>
      </c>
      <c r="E187" s="26">
        <v>337</v>
      </c>
      <c r="F187" s="26">
        <v>134</v>
      </c>
      <c r="G187" s="26">
        <v>1</v>
      </c>
      <c r="H187" s="26">
        <v>0</v>
      </c>
      <c r="I187" s="26">
        <v>0</v>
      </c>
      <c r="J187" s="26">
        <v>1</v>
      </c>
      <c r="K187" s="26">
        <v>0</v>
      </c>
      <c r="L187" s="26">
        <v>0</v>
      </c>
      <c r="M187" s="26">
        <v>1</v>
      </c>
      <c r="N187" s="26">
        <v>476</v>
      </c>
      <c r="O187" s="26">
        <v>0</v>
      </c>
      <c r="P187" s="26">
        <v>0</v>
      </c>
      <c r="Q187" s="27">
        <v>476</v>
      </c>
      <c r="R187" s="3">
        <v>0</v>
      </c>
      <c r="S187" s="3">
        <v>754</v>
      </c>
      <c r="T187" s="28">
        <f t="shared" si="2"/>
        <v>203</v>
      </c>
      <c r="U187" s="4"/>
    </row>
    <row r="188" spans="1:21">
      <c r="A188" s="26">
        <v>186</v>
      </c>
      <c r="B188" s="26">
        <v>186</v>
      </c>
      <c r="C188" s="4" t="s">
        <v>404</v>
      </c>
      <c r="D188" s="26">
        <v>1</v>
      </c>
      <c r="E188" s="26">
        <v>305</v>
      </c>
      <c r="F188" s="26">
        <v>108</v>
      </c>
      <c r="G188" s="26">
        <v>1</v>
      </c>
      <c r="H188" s="26">
        <v>0</v>
      </c>
      <c r="I188" s="26">
        <v>0</v>
      </c>
      <c r="J188" s="26">
        <v>0</v>
      </c>
      <c r="K188" s="26">
        <v>0</v>
      </c>
      <c r="L188" s="26">
        <v>0</v>
      </c>
      <c r="M188" s="26">
        <v>1</v>
      </c>
      <c r="N188" s="26">
        <v>416</v>
      </c>
      <c r="O188" s="26">
        <v>0</v>
      </c>
      <c r="P188" s="26">
        <v>4</v>
      </c>
      <c r="Q188" s="27">
        <v>420</v>
      </c>
      <c r="R188" s="3">
        <v>0</v>
      </c>
      <c r="S188" s="3">
        <v>596</v>
      </c>
      <c r="T188" s="28">
        <f t="shared" si="2"/>
        <v>197</v>
      </c>
      <c r="U188" s="4"/>
    </row>
    <row r="189" spans="1:21">
      <c r="A189" s="26">
        <v>187</v>
      </c>
      <c r="B189" s="26">
        <v>187</v>
      </c>
      <c r="C189" s="4" t="s">
        <v>406</v>
      </c>
      <c r="D189" s="26">
        <v>14</v>
      </c>
      <c r="E189" s="26">
        <v>386</v>
      </c>
      <c r="F189" s="26">
        <v>242</v>
      </c>
      <c r="G189" s="26">
        <v>1</v>
      </c>
      <c r="H189" s="26">
        <v>1</v>
      </c>
      <c r="I189" s="26">
        <v>0</v>
      </c>
      <c r="J189" s="26">
        <v>1</v>
      </c>
      <c r="K189" s="26">
        <v>0</v>
      </c>
      <c r="L189" s="26">
        <v>1</v>
      </c>
      <c r="M189" s="26">
        <v>0</v>
      </c>
      <c r="N189" s="26">
        <v>646</v>
      </c>
      <c r="O189" s="26">
        <v>0</v>
      </c>
      <c r="P189" s="26">
        <v>2</v>
      </c>
      <c r="Q189" s="27">
        <v>648</v>
      </c>
      <c r="R189" s="3">
        <v>0</v>
      </c>
      <c r="S189" s="3">
        <v>912</v>
      </c>
      <c r="T189" s="28">
        <f t="shared" si="2"/>
        <v>144</v>
      </c>
      <c r="U189" s="4"/>
    </row>
    <row r="190" spans="1:21">
      <c r="A190" s="26">
        <v>188</v>
      </c>
      <c r="B190" s="26">
        <v>188</v>
      </c>
      <c r="C190" s="4" t="s">
        <v>408</v>
      </c>
      <c r="D190" s="26">
        <v>8</v>
      </c>
      <c r="E190" s="26">
        <v>383</v>
      </c>
      <c r="F190" s="26">
        <v>256</v>
      </c>
      <c r="G190" s="26">
        <v>1</v>
      </c>
      <c r="H190" s="26">
        <v>0</v>
      </c>
      <c r="I190" s="26">
        <v>0</v>
      </c>
      <c r="J190" s="26">
        <v>0</v>
      </c>
      <c r="K190" s="26">
        <v>1</v>
      </c>
      <c r="L190" s="26">
        <v>0</v>
      </c>
      <c r="M190" s="26">
        <v>0</v>
      </c>
      <c r="N190" s="26">
        <v>649</v>
      </c>
      <c r="O190" s="26">
        <v>0</v>
      </c>
      <c r="P190" s="26">
        <v>7</v>
      </c>
      <c r="Q190" s="27">
        <v>656</v>
      </c>
      <c r="R190" s="3">
        <v>0</v>
      </c>
      <c r="S190" s="3">
        <v>959</v>
      </c>
      <c r="T190" s="28">
        <f t="shared" si="2"/>
        <v>127</v>
      </c>
      <c r="U190" s="4"/>
    </row>
    <row r="191" spans="1:21">
      <c r="A191" s="26">
        <v>189</v>
      </c>
      <c r="B191" s="26">
        <v>189</v>
      </c>
      <c r="C191" s="4" t="s">
        <v>410</v>
      </c>
      <c r="D191" s="26">
        <v>2</v>
      </c>
      <c r="E191" s="26">
        <v>497</v>
      </c>
      <c r="F191" s="26">
        <v>234</v>
      </c>
      <c r="G191" s="26">
        <v>4</v>
      </c>
      <c r="H191" s="26">
        <v>0</v>
      </c>
      <c r="I191" s="26">
        <v>1</v>
      </c>
      <c r="J191" s="26">
        <v>0</v>
      </c>
      <c r="K191" s="26">
        <v>2</v>
      </c>
      <c r="L191" s="26">
        <v>3</v>
      </c>
      <c r="M191" s="26">
        <v>3</v>
      </c>
      <c r="N191" s="26">
        <v>746</v>
      </c>
      <c r="O191" s="26">
        <v>0</v>
      </c>
      <c r="P191" s="26">
        <v>9</v>
      </c>
      <c r="Q191" s="27">
        <v>755</v>
      </c>
      <c r="R191" s="3">
        <v>0</v>
      </c>
      <c r="S191" s="3">
        <v>974</v>
      </c>
      <c r="T191" s="28">
        <f t="shared" si="2"/>
        <v>263</v>
      </c>
      <c r="U191" s="4"/>
    </row>
    <row r="192" spans="1:21">
      <c r="A192" s="26">
        <v>190</v>
      </c>
      <c r="B192" s="26">
        <v>190</v>
      </c>
      <c r="C192" s="4" t="s">
        <v>412</v>
      </c>
      <c r="D192" s="26">
        <v>2</v>
      </c>
      <c r="E192" s="26">
        <v>520</v>
      </c>
      <c r="F192" s="26">
        <v>310</v>
      </c>
      <c r="G192" s="26">
        <v>3</v>
      </c>
      <c r="H192" s="26">
        <v>1</v>
      </c>
      <c r="I192" s="26">
        <v>0</v>
      </c>
      <c r="J192" s="26">
        <v>0</v>
      </c>
      <c r="K192" s="26">
        <v>0</v>
      </c>
      <c r="L192" s="26">
        <v>1</v>
      </c>
      <c r="M192" s="26">
        <v>0</v>
      </c>
      <c r="N192" s="26">
        <v>837</v>
      </c>
      <c r="O192" s="26">
        <v>0</v>
      </c>
      <c r="P192" s="26">
        <v>7</v>
      </c>
      <c r="Q192" s="27">
        <v>844</v>
      </c>
      <c r="R192" s="3">
        <v>0</v>
      </c>
      <c r="S192" s="3">
        <v>1150</v>
      </c>
      <c r="T192" s="28">
        <f t="shared" si="2"/>
        <v>210</v>
      </c>
      <c r="U192" s="4"/>
    </row>
    <row r="193" spans="1:21">
      <c r="A193" s="26">
        <v>191</v>
      </c>
      <c r="B193" s="26">
        <v>191</v>
      </c>
      <c r="C193" s="4" t="s">
        <v>414</v>
      </c>
      <c r="D193" s="26">
        <v>12</v>
      </c>
      <c r="E193" s="26">
        <v>560</v>
      </c>
      <c r="F193" s="26">
        <v>391</v>
      </c>
      <c r="G193" s="26">
        <v>4</v>
      </c>
      <c r="H193" s="26">
        <v>0</v>
      </c>
      <c r="I193" s="26">
        <v>0</v>
      </c>
      <c r="J193" s="26">
        <v>1</v>
      </c>
      <c r="K193" s="26">
        <v>3</v>
      </c>
      <c r="L193" s="26">
        <v>0</v>
      </c>
      <c r="M193" s="26">
        <v>2</v>
      </c>
      <c r="N193" s="26">
        <v>973</v>
      </c>
      <c r="O193" s="26">
        <v>0</v>
      </c>
      <c r="P193" s="26">
        <v>9</v>
      </c>
      <c r="Q193" s="27">
        <v>982</v>
      </c>
      <c r="R193" s="3">
        <v>0</v>
      </c>
      <c r="S193" s="3">
        <v>1267</v>
      </c>
      <c r="T193" s="28">
        <f t="shared" si="2"/>
        <v>169</v>
      </c>
      <c r="U193" s="4"/>
    </row>
    <row r="194" spans="1:21">
      <c r="A194" s="26">
        <v>192</v>
      </c>
      <c r="B194" s="26">
        <v>192</v>
      </c>
      <c r="C194" s="4" t="s">
        <v>416</v>
      </c>
      <c r="D194" s="26">
        <v>11</v>
      </c>
      <c r="E194" s="26">
        <v>367</v>
      </c>
      <c r="F194" s="26">
        <v>380</v>
      </c>
      <c r="G194" s="26">
        <v>3</v>
      </c>
      <c r="H194" s="26">
        <v>0</v>
      </c>
      <c r="I194" s="26">
        <v>1</v>
      </c>
      <c r="J194" s="26">
        <v>0</v>
      </c>
      <c r="K194" s="26">
        <v>1</v>
      </c>
      <c r="L194" s="26">
        <v>3</v>
      </c>
      <c r="M194" s="26">
        <v>0</v>
      </c>
      <c r="N194" s="26">
        <v>766</v>
      </c>
      <c r="O194" s="26">
        <v>0</v>
      </c>
      <c r="P194" s="26">
        <v>2</v>
      </c>
      <c r="Q194" s="27">
        <v>768</v>
      </c>
      <c r="R194" s="3">
        <v>0</v>
      </c>
      <c r="S194" s="3">
        <v>1021</v>
      </c>
      <c r="T194" s="28">
        <f t="shared" si="2"/>
        <v>13</v>
      </c>
      <c r="U194" s="4"/>
    </row>
    <row r="195" spans="1:21">
      <c r="A195" s="26">
        <v>193</v>
      </c>
      <c r="B195" s="26">
        <v>193</v>
      </c>
      <c r="C195" s="4" t="s">
        <v>418</v>
      </c>
      <c r="D195" s="26">
        <v>7</v>
      </c>
      <c r="E195" s="26">
        <v>442</v>
      </c>
      <c r="F195" s="26">
        <v>235</v>
      </c>
      <c r="G195" s="26">
        <v>3</v>
      </c>
      <c r="H195" s="26">
        <v>2</v>
      </c>
      <c r="I195" s="26">
        <v>0</v>
      </c>
      <c r="J195" s="26">
        <v>1</v>
      </c>
      <c r="K195" s="26">
        <v>0</v>
      </c>
      <c r="L195" s="26">
        <v>2</v>
      </c>
      <c r="M195" s="26">
        <v>4</v>
      </c>
      <c r="N195" s="26">
        <v>696</v>
      </c>
      <c r="O195" s="26">
        <v>0</v>
      </c>
      <c r="P195" s="26">
        <v>5</v>
      </c>
      <c r="Q195" s="27">
        <v>701</v>
      </c>
      <c r="R195" s="3">
        <v>0</v>
      </c>
      <c r="S195" s="3">
        <v>969</v>
      </c>
      <c r="T195" s="28">
        <f t="shared" si="2"/>
        <v>207</v>
      </c>
      <c r="U195" s="4"/>
    </row>
    <row r="196" spans="1:21">
      <c r="A196" s="26">
        <v>194</v>
      </c>
      <c r="B196" s="26">
        <v>194</v>
      </c>
      <c r="C196" s="4" t="s">
        <v>420</v>
      </c>
      <c r="D196" s="26">
        <v>2</v>
      </c>
      <c r="E196" s="26">
        <v>382</v>
      </c>
      <c r="F196" s="26">
        <v>285</v>
      </c>
      <c r="G196" s="26">
        <v>0</v>
      </c>
      <c r="H196" s="26">
        <v>0</v>
      </c>
      <c r="I196" s="26">
        <v>0</v>
      </c>
      <c r="J196" s="26">
        <v>0</v>
      </c>
      <c r="K196" s="26">
        <v>0</v>
      </c>
      <c r="L196" s="26">
        <v>1</v>
      </c>
      <c r="M196" s="26">
        <v>0</v>
      </c>
      <c r="N196" s="26">
        <v>670</v>
      </c>
      <c r="O196" s="26">
        <v>0</v>
      </c>
      <c r="P196" s="26">
        <v>14</v>
      </c>
      <c r="Q196" s="27">
        <v>684</v>
      </c>
      <c r="R196" s="3">
        <v>0</v>
      </c>
      <c r="S196" s="3">
        <v>987</v>
      </c>
      <c r="T196" s="28">
        <f t="shared" ref="T196:T259" si="3">MAX(E196,F196)-MIN(E196,F196)</f>
        <v>97</v>
      </c>
      <c r="U196" s="4"/>
    </row>
    <row r="197" spans="1:21">
      <c r="A197" s="26">
        <v>195</v>
      </c>
      <c r="B197" s="26">
        <v>195</v>
      </c>
      <c r="C197" s="4" t="s">
        <v>422</v>
      </c>
      <c r="D197" s="26">
        <v>1</v>
      </c>
      <c r="E197" s="26">
        <v>127</v>
      </c>
      <c r="F197" s="26">
        <v>111</v>
      </c>
      <c r="G197" s="26">
        <v>0</v>
      </c>
      <c r="H197" s="26">
        <v>1</v>
      </c>
      <c r="I197" s="26">
        <v>0</v>
      </c>
      <c r="J197" s="26">
        <v>0</v>
      </c>
      <c r="K197" s="26">
        <v>0</v>
      </c>
      <c r="L197" s="26">
        <v>1</v>
      </c>
      <c r="M197" s="26">
        <v>0</v>
      </c>
      <c r="N197" s="26">
        <v>241</v>
      </c>
      <c r="O197" s="26">
        <v>0</v>
      </c>
      <c r="P197" s="26">
        <v>1</v>
      </c>
      <c r="Q197" s="27">
        <v>242</v>
      </c>
      <c r="R197" s="3">
        <v>0</v>
      </c>
      <c r="S197" s="3">
        <v>442</v>
      </c>
      <c r="T197" s="28">
        <f t="shared" si="3"/>
        <v>16</v>
      </c>
      <c r="U197" s="4"/>
    </row>
    <row r="198" spans="1:21" ht="16">
      <c r="A198" s="26">
        <v>196</v>
      </c>
      <c r="B198" s="29" t="s">
        <v>27</v>
      </c>
      <c r="C198" s="4" t="s">
        <v>424</v>
      </c>
      <c r="D198" s="26">
        <v>3</v>
      </c>
      <c r="E198" s="26">
        <v>492</v>
      </c>
      <c r="F198" s="26">
        <v>303</v>
      </c>
      <c r="G198" s="26">
        <v>3</v>
      </c>
      <c r="H198" s="26">
        <v>2</v>
      </c>
      <c r="I198" s="26">
        <v>2</v>
      </c>
      <c r="J198" s="26">
        <v>0</v>
      </c>
      <c r="K198" s="26">
        <v>2</v>
      </c>
      <c r="L198" s="26">
        <v>2</v>
      </c>
      <c r="M198" s="26">
        <v>0</v>
      </c>
      <c r="N198" s="26">
        <v>809</v>
      </c>
      <c r="O198" s="26">
        <v>0</v>
      </c>
      <c r="P198" s="26">
        <v>10</v>
      </c>
      <c r="Q198" s="27">
        <v>819</v>
      </c>
      <c r="R198" s="3">
        <v>0</v>
      </c>
      <c r="S198" s="3">
        <v>1226</v>
      </c>
      <c r="T198" s="28">
        <f t="shared" si="3"/>
        <v>189</v>
      </c>
      <c r="U198" s="4"/>
    </row>
    <row r="199" spans="1:21">
      <c r="A199" s="26">
        <v>197</v>
      </c>
      <c r="B199" s="26">
        <v>197</v>
      </c>
      <c r="C199" s="4" t="s">
        <v>426</v>
      </c>
      <c r="D199" s="26">
        <v>4</v>
      </c>
      <c r="E199" s="26">
        <v>315</v>
      </c>
      <c r="F199" s="26">
        <v>229</v>
      </c>
      <c r="G199" s="26">
        <v>1</v>
      </c>
      <c r="H199" s="26">
        <v>0</v>
      </c>
      <c r="I199" s="26">
        <v>0</v>
      </c>
      <c r="J199" s="26">
        <v>1</v>
      </c>
      <c r="K199" s="26">
        <v>1</v>
      </c>
      <c r="L199" s="26">
        <v>0</v>
      </c>
      <c r="M199" s="26">
        <v>2</v>
      </c>
      <c r="N199" s="26">
        <v>553</v>
      </c>
      <c r="O199" s="26">
        <v>0</v>
      </c>
      <c r="P199" s="26">
        <v>5</v>
      </c>
      <c r="Q199" s="27">
        <v>558</v>
      </c>
      <c r="R199" s="3">
        <v>0</v>
      </c>
      <c r="S199" s="3">
        <v>832</v>
      </c>
      <c r="T199" s="28">
        <f t="shared" si="3"/>
        <v>86</v>
      </c>
      <c r="U199" s="4"/>
    </row>
    <row r="200" spans="1:21">
      <c r="A200" s="26">
        <v>198</v>
      </c>
      <c r="B200" s="26">
        <v>198</v>
      </c>
      <c r="C200" s="4" t="s">
        <v>428</v>
      </c>
      <c r="D200" s="26">
        <v>1</v>
      </c>
      <c r="E200" s="26">
        <v>332</v>
      </c>
      <c r="F200" s="26">
        <v>218</v>
      </c>
      <c r="G200" s="26">
        <v>2</v>
      </c>
      <c r="H200" s="26">
        <v>1</v>
      </c>
      <c r="I200" s="26">
        <v>0</v>
      </c>
      <c r="J200" s="26">
        <v>1</v>
      </c>
      <c r="K200" s="26">
        <v>1</v>
      </c>
      <c r="L200" s="26">
        <v>6</v>
      </c>
      <c r="M200" s="26">
        <v>0</v>
      </c>
      <c r="N200" s="26">
        <v>562</v>
      </c>
      <c r="O200" s="26">
        <v>0</v>
      </c>
      <c r="P200" s="26">
        <v>9</v>
      </c>
      <c r="Q200" s="27">
        <v>571</v>
      </c>
      <c r="R200" s="3">
        <v>0</v>
      </c>
      <c r="S200" s="3">
        <v>766</v>
      </c>
      <c r="T200" s="28">
        <f t="shared" si="3"/>
        <v>114</v>
      </c>
      <c r="U200" s="4"/>
    </row>
    <row r="201" spans="1:21">
      <c r="A201" s="26">
        <v>199</v>
      </c>
      <c r="B201" s="26">
        <v>199</v>
      </c>
      <c r="C201" s="4" t="s">
        <v>430</v>
      </c>
      <c r="D201" s="26">
        <v>2</v>
      </c>
      <c r="E201" s="26">
        <v>465</v>
      </c>
      <c r="F201" s="26">
        <v>327</v>
      </c>
      <c r="G201" s="26">
        <v>5</v>
      </c>
      <c r="H201" s="26">
        <v>0</v>
      </c>
      <c r="I201" s="26">
        <v>1</v>
      </c>
      <c r="J201" s="26">
        <v>0</v>
      </c>
      <c r="K201" s="26">
        <v>0</v>
      </c>
      <c r="L201" s="26">
        <v>1</v>
      </c>
      <c r="M201" s="26">
        <v>4</v>
      </c>
      <c r="N201" s="26">
        <v>805</v>
      </c>
      <c r="O201" s="26">
        <v>0</v>
      </c>
      <c r="P201" s="26">
        <v>10</v>
      </c>
      <c r="Q201" s="27">
        <v>815</v>
      </c>
      <c r="R201" s="3">
        <v>0</v>
      </c>
      <c r="S201" s="3">
        <v>1061</v>
      </c>
      <c r="T201" s="28">
        <f t="shared" si="3"/>
        <v>138</v>
      </c>
      <c r="U201" s="4"/>
    </row>
    <row r="202" spans="1:21">
      <c r="A202" s="26">
        <v>200</v>
      </c>
      <c r="B202" s="26">
        <v>200</v>
      </c>
      <c r="C202" s="4" t="s">
        <v>432</v>
      </c>
      <c r="D202" s="26">
        <v>2</v>
      </c>
      <c r="E202" s="26">
        <v>409</v>
      </c>
      <c r="F202" s="26">
        <v>289</v>
      </c>
      <c r="G202" s="26">
        <v>2</v>
      </c>
      <c r="H202" s="26">
        <v>1</v>
      </c>
      <c r="I202" s="26">
        <v>1</v>
      </c>
      <c r="J202" s="26">
        <v>1</v>
      </c>
      <c r="K202" s="26">
        <v>2</v>
      </c>
      <c r="L202" s="26">
        <v>1</v>
      </c>
      <c r="M202" s="26">
        <v>2</v>
      </c>
      <c r="N202" s="26">
        <v>710</v>
      </c>
      <c r="O202" s="26">
        <v>0</v>
      </c>
      <c r="P202" s="26">
        <v>12</v>
      </c>
      <c r="Q202" s="27">
        <v>722</v>
      </c>
      <c r="R202" s="3">
        <v>0</v>
      </c>
      <c r="S202" s="3">
        <v>1224</v>
      </c>
      <c r="T202" s="28">
        <f t="shared" si="3"/>
        <v>120</v>
      </c>
      <c r="U202" s="4"/>
    </row>
    <row r="203" spans="1:21">
      <c r="A203" s="26">
        <v>201</v>
      </c>
      <c r="B203" s="26">
        <v>201</v>
      </c>
      <c r="C203" s="4" t="s">
        <v>434</v>
      </c>
      <c r="D203" s="26">
        <v>4</v>
      </c>
      <c r="E203" s="26">
        <v>194</v>
      </c>
      <c r="F203" s="26">
        <v>243</v>
      </c>
      <c r="G203" s="26">
        <v>0</v>
      </c>
      <c r="H203" s="26">
        <v>0</v>
      </c>
      <c r="I203" s="26">
        <v>0</v>
      </c>
      <c r="J203" s="26">
        <v>0</v>
      </c>
      <c r="K203" s="26">
        <v>0</v>
      </c>
      <c r="L203" s="26">
        <v>1</v>
      </c>
      <c r="M203" s="26">
        <v>0</v>
      </c>
      <c r="N203" s="26">
        <v>442</v>
      </c>
      <c r="O203" s="26">
        <v>0</v>
      </c>
      <c r="P203" s="26">
        <v>1</v>
      </c>
      <c r="Q203" s="27">
        <v>443</v>
      </c>
      <c r="R203" s="3">
        <v>0</v>
      </c>
      <c r="S203" s="3">
        <v>716</v>
      </c>
      <c r="T203" s="28">
        <f t="shared" si="3"/>
        <v>49</v>
      </c>
      <c r="U203" s="4"/>
    </row>
    <row r="204" spans="1:21">
      <c r="A204" s="26">
        <v>202</v>
      </c>
      <c r="B204" s="26">
        <v>202</v>
      </c>
      <c r="C204" s="4" t="s">
        <v>436</v>
      </c>
      <c r="D204" s="26">
        <v>2</v>
      </c>
      <c r="E204" s="26">
        <v>232</v>
      </c>
      <c r="F204" s="26">
        <v>164</v>
      </c>
      <c r="G204" s="26">
        <v>1</v>
      </c>
      <c r="H204" s="26">
        <v>0</v>
      </c>
      <c r="I204" s="26">
        <v>0</v>
      </c>
      <c r="J204" s="26">
        <v>0</v>
      </c>
      <c r="K204" s="26">
        <v>0</v>
      </c>
      <c r="L204" s="26">
        <v>10</v>
      </c>
      <c r="M204" s="26">
        <v>2</v>
      </c>
      <c r="N204" s="26">
        <v>411</v>
      </c>
      <c r="O204" s="26">
        <v>0</v>
      </c>
      <c r="P204" s="26">
        <v>5</v>
      </c>
      <c r="Q204" s="27">
        <v>416</v>
      </c>
      <c r="R204" s="3">
        <v>0</v>
      </c>
      <c r="S204" s="3">
        <v>689</v>
      </c>
      <c r="T204" s="28">
        <f t="shared" si="3"/>
        <v>68</v>
      </c>
      <c r="U204" s="4"/>
    </row>
    <row r="205" spans="1:21">
      <c r="A205" s="26">
        <v>203</v>
      </c>
      <c r="B205" s="26">
        <v>203</v>
      </c>
      <c r="C205" s="4" t="s">
        <v>438</v>
      </c>
      <c r="D205" s="26">
        <v>3</v>
      </c>
      <c r="E205" s="26">
        <v>506</v>
      </c>
      <c r="F205" s="26">
        <v>264</v>
      </c>
      <c r="G205" s="26">
        <v>6</v>
      </c>
      <c r="H205" s="26">
        <v>0</v>
      </c>
      <c r="I205" s="26">
        <v>1</v>
      </c>
      <c r="J205" s="26">
        <v>1</v>
      </c>
      <c r="K205" s="26">
        <v>0</v>
      </c>
      <c r="L205" s="26">
        <v>4</v>
      </c>
      <c r="M205" s="26">
        <v>3</v>
      </c>
      <c r="N205" s="26">
        <v>788</v>
      </c>
      <c r="O205" s="26">
        <v>0</v>
      </c>
      <c r="P205" s="26">
        <v>5</v>
      </c>
      <c r="Q205" s="27">
        <v>793</v>
      </c>
      <c r="R205" s="3">
        <v>0</v>
      </c>
      <c r="S205" s="3">
        <v>1180</v>
      </c>
      <c r="T205" s="28">
        <f t="shared" si="3"/>
        <v>242</v>
      </c>
      <c r="U205" s="4"/>
    </row>
    <row r="206" spans="1:21">
      <c r="A206" s="26">
        <v>204</v>
      </c>
      <c r="B206" s="26">
        <v>204</v>
      </c>
      <c r="C206" s="4" t="s">
        <v>440</v>
      </c>
      <c r="D206" s="26">
        <v>5</v>
      </c>
      <c r="E206" s="26">
        <v>621</v>
      </c>
      <c r="F206" s="26">
        <v>427</v>
      </c>
      <c r="G206" s="26">
        <v>1</v>
      </c>
      <c r="H206" s="26">
        <v>1</v>
      </c>
      <c r="I206" s="26">
        <v>0</v>
      </c>
      <c r="J206" s="26">
        <v>1</v>
      </c>
      <c r="K206" s="26">
        <v>1</v>
      </c>
      <c r="L206" s="26">
        <v>1</v>
      </c>
      <c r="M206" s="26">
        <v>0</v>
      </c>
      <c r="N206" s="26">
        <v>1058</v>
      </c>
      <c r="O206" s="26">
        <v>0</v>
      </c>
      <c r="P206" s="26">
        <v>6</v>
      </c>
      <c r="Q206" s="27">
        <v>1064</v>
      </c>
      <c r="R206" s="3">
        <v>0</v>
      </c>
      <c r="S206" s="3">
        <v>1485</v>
      </c>
      <c r="T206" s="28">
        <f t="shared" si="3"/>
        <v>194</v>
      </c>
      <c r="U206" s="4"/>
    </row>
    <row r="207" spans="1:21">
      <c r="A207" s="26">
        <v>205</v>
      </c>
      <c r="B207" s="26">
        <v>205</v>
      </c>
      <c r="C207" s="4" t="s">
        <v>442</v>
      </c>
      <c r="D207" s="26">
        <v>10</v>
      </c>
      <c r="E207" s="26">
        <v>353</v>
      </c>
      <c r="F207" s="26">
        <v>186</v>
      </c>
      <c r="G207" s="26">
        <v>3</v>
      </c>
      <c r="H207" s="26">
        <v>0</v>
      </c>
      <c r="I207" s="26">
        <v>2</v>
      </c>
      <c r="J207" s="26">
        <v>0</v>
      </c>
      <c r="K207" s="26">
        <v>3</v>
      </c>
      <c r="L207" s="26">
        <v>1</v>
      </c>
      <c r="M207" s="26">
        <v>1</v>
      </c>
      <c r="N207" s="26">
        <v>559</v>
      </c>
      <c r="O207" s="26">
        <v>0</v>
      </c>
      <c r="P207" s="26">
        <v>6</v>
      </c>
      <c r="Q207" s="27">
        <v>565</v>
      </c>
      <c r="R207" s="3">
        <v>0</v>
      </c>
      <c r="S207" s="3">
        <v>821</v>
      </c>
      <c r="T207" s="28">
        <f t="shared" si="3"/>
        <v>167</v>
      </c>
      <c r="U207" s="4"/>
    </row>
    <row r="208" spans="1:21">
      <c r="A208" s="26">
        <v>206</v>
      </c>
      <c r="B208" s="26">
        <v>206</v>
      </c>
      <c r="C208" s="4" t="s">
        <v>444</v>
      </c>
      <c r="D208" s="26">
        <v>4</v>
      </c>
      <c r="E208" s="26">
        <v>407</v>
      </c>
      <c r="F208" s="26">
        <v>259</v>
      </c>
      <c r="G208" s="26">
        <v>1</v>
      </c>
      <c r="H208" s="26">
        <v>2</v>
      </c>
      <c r="I208" s="26">
        <v>4</v>
      </c>
      <c r="J208" s="26">
        <v>0</v>
      </c>
      <c r="K208" s="26">
        <v>2</v>
      </c>
      <c r="L208" s="26">
        <v>1</v>
      </c>
      <c r="M208" s="26">
        <v>3</v>
      </c>
      <c r="N208" s="26">
        <v>683</v>
      </c>
      <c r="O208" s="26">
        <v>0</v>
      </c>
      <c r="P208" s="26">
        <v>6</v>
      </c>
      <c r="Q208" s="27">
        <v>689</v>
      </c>
      <c r="R208" s="3">
        <v>0</v>
      </c>
      <c r="S208" s="3">
        <v>937</v>
      </c>
      <c r="T208" s="28">
        <f t="shared" si="3"/>
        <v>148</v>
      </c>
      <c r="U208" s="4"/>
    </row>
    <row r="209" spans="1:21">
      <c r="A209" s="26">
        <v>207</v>
      </c>
      <c r="B209" s="26">
        <v>207</v>
      </c>
      <c r="C209" s="4" t="s">
        <v>446</v>
      </c>
      <c r="D209" s="26">
        <v>2</v>
      </c>
      <c r="E209" s="26">
        <v>480</v>
      </c>
      <c r="F209" s="26">
        <v>260</v>
      </c>
      <c r="G209" s="26">
        <v>2</v>
      </c>
      <c r="H209" s="26">
        <v>1</v>
      </c>
      <c r="I209" s="26">
        <v>1</v>
      </c>
      <c r="J209" s="26">
        <v>0</v>
      </c>
      <c r="K209" s="26">
        <v>3</v>
      </c>
      <c r="L209" s="26">
        <v>1</v>
      </c>
      <c r="M209" s="26">
        <v>1</v>
      </c>
      <c r="N209" s="26">
        <v>751</v>
      </c>
      <c r="O209" s="26">
        <v>0</v>
      </c>
      <c r="P209" s="26">
        <v>8</v>
      </c>
      <c r="Q209" s="27">
        <v>759</v>
      </c>
      <c r="R209" s="3">
        <v>0</v>
      </c>
      <c r="S209" s="3">
        <v>1021</v>
      </c>
      <c r="T209" s="28">
        <f t="shared" si="3"/>
        <v>220</v>
      </c>
      <c r="U209" s="4"/>
    </row>
    <row r="210" spans="1:21">
      <c r="A210" s="26">
        <v>208</v>
      </c>
      <c r="B210" s="26">
        <v>208</v>
      </c>
      <c r="C210" s="4" t="s">
        <v>448</v>
      </c>
      <c r="D210" s="26">
        <v>5</v>
      </c>
      <c r="E210" s="26">
        <v>490</v>
      </c>
      <c r="F210" s="26">
        <v>231</v>
      </c>
      <c r="G210" s="26">
        <v>1</v>
      </c>
      <c r="H210" s="26">
        <v>0</v>
      </c>
      <c r="I210" s="26">
        <v>0</v>
      </c>
      <c r="J210" s="26">
        <v>0</v>
      </c>
      <c r="K210" s="26">
        <v>0</v>
      </c>
      <c r="L210" s="26">
        <v>1</v>
      </c>
      <c r="M210" s="26">
        <v>0</v>
      </c>
      <c r="N210" s="26">
        <v>728</v>
      </c>
      <c r="O210" s="26">
        <v>0</v>
      </c>
      <c r="P210" s="26">
        <v>5</v>
      </c>
      <c r="Q210" s="27">
        <v>733</v>
      </c>
      <c r="R210" s="3">
        <v>0</v>
      </c>
      <c r="S210" s="3">
        <v>1131</v>
      </c>
      <c r="T210" s="28">
        <f t="shared" si="3"/>
        <v>259</v>
      </c>
      <c r="U210" s="4"/>
    </row>
    <row r="211" spans="1:21">
      <c r="A211" s="26">
        <v>209</v>
      </c>
      <c r="B211" s="26">
        <v>209</v>
      </c>
      <c r="C211" s="4" t="s">
        <v>450</v>
      </c>
      <c r="D211" s="26">
        <v>3</v>
      </c>
      <c r="E211" s="26">
        <v>437</v>
      </c>
      <c r="F211" s="26">
        <v>298</v>
      </c>
      <c r="G211" s="26">
        <v>4</v>
      </c>
      <c r="H211" s="26">
        <v>0</v>
      </c>
      <c r="I211" s="26">
        <v>1</v>
      </c>
      <c r="J211" s="26">
        <v>0</v>
      </c>
      <c r="K211" s="26">
        <v>3</v>
      </c>
      <c r="L211" s="26">
        <v>2</v>
      </c>
      <c r="M211" s="26">
        <v>1</v>
      </c>
      <c r="N211" s="26">
        <v>749</v>
      </c>
      <c r="O211" s="26">
        <v>0</v>
      </c>
      <c r="P211" s="26">
        <v>8</v>
      </c>
      <c r="Q211" s="27">
        <v>757</v>
      </c>
      <c r="R211" s="3">
        <v>0</v>
      </c>
      <c r="S211" s="3">
        <v>1286</v>
      </c>
      <c r="T211" s="28">
        <f t="shared" si="3"/>
        <v>139</v>
      </c>
      <c r="U211" s="4"/>
    </row>
    <row r="212" spans="1:21">
      <c r="A212" s="26">
        <v>210</v>
      </c>
      <c r="B212" s="26">
        <v>210</v>
      </c>
      <c r="C212" s="4" t="s">
        <v>452</v>
      </c>
      <c r="D212" s="26">
        <v>5</v>
      </c>
      <c r="E212" s="26">
        <v>419</v>
      </c>
      <c r="F212" s="26">
        <v>295</v>
      </c>
      <c r="G212" s="26">
        <v>4</v>
      </c>
      <c r="H212" s="26">
        <v>0</v>
      </c>
      <c r="I212" s="26">
        <v>2</v>
      </c>
      <c r="J212" s="26">
        <v>0</v>
      </c>
      <c r="K212" s="26">
        <v>1</v>
      </c>
      <c r="L212" s="26">
        <v>1</v>
      </c>
      <c r="M212" s="26">
        <v>0</v>
      </c>
      <c r="N212" s="26">
        <v>727</v>
      </c>
      <c r="O212" s="26">
        <v>0</v>
      </c>
      <c r="P212" s="26">
        <v>4</v>
      </c>
      <c r="Q212" s="27">
        <v>731</v>
      </c>
      <c r="R212" s="3">
        <v>0</v>
      </c>
      <c r="S212" s="3">
        <v>1128</v>
      </c>
      <c r="T212" s="28">
        <f t="shared" si="3"/>
        <v>124</v>
      </c>
      <c r="U212" s="4"/>
    </row>
    <row r="213" spans="1:21">
      <c r="A213" s="26">
        <v>211</v>
      </c>
      <c r="B213" s="26">
        <v>211</v>
      </c>
      <c r="C213" s="4" t="s">
        <v>454</v>
      </c>
      <c r="D213" s="26">
        <v>10</v>
      </c>
      <c r="E213" s="26">
        <v>313</v>
      </c>
      <c r="F213" s="26">
        <v>169</v>
      </c>
      <c r="G213" s="26">
        <v>0</v>
      </c>
      <c r="H213" s="26">
        <v>0</v>
      </c>
      <c r="I213" s="26">
        <v>0</v>
      </c>
      <c r="J213" s="26">
        <v>0</v>
      </c>
      <c r="K213" s="26">
        <v>0</v>
      </c>
      <c r="L213" s="26">
        <v>1</v>
      </c>
      <c r="M213" s="26">
        <v>1</v>
      </c>
      <c r="N213" s="26">
        <v>494</v>
      </c>
      <c r="O213" s="26">
        <v>0</v>
      </c>
      <c r="P213" s="26">
        <v>9</v>
      </c>
      <c r="Q213" s="27">
        <v>503</v>
      </c>
      <c r="R213" s="3">
        <v>0</v>
      </c>
      <c r="S213" s="3">
        <v>767</v>
      </c>
      <c r="T213" s="28">
        <f t="shared" si="3"/>
        <v>144</v>
      </c>
      <c r="U213" s="4"/>
    </row>
    <row r="214" spans="1:21">
      <c r="A214" s="26">
        <v>212</v>
      </c>
      <c r="B214" s="26">
        <v>212</v>
      </c>
      <c r="C214" s="4" t="s">
        <v>456</v>
      </c>
      <c r="D214" s="26">
        <v>0</v>
      </c>
      <c r="E214" s="26">
        <v>281</v>
      </c>
      <c r="F214" s="26">
        <v>215</v>
      </c>
      <c r="G214" s="26">
        <v>0</v>
      </c>
      <c r="H214" s="26">
        <v>0</v>
      </c>
      <c r="I214" s="26">
        <v>0</v>
      </c>
      <c r="J214" s="26">
        <v>0</v>
      </c>
      <c r="K214" s="26">
        <v>0</v>
      </c>
      <c r="L214" s="26">
        <v>2</v>
      </c>
      <c r="M214" s="26">
        <v>0</v>
      </c>
      <c r="N214" s="26">
        <v>498</v>
      </c>
      <c r="O214" s="26">
        <v>0</v>
      </c>
      <c r="P214" s="26">
        <v>2</v>
      </c>
      <c r="Q214" s="27">
        <v>500</v>
      </c>
      <c r="R214" s="3">
        <v>0</v>
      </c>
      <c r="S214" s="3">
        <v>807</v>
      </c>
      <c r="T214" s="28">
        <f t="shared" si="3"/>
        <v>66</v>
      </c>
      <c r="U214" s="4"/>
    </row>
    <row r="215" spans="1:21">
      <c r="A215" s="26">
        <v>213</v>
      </c>
      <c r="B215" s="26">
        <v>213</v>
      </c>
      <c r="C215" s="4" t="s">
        <v>458</v>
      </c>
      <c r="D215" s="26">
        <v>1</v>
      </c>
      <c r="E215" s="26">
        <v>314</v>
      </c>
      <c r="F215" s="26">
        <v>269</v>
      </c>
      <c r="G215" s="26">
        <v>3</v>
      </c>
      <c r="H215" s="26">
        <v>0</v>
      </c>
      <c r="I215" s="26">
        <v>0</v>
      </c>
      <c r="J215" s="26">
        <v>0</v>
      </c>
      <c r="K215" s="26">
        <v>0</v>
      </c>
      <c r="L215" s="26">
        <v>1</v>
      </c>
      <c r="M215" s="26">
        <v>0</v>
      </c>
      <c r="N215" s="26">
        <v>588</v>
      </c>
      <c r="O215" s="26">
        <v>0</v>
      </c>
      <c r="P215" s="26">
        <v>2</v>
      </c>
      <c r="Q215" s="27">
        <v>590</v>
      </c>
      <c r="R215" s="3">
        <v>0</v>
      </c>
      <c r="S215" s="3">
        <v>837</v>
      </c>
      <c r="T215" s="28">
        <f t="shared" si="3"/>
        <v>45</v>
      </c>
      <c r="U215" s="4"/>
    </row>
    <row r="216" spans="1:21">
      <c r="A216" s="26">
        <v>214</v>
      </c>
      <c r="B216" s="26">
        <v>214</v>
      </c>
      <c r="C216" s="4" t="s">
        <v>460</v>
      </c>
      <c r="D216" s="26">
        <v>0</v>
      </c>
      <c r="E216" s="26">
        <v>319</v>
      </c>
      <c r="F216" s="26">
        <v>380</v>
      </c>
      <c r="G216" s="26">
        <v>1</v>
      </c>
      <c r="H216" s="26">
        <v>0</v>
      </c>
      <c r="I216" s="26">
        <v>0</v>
      </c>
      <c r="J216" s="26">
        <v>0</v>
      </c>
      <c r="K216" s="26">
        <v>3</v>
      </c>
      <c r="L216" s="26">
        <v>2</v>
      </c>
      <c r="M216" s="26">
        <v>0</v>
      </c>
      <c r="N216" s="26">
        <v>705</v>
      </c>
      <c r="O216" s="26">
        <v>0</v>
      </c>
      <c r="P216" s="26">
        <v>3</v>
      </c>
      <c r="Q216" s="27">
        <v>708</v>
      </c>
      <c r="R216" s="3">
        <v>0</v>
      </c>
      <c r="S216" s="3">
        <v>964</v>
      </c>
      <c r="T216" s="28">
        <f t="shared" si="3"/>
        <v>61</v>
      </c>
      <c r="U216" s="4"/>
    </row>
    <row r="217" spans="1:21">
      <c r="A217" s="26">
        <v>215</v>
      </c>
      <c r="B217" s="26">
        <v>215</v>
      </c>
      <c r="C217" s="4" t="s">
        <v>462</v>
      </c>
      <c r="D217" s="26">
        <v>2</v>
      </c>
      <c r="E217" s="26">
        <v>279</v>
      </c>
      <c r="F217" s="26">
        <v>258</v>
      </c>
      <c r="G217" s="26">
        <v>0</v>
      </c>
      <c r="H217" s="26">
        <v>0</v>
      </c>
      <c r="I217" s="26">
        <v>1</v>
      </c>
      <c r="J217" s="26">
        <v>0</v>
      </c>
      <c r="K217" s="26">
        <v>0</v>
      </c>
      <c r="L217" s="26">
        <v>0</v>
      </c>
      <c r="M217" s="26">
        <v>0</v>
      </c>
      <c r="N217" s="26">
        <v>540</v>
      </c>
      <c r="O217" s="26">
        <v>0</v>
      </c>
      <c r="P217" s="26">
        <v>15</v>
      </c>
      <c r="Q217" s="27">
        <v>555</v>
      </c>
      <c r="R217" s="3">
        <v>0</v>
      </c>
      <c r="S217" s="3">
        <v>769</v>
      </c>
      <c r="T217" s="28">
        <f t="shared" si="3"/>
        <v>21</v>
      </c>
      <c r="U217" s="4"/>
    </row>
    <row r="218" spans="1:21">
      <c r="A218" s="26">
        <v>216</v>
      </c>
      <c r="B218" s="26">
        <v>216</v>
      </c>
      <c r="C218" s="4" t="s">
        <v>464</v>
      </c>
      <c r="D218" s="26">
        <v>1</v>
      </c>
      <c r="E218" s="26">
        <v>278</v>
      </c>
      <c r="F218" s="26">
        <v>169</v>
      </c>
      <c r="G218" s="26">
        <v>0</v>
      </c>
      <c r="H218" s="26">
        <v>0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448</v>
      </c>
      <c r="O218" s="26">
        <v>0</v>
      </c>
      <c r="P218" s="26">
        <v>5</v>
      </c>
      <c r="Q218" s="27">
        <v>453</v>
      </c>
      <c r="R218" s="3">
        <v>0</v>
      </c>
      <c r="S218" s="3">
        <v>646</v>
      </c>
      <c r="T218" s="28">
        <f t="shared" si="3"/>
        <v>109</v>
      </c>
      <c r="U218" s="4"/>
    </row>
    <row r="219" spans="1:21">
      <c r="A219" s="26">
        <v>217</v>
      </c>
      <c r="B219" s="26">
        <v>217</v>
      </c>
      <c r="C219" s="4" t="s">
        <v>466</v>
      </c>
      <c r="D219" s="26">
        <v>2</v>
      </c>
      <c r="E219" s="26">
        <v>290</v>
      </c>
      <c r="F219" s="26">
        <v>247</v>
      </c>
      <c r="G219" s="26">
        <v>1</v>
      </c>
      <c r="H219" s="26">
        <v>0</v>
      </c>
      <c r="I219" s="26">
        <v>1</v>
      </c>
      <c r="J219" s="26">
        <v>0</v>
      </c>
      <c r="K219" s="26">
        <v>0</v>
      </c>
      <c r="L219" s="26">
        <v>0</v>
      </c>
      <c r="M219" s="26">
        <v>0</v>
      </c>
      <c r="N219" s="26">
        <v>541</v>
      </c>
      <c r="O219" s="26">
        <v>0</v>
      </c>
      <c r="P219" s="26">
        <v>8</v>
      </c>
      <c r="Q219" s="27">
        <v>549</v>
      </c>
      <c r="R219" s="3">
        <v>0</v>
      </c>
      <c r="S219" s="3">
        <v>780</v>
      </c>
      <c r="T219" s="28">
        <f t="shared" si="3"/>
        <v>43</v>
      </c>
      <c r="U219" s="4"/>
    </row>
    <row r="220" spans="1:21">
      <c r="A220" s="26">
        <v>218</v>
      </c>
      <c r="B220" s="26">
        <v>218</v>
      </c>
      <c r="C220" s="4" t="s">
        <v>468</v>
      </c>
      <c r="D220" s="26">
        <v>3</v>
      </c>
      <c r="E220" s="26">
        <v>235</v>
      </c>
      <c r="F220" s="26">
        <v>125</v>
      </c>
      <c r="G220" s="26">
        <v>1</v>
      </c>
      <c r="H220" s="26">
        <v>0</v>
      </c>
      <c r="I220" s="26">
        <v>0</v>
      </c>
      <c r="J220" s="26">
        <v>0</v>
      </c>
      <c r="K220" s="26">
        <v>0</v>
      </c>
      <c r="L220" s="26">
        <v>2</v>
      </c>
      <c r="M220" s="26">
        <v>0</v>
      </c>
      <c r="N220" s="26">
        <v>366</v>
      </c>
      <c r="O220" s="26">
        <v>0</v>
      </c>
      <c r="P220" s="26">
        <v>4</v>
      </c>
      <c r="Q220" s="27">
        <v>370</v>
      </c>
      <c r="R220" s="3">
        <v>0</v>
      </c>
      <c r="S220" s="3">
        <v>533</v>
      </c>
      <c r="T220" s="28">
        <f t="shared" si="3"/>
        <v>110</v>
      </c>
      <c r="U220" s="4"/>
    </row>
    <row r="221" spans="1:21">
      <c r="A221" s="26">
        <v>219</v>
      </c>
      <c r="B221" s="26">
        <v>219</v>
      </c>
      <c r="C221" s="4" t="s">
        <v>470</v>
      </c>
      <c r="D221" s="26">
        <v>6</v>
      </c>
      <c r="E221" s="26">
        <v>378</v>
      </c>
      <c r="F221" s="26">
        <v>309</v>
      </c>
      <c r="G221" s="26">
        <v>1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1</v>
      </c>
      <c r="N221" s="26">
        <v>695</v>
      </c>
      <c r="O221" s="26">
        <v>0</v>
      </c>
      <c r="P221" s="26">
        <v>14</v>
      </c>
      <c r="Q221" s="27">
        <v>709</v>
      </c>
      <c r="R221" s="3">
        <v>0</v>
      </c>
      <c r="S221" s="3">
        <v>1114</v>
      </c>
      <c r="T221" s="28">
        <f t="shared" si="3"/>
        <v>69</v>
      </c>
      <c r="U221" s="4"/>
    </row>
    <row r="222" spans="1:21">
      <c r="A222" s="26">
        <v>220</v>
      </c>
      <c r="B222" s="26">
        <v>220</v>
      </c>
      <c r="C222" s="4" t="s">
        <v>472</v>
      </c>
      <c r="D222" s="26">
        <v>5</v>
      </c>
      <c r="E222" s="26">
        <v>320</v>
      </c>
      <c r="F222" s="26">
        <v>287</v>
      </c>
      <c r="G222" s="26">
        <v>1</v>
      </c>
      <c r="H222" s="26">
        <v>0</v>
      </c>
      <c r="I222" s="26">
        <v>0</v>
      </c>
      <c r="J222" s="26">
        <v>0</v>
      </c>
      <c r="K222" s="26">
        <v>0</v>
      </c>
      <c r="L222" s="26">
        <v>0</v>
      </c>
      <c r="M222" s="26">
        <v>0</v>
      </c>
      <c r="N222" s="26">
        <v>613</v>
      </c>
      <c r="O222" s="26">
        <v>0</v>
      </c>
      <c r="P222" s="26">
        <v>13</v>
      </c>
      <c r="Q222" s="27">
        <v>626</v>
      </c>
      <c r="R222" s="3">
        <v>0</v>
      </c>
      <c r="S222" s="3">
        <v>891</v>
      </c>
      <c r="T222" s="28">
        <f t="shared" si="3"/>
        <v>33</v>
      </c>
      <c r="U222" s="4"/>
    </row>
    <row r="223" spans="1:21">
      <c r="A223" s="26">
        <v>221</v>
      </c>
      <c r="B223" s="26">
        <v>221</v>
      </c>
      <c r="C223" s="4" t="s">
        <v>474</v>
      </c>
      <c r="D223" s="26">
        <v>5</v>
      </c>
      <c r="E223" s="26">
        <v>445</v>
      </c>
      <c r="F223" s="26">
        <v>255</v>
      </c>
      <c r="G223" s="26">
        <v>4</v>
      </c>
      <c r="H223" s="26">
        <v>0</v>
      </c>
      <c r="I223" s="26">
        <v>0</v>
      </c>
      <c r="J223" s="26">
        <v>0</v>
      </c>
      <c r="K223" s="26">
        <v>1</v>
      </c>
      <c r="L223" s="26">
        <v>0</v>
      </c>
      <c r="M223" s="26">
        <v>1</v>
      </c>
      <c r="N223" s="26">
        <v>711</v>
      </c>
      <c r="O223" s="26">
        <v>0</v>
      </c>
      <c r="P223" s="26">
        <v>10</v>
      </c>
      <c r="Q223" s="27">
        <v>721</v>
      </c>
      <c r="R223" s="3">
        <v>0</v>
      </c>
      <c r="S223" s="3">
        <v>975</v>
      </c>
      <c r="T223" s="28">
        <f t="shared" si="3"/>
        <v>190</v>
      </c>
      <c r="U223" s="4"/>
    </row>
    <row r="224" spans="1:21">
      <c r="A224" s="26">
        <v>222</v>
      </c>
      <c r="B224" s="26">
        <v>222</v>
      </c>
      <c r="C224" s="4" t="s">
        <v>476</v>
      </c>
      <c r="D224" s="26">
        <v>1</v>
      </c>
      <c r="E224" s="26">
        <v>239</v>
      </c>
      <c r="F224" s="26">
        <v>236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6">
        <v>0</v>
      </c>
      <c r="M224" s="26">
        <v>2</v>
      </c>
      <c r="N224" s="26">
        <v>478</v>
      </c>
      <c r="O224" s="26">
        <v>0</v>
      </c>
      <c r="P224" s="26">
        <v>8</v>
      </c>
      <c r="Q224" s="27">
        <v>486</v>
      </c>
      <c r="R224" s="3">
        <v>0</v>
      </c>
      <c r="S224" s="3">
        <v>683</v>
      </c>
      <c r="T224" s="28">
        <f t="shared" si="3"/>
        <v>3</v>
      </c>
      <c r="U224" s="4"/>
    </row>
    <row r="225" spans="1:21">
      <c r="A225" s="26">
        <v>223</v>
      </c>
      <c r="B225" s="26">
        <v>223</v>
      </c>
      <c r="C225" s="4" t="s">
        <v>478</v>
      </c>
      <c r="D225" s="26">
        <v>3</v>
      </c>
      <c r="E225" s="26">
        <v>496</v>
      </c>
      <c r="F225" s="26">
        <v>292</v>
      </c>
      <c r="G225" s="26">
        <v>2</v>
      </c>
      <c r="H225" s="26">
        <v>0</v>
      </c>
      <c r="I225" s="26">
        <v>1</v>
      </c>
      <c r="J225" s="26">
        <v>1</v>
      </c>
      <c r="K225" s="26">
        <v>2</v>
      </c>
      <c r="L225" s="26">
        <v>0</v>
      </c>
      <c r="M225" s="26">
        <v>0</v>
      </c>
      <c r="N225" s="26">
        <v>797</v>
      </c>
      <c r="O225" s="26">
        <v>0</v>
      </c>
      <c r="P225" s="26">
        <v>9</v>
      </c>
      <c r="Q225" s="27">
        <v>806</v>
      </c>
      <c r="R225" s="3">
        <v>0</v>
      </c>
      <c r="S225" s="3">
        <v>1258</v>
      </c>
      <c r="T225" s="28">
        <f t="shared" si="3"/>
        <v>204</v>
      </c>
      <c r="U225" s="4"/>
    </row>
    <row r="226" spans="1:21">
      <c r="A226" s="26">
        <v>224</v>
      </c>
      <c r="B226" s="26">
        <v>224</v>
      </c>
      <c r="C226" s="4" t="s">
        <v>480</v>
      </c>
      <c r="D226" s="26">
        <v>4</v>
      </c>
      <c r="E226" s="26">
        <v>106</v>
      </c>
      <c r="F226" s="26">
        <v>180</v>
      </c>
      <c r="G226" s="26">
        <v>0</v>
      </c>
      <c r="H226" s="26">
        <v>2</v>
      </c>
      <c r="I226" s="26">
        <v>0</v>
      </c>
      <c r="J226" s="26">
        <v>0</v>
      </c>
      <c r="K226" s="26">
        <v>0</v>
      </c>
      <c r="L226" s="26">
        <v>0</v>
      </c>
      <c r="M226" s="26">
        <v>0</v>
      </c>
      <c r="N226" s="26">
        <v>292</v>
      </c>
      <c r="O226" s="26">
        <v>0</v>
      </c>
      <c r="P226" s="26">
        <v>3</v>
      </c>
      <c r="Q226" s="27">
        <v>295</v>
      </c>
      <c r="R226" s="3">
        <v>0</v>
      </c>
      <c r="S226" s="3">
        <v>758</v>
      </c>
      <c r="T226" s="28">
        <f t="shared" si="3"/>
        <v>74</v>
      </c>
      <c r="U226" s="4"/>
    </row>
    <row r="227" spans="1:21">
      <c r="A227" s="26">
        <v>225</v>
      </c>
      <c r="B227" s="26">
        <v>225</v>
      </c>
      <c r="C227" s="4" t="s">
        <v>482</v>
      </c>
      <c r="D227" s="26">
        <v>3</v>
      </c>
      <c r="E227" s="26">
        <v>476</v>
      </c>
      <c r="F227" s="26">
        <v>254</v>
      </c>
      <c r="G227" s="26">
        <v>1</v>
      </c>
      <c r="H227" s="26">
        <v>0</v>
      </c>
      <c r="I227" s="26">
        <v>0</v>
      </c>
      <c r="J227" s="26">
        <v>0</v>
      </c>
      <c r="K227" s="26">
        <v>1</v>
      </c>
      <c r="L227" s="26">
        <v>1</v>
      </c>
      <c r="M227" s="26">
        <v>0</v>
      </c>
      <c r="N227" s="26">
        <v>736</v>
      </c>
      <c r="O227" s="26">
        <v>0</v>
      </c>
      <c r="P227" s="26">
        <v>6</v>
      </c>
      <c r="Q227" s="27">
        <v>742</v>
      </c>
      <c r="R227" s="3">
        <v>0</v>
      </c>
      <c r="S227" s="3">
        <v>947</v>
      </c>
      <c r="T227" s="28">
        <f t="shared" si="3"/>
        <v>222</v>
      </c>
      <c r="U227" s="4"/>
    </row>
    <row r="228" spans="1:21">
      <c r="A228" s="26">
        <v>226</v>
      </c>
      <c r="B228" s="26">
        <v>226</v>
      </c>
      <c r="C228" s="4" t="s">
        <v>484</v>
      </c>
      <c r="D228" s="26">
        <v>2</v>
      </c>
      <c r="E228" s="26">
        <v>503</v>
      </c>
      <c r="F228" s="26">
        <v>310</v>
      </c>
      <c r="G228" s="26">
        <v>1</v>
      </c>
      <c r="H228" s="26">
        <v>0</v>
      </c>
      <c r="I228" s="26">
        <v>0</v>
      </c>
      <c r="J228" s="26">
        <v>1</v>
      </c>
      <c r="K228" s="26">
        <v>3</v>
      </c>
      <c r="L228" s="26">
        <v>4</v>
      </c>
      <c r="M228" s="26">
        <v>2</v>
      </c>
      <c r="N228" s="26">
        <v>826</v>
      </c>
      <c r="O228" s="26">
        <v>0</v>
      </c>
      <c r="P228" s="26">
        <v>6</v>
      </c>
      <c r="Q228" s="27">
        <v>832</v>
      </c>
      <c r="R228" s="3">
        <v>0</v>
      </c>
      <c r="S228" s="3">
        <v>1290</v>
      </c>
      <c r="T228" s="28">
        <f t="shared" si="3"/>
        <v>193</v>
      </c>
      <c r="U228" s="4"/>
    </row>
    <row r="229" spans="1:21">
      <c r="A229" s="26">
        <v>227</v>
      </c>
      <c r="B229" s="26">
        <v>227</v>
      </c>
      <c r="C229" s="4" t="s">
        <v>486</v>
      </c>
      <c r="D229" s="26">
        <v>6</v>
      </c>
      <c r="E229" s="26">
        <v>502</v>
      </c>
      <c r="F229" s="26">
        <v>297</v>
      </c>
      <c r="G229" s="26">
        <v>0</v>
      </c>
      <c r="H229" s="26">
        <v>0</v>
      </c>
      <c r="I229" s="26">
        <v>0</v>
      </c>
      <c r="J229" s="26">
        <v>0</v>
      </c>
      <c r="K229" s="26">
        <v>1</v>
      </c>
      <c r="L229" s="26">
        <v>3</v>
      </c>
      <c r="M229" s="26">
        <v>2</v>
      </c>
      <c r="N229" s="26">
        <v>811</v>
      </c>
      <c r="O229" s="26">
        <v>0</v>
      </c>
      <c r="P229" s="26">
        <v>15</v>
      </c>
      <c r="Q229" s="27">
        <v>826</v>
      </c>
      <c r="R229" s="3">
        <v>0</v>
      </c>
      <c r="S229" s="3">
        <v>1229</v>
      </c>
      <c r="T229" s="28">
        <f t="shared" si="3"/>
        <v>205</v>
      </c>
      <c r="U229" s="4"/>
    </row>
    <row r="230" spans="1:21">
      <c r="A230" s="26">
        <v>228</v>
      </c>
      <c r="B230" s="26">
        <v>228</v>
      </c>
      <c r="C230" s="4" t="s">
        <v>488</v>
      </c>
      <c r="D230" s="26">
        <v>5</v>
      </c>
      <c r="E230" s="26">
        <v>106</v>
      </c>
      <c r="F230" s="26">
        <v>187</v>
      </c>
      <c r="G230" s="26">
        <v>4</v>
      </c>
      <c r="H230" s="26">
        <v>0</v>
      </c>
      <c r="I230" s="26">
        <v>0</v>
      </c>
      <c r="J230" s="26">
        <v>0</v>
      </c>
      <c r="K230" s="26">
        <v>0</v>
      </c>
      <c r="L230" s="26">
        <v>0</v>
      </c>
      <c r="M230" s="26">
        <v>0</v>
      </c>
      <c r="N230" s="26">
        <v>302</v>
      </c>
      <c r="O230" s="26">
        <v>0</v>
      </c>
      <c r="P230" s="26">
        <v>1</v>
      </c>
      <c r="Q230" s="27">
        <v>303</v>
      </c>
      <c r="R230" s="3">
        <v>0</v>
      </c>
      <c r="S230" s="3">
        <v>354</v>
      </c>
      <c r="T230" s="28">
        <f t="shared" si="3"/>
        <v>81</v>
      </c>
      <c r="U230" s="4"/>
    </row>
    <row r="231" spans="1:21" ht="42">
      <c r="A231" s="26">
        <v>229</v>
      </c>
      <c r="B231" s="26">
        <v>229</v>
      </c>
      <c r="C231" s="5" t="s">
        <v>490</v>
      </c>
      <c r="D231" s="26">
        <v>3</v>
      </c>
      <c r="E231" s="26">
        <v>279</v>
      </c>
      <c r="F231" s="26">
        <v>433</v>
      </c>
      <c r="G231" s="26">
        <v>3</v>
      </c>
      <c r="H231" s="26">
        <v>0</v>
      </c>
      <c r="I231" s="26">
        <v>0</v>
      </c>
      <c r="J231" s="26">
        <v>1</v>
      </c>
      <c r="K231" s="26">
        <v>2</v>
      </c>
      <c r="L231" s="26">
        <v>2</v>
      </c>
      <c r="M231" s="26">
        <v>1</v>
      </c>
      <c r="N231" s="26">
        <v>724</v>
      </c>
      <c r="O231" s="26">
        <v>0</v>
      </c>
      <c r="P231" s="26">
        <v>1</v>
      </c>
      <c r="Q231" s="27">
        <v>725</v>
      </c>
      <c r="R231" s="3">
        <v>0</v>
      </c>
      <c r="S231" s="3">
        <v>900</v>
      </c>
      <c r="T231" s="28">
        <f t="shared" si="3"/>
        <v>154</v>
      </c>
      <c r="U231" s="5"/>
    </row>
    <row r="232" spans="1:21">
      <c r="A232" s="26">
        <v>230</v>
      </c>
      <c r="B232" s="26">
        <v>230</v>
      </c>
      <c r="C232" s="5" t="s">
        <v>492</v>
      </c>
      <c r="D232" s="26">
        <v>2</v>
      </c>
      <c r="E232" s="26">
        <v>255</v>
      </c>
      <c r="F232" s="26">
        <v>165</v>
      </c>
      <c r="G232" s="26">
        <v>1</v>
      </c>
      <c r="H232" s="26">
        <v>1</v>
      </c>
      <c r="I232" s="26">
        <v>0</v>
      </c>
      <c r="J232" s="26">
        <v>0</v>
      </c>
      <c r="K232" s="26">
        <v>0</v>
      </c>
      <c r="L232" s="26">
        <v>1</v>
      </c>
      <c r="M232" s="26">
        <v>1</v>
      </c>
      <c r="N232" s="26">
        <v>426</v>
      </c>
      <c r="O232" s="26">
        <v>0</v>
      </c>
      <c r="P232" s="26">
        <v>1</v>
      </c>
      <c r="Q232" s="27">
        <v>427</v>
      </c>
      <c r="R232" s="3">
        <v>0</v>
      </c>
      <c r="S232" s="3">
        <v>543</v>
      </c>
      <c r="T232" s="28">
        <f t="shared" si="3"/>
        <v>90</v>
      </c>
      <c r="U232" s="5"/>
    </row>
    <row r="233" spans="1:21">
      <c r="A233" s="26">
        <v>231</v>
      </c>
      <c r="B233" s="26">
        <v>231</v>
      </c>
      <c r="C233" s="5" t="s">
        <v>494</v>
      </c>
      <c r="D233" s="26">
        <v>5</v>
      </c>
      <c r="E233" s="26">
        <v>289</v>
      </c>
      <c r="F233" s="26">
        <v>193</v>
      </c>
      <c r="G233" s="26">
        <v>3</v>
      </c>
      <c r="H233" s="26">
        <v>0</v>
      </c>
      <c r="I233" s="26">
        <v>1</v>
      </c>
      <c r="J233" s="26">
        <v>0</v>
      </c>
      <c r="K233" s="26">
        <v>5</v>
      </c>
      <c r="L233" s="26">
        <v>3</v>
      </c>
      <c r="M233" s="26">
        <v>3</v>
      </c>
      <c r="N233" s="26">
        <v>502</v>
      </c>
      <c r="O233" s="26">
        <v>0</v>
      </c>
      <c r="P233" s="26">
        <v>3</v>
      </c>
      <c r="Q233" s="27">
        <v>505</v>
      </c>
      <c r="R233" s="3">
        <v>0</v>
      </c>
      <c r="S233" s="3">
        <v>616</v>
      </c>
      <c r="T233" s="28">
        <f t="shared" si="3"/>
        <v>96</v>
      </c>
      <c r="U233" s="5"/>
    </row>
    <row r="234" spans="1:21">
      <c r="A234" s="26">
        <v>232</v>
      </c>
      <c r="B234" s="26">
        <v>232</v>
      </c>
      <c r="C234" s="4" t="s">
        <v>496</v>
      </c>
      <c r="D234" s="26">
        <v>6</v>
      </c>
      <c r="E234" s="26">
        <v>217</v>
      </c>
      <c r="F234" s="26">
        <v>167</v>
      </c>
      <c r="G234" s="26">
        <v>0</v>
      </c>
      <c r="H234" s="26">
        <v>0</v>
      </c>
      <c r="I234" s="26">
        <v>0</v>
      </c>
      <c r="J234" s="26">
        <v>0</v>
      </c>
      <c r="K234" s="26">
        <v>0</v>
      </c>
      <c r="L234" s="26">
        <v>1</v>
      </c>
      <c r="M234" s="26">
        <v>2</v>
      </c>
      <c r="N234" s="26">
        <v>393</v>
      </c>
      <c r="O234" s="26">
        <v>0</v>
      </c>
      <c r="P234" s="26">
        <v>0</v>
      </c>
      <c r="Q234" s="27">
        <v>393</v>
      </c>
      <c r="R234" s="3">
        <v>0</v>
      </c>
      <c r="S234" s="3">
        <v>452</v>
      </c>
      <c r="T234" s="28">
        <f t="shared" si="3"/>
        <v>50</v>
      </c>
      <c r="U234" s="4"/>
    </row>
    <row r="235" spans="1:21">
      <c r="A235" s="26">
        <v>233</v>
      </c>
      <c r="B235" s="26">
        <v>233</v>
      </c>
      <c r="C235" s="4" t="s">
        <v>498</v>
      </c>
      <c r="D235" s="26">
        <v>4</v>
      </c>
      <c r="E235" s="26">
        <v>306</v>
      </c>
      <c r="F235" s="26">
        <v>305</v>
      </c>
      <c r="G235" s="26">
        <v>2</v>
      </c>
      <c r="H235" s="26">
        <v>0</v>
      </c>
      <c r="I235" s="26">
        <v>1</v>
      </c>
      <c r="J235" s="26">
        <v>0</v>
      </c>
      <c r="K235" s="26">
        <v>0</v>
      </c>
      <c r="L235" s="26">
        <v>2</v>
      </c>
      <c r="M235" s="26">
        <v>0</v>
      </c>
      <c r="N235" s="26">
        <v>620</v>
      </c>
      <c r="O235" s="26">
        <v>0</v>
      </c>
      <c r="P235" s="26">
        <v>1</v>
      </c>
      <c r="Q235" s="27">
        <v>621</v>
      </c>
      <c r="R235" s="3">
        <v>0</v>
      </c>
      <c r="S235" s="3">
        <v>832</v>
      </c>
      <c r="T235" s="28">
        <f t="shared" si="3"/>
        <v>1</v>
      </c>
      <c r="U235" s="4"/>
    </row>
    <row r="236" spans="1:21">
      <c r="A236" s="26">
        <v>234</v>
      </c>
      <c r="B236" s="26">
        <v>234</v>
      </c>
      <c r="C236" s="4" t="s">
        <v>500</v>
      </c>
      <c r="D236" s="26">
        <v>9</v>
      </c>
      <c r="E236" s="26">
        <v>529</v>
      </c>
      <c r="F236" s="26">
        <v>275</v>
      </c>
      <c r="G236" s="26">
        <v>3</v>
      </c>
      <c r="H236" s="26">
        <v>1</v>
      </c>
      <c r="I236" s="26">
        <v>0</v>
      </c>
      <c r="J236" s="26">
        <v>0</v>
      </c>
      <c r="K236" s="26">
        <v>0</v>
      </c>
      <c r="L236" s="26">
        <v>1</v>
      </c>
      <c r="M236" s="26">
        <v>2</v>
      </c>
      <c r="N236" s="26">
        <v>820</v>
      </c>
      <c r="O236" s="26">
        <v>0</v>
      </c>
      <c r="P236" s="26">
        <v>6</v>
      </c>
      <c r="Q236" s="27">
        <v>826</v>
      </c>
      <c r="R236" s="3">
        <v>0</v>
      </c>
      <c r="S236" s="3">
        <v>1196</v>
      </c>
      <c r="T236" s="28">
        <f t="shared" si="3"/>
        <v>254</v>
      </c>
      <c r="U236" s="4"/>
    </row>
    <row r="237" spans="1:21">
      <c r="A237" s="26">
        <v>235</v>
      </c>
      <c r="B237" s="26">
        <v>235</v>
      </c>
      <c r="C237" s="4" t="s">
        <v>502</v>
      </c>
      <c r="D237" s="26">
        <v>4</v>
      </c>
      <c r="E237" s="26">
        <v>726</v>
      </c>
      <c r="F237" s="26">
        <v>275</v>
      </c>
      <c r="G237" s="26">
        <v>1</v>
      </c>
      <c r="H237" s="26">
        <v>0</v>
      </c>
      <c r="I237" s="26">
        <v>0</v>
      </c>
      <c r="J237" s="26">
        <v>0</v>
      </c>
      <c r="K237" s="26">
        <v>2</v>
      </c>
      <c r="L237" s="26">
        <v>1</v>
      </c>
      <c r="M237" s="26">
        <v>1</v>
      </c>
      <c r="N237" s="26">
        <v>1010</v>
      </c>
      <c r="O237" s="26">
        <v>0</v>
      </c>
      <c r="P237" s="26">
        <v>7</v>
      </c>
      <c r="Q237" s="27">
        <v>1017</v>
      </c>
      <c r="R237" s="3">
        <v>0</v>
      </c>
      <c r="S237" s="3">
        <v>1467</v>
      </c>
      <c r="T237" s="28">
        <f t="shared" si="3"/>
        <v>451</v>
      </c>
      <c r="U237" s="4"/>
    </row>
    <row r="238" spans="1:21">
      <c r="A238" s="26">
        <v>236</v>
      </c>
      <c r="B238" s="26">
        <v>236</v>
      </c>
      <c r="C238" s="4" t="s">
        <v>504</v>
      </c>
      <c r="D238" s="26">
        <v>3</v>
      </c>
      <c r="E238" s="26">
        <v>292</v>
      </c>
      <c r="F238" s="26">
        <v>337</v>
      </c>
      <c r="G238" s="26">
        <v>2</v>
      </c>
      <c r="H238" s="26">
        <v>1</v>
      </c>
      <c r="I238" s="26">
        <v>2</v>
      </c>
      <c r="J238" s="26">
        <v>1</v>
      </c>
      <c r="K238" s="26">
        <v>0</v>
      </c>
      <c r="L238" s="26">
        <v>0</v>
      </c>
      <c r="M238" s="26">
        <v>2</v>
      </c>
      <c r="N238" s="26">
        <v>640</v>
      </c>
      <c r="O238" s="26">
        <v>0</v>
      </c>
      <c r="P238" s="26">
        <v>4</v>
      </c>
      <c r="Q238" s="27">
        <v>644</v>
      </c>
      <c r="R238" s="3">
        <v>0</v>
      </c>
      <c r="S238" s="3">
        <v>748</v>
      </c>
      <c r="T238" s="28">
        <f t="shared" si="3"/>
        <v>45</v>
      </c>
      <c r="U238" s="4"/>
    </row>
    <row r="239" spans="1:21">
      <c r="A239" s="26">
        <v>237</v>
      </c>
      <c r="B239" s="26">
        <v>237</v>
      </c>
      <c r="C239" s="4" t="s">
        <v>506</v>
      </c>
      <c r="D239" s="26">
        <v>2</v>
      </c>
      <c r="E239" s="26">
        <v>386</v>
      </c>
      <c r="F239" s="26">
        <v>222</v>
      </c>
      <c r="G239" s="26">
        <v>2</v>
      </c>
      <c r="H239" s="26">
        <v>1</v>
      </c>
      <c r="I239" s="26">
        <v>0</v>
      </c>
      <c r="J239" s="26">
        <v>0</v>
      </c>
      <c r="K239" s="26">
        <v>0</v>
      </c>
      <c r="L239" s="26">
        <v>2</v>
      </c>
      <c r="M239" s="26">
        <v>0</v>
      </c>
      <c r="N239" s="26">
        <v>615</v>
      </c>
      <c r="O239" s="26">
        <v>0</v>
      </c>
      <c r="P239" s="26">
        <v>1</v>
      </c>
      <c r="Q239" s="27">
        <v>616</v>
      </c>
      <c r="R239" s="3">
        <v>0</v>
      </c>
      <c r="S239" s="3">
        <v>706</v>
      </c>
      <c r="T239" s="28">
        <f t="shared" si="3"/>
        <v>164</v>
      </c>
      <c r="U239" s="4"/>
    </row>
    <row r="240" spans="1:21">
      <c r="A240" s="26">
        <v>238</v>
      </c>
      <c r="B240" s="26">
        <v>238</v>
      </c>
      <c r="C240" s="4" t="s">
        <v>508</v>
      </c>
      <c r="D240" s="26">
        <v>2</v>
      </c>
      <c r="E240" s="26">
        <v>630</v>
      </c>
      <c r="F240" s="26">
        <v>314</v>
      </c>
      <c r="G240" s="26">
        <v>4</v>
      </c>
      <c r="H240" s="26">
        <v>1</v>
      </c>
      <c r="I240" s="26">
        <v>1</v>
      </c>
      <c r="J240" s="26">
        <v>0</v>
      </c>
      <c r="K240" s="26">
        <v>0</v>
      </c>
      <c r="L240" s="26">
        <v>1</v>
      </c>
      <c r="M240" s="26">
        <v>1</v>
      </c>
      <c r="N240" s="26">
        <v>954</v>
      </c>
      <c r="O240" s="26">
        <v>0</v>
      </c>
      <c r="P240" s="26">
        <v>6</v>
      </c>
      <c r="Q240" s="27">
        <v>960</v>
      </c>
      <c r="R240" s="3">
        <v>0</v>
      </c>
      <c r="S240" s="3">
        <v>1367</v>
      </c>
      <c r="T240" s="28">
        <f t="shared" si="3"/>
        <v>316</v>
      </c>
      <c r="U240" s="4"/>
    </row>
    <row r="241" spans="1:21">
      <c r="A241" s="26">
        <v>239</v>
      </c>
      <c r="B241" s="26">
        <v>239</v>
      </c>
      <c r="C241" s="4" t="s">
        <v>510</v>
      </c>
      <c r="D241" s="26">
        <v>2</v>
      </c>
      <c r="E241" s="26">
        <v>573</v>
      </c>
      <c r="F241" s="26">
        <v>300</v>
      </c>
      <c r="G241" s="26">
        <v>3</v>
      </c>
      <c r="H241" s="26">
        <v>0</v>
      </c>
      <c r="I241" s="26">
        <v>2</v>
      </c>
      <c r="J241" s="26">
        <v>0</v>
      </c>
      <c r="K241" s="26">
        <v>0</v>
      </c>
      <c r="L241" s="26">
        <v>1</v>
      </c>
      <c r="M241" s="26">
        <v>0</v>
      </c>
      <c r="N241" s="26">
        <v>881</v>
      </c>
      <c r="O241" s="26">
        <v>0</v>
      </c>
      <c r="P241" s="26">
        <v>16</v>
      </c>
      <c r="Q241" s="27">
        <v>897</v>
      </c>
      <c r="R241" s="3">
        <v>0</v>
      </c>
      <c r="S241" s="3">
        <v>1236</v>
      </c>
      <c r="T241" s="28">
        <f t="shared" si="3"/>
        <v>273</v>
      </c>
      <c r="U241" s="4"/>
    </row>
    <row r="242" spans="1:21">
      <c r="A242" s="26">
        <v>240</v>
      </c>
      <c r="B242" s="26">
        <v>240</v>
      </c>
      <c r="C242" s="4" t="s">
        <v>512</v>
      </c>
      <c r="D242" s="26">
        <v>4</v>
      </c>
      <c r="E242" s="26">
        <v>581</v>
      </c>
      <c r="F242" s="26">
        <v>349</v>
      </c>
      <c r="G242" s="26">
        <v>0</v>
      </c>
      <c r="H242" s="26">
        <v>0</v>
      </c>
      <c r="I242" s="26">
        <v>0</v>
      </c>
      <c r="J242" s="26">
        <v>0</v>
      </c>
      <c r="K242" s="26">
        <v>2</v>
      </c>
      <c r="L242" s="26">
        <v>1</v>
      </c>
      <c r="M242" s="26">
        <v>2</v>
      </c>
      <c r="N242" s="26">
        <v>939</v>
      </c>
      <c r="O242" s="26">
        <v>0</v>
      </c>
      <c r="P242" s="26">
        <v>7</v>
      </c>
      <c r="Q242" s="27">
        <v>946</v>
      </c>
      <c r="R242" s="3">
        <v>0</v>
      </c>
      <c r="S242" s="3">
        <v>1445</v>
      </c>
      <c r="T242" s="28">
        <f t="shared" si="3"/>
        <v>232</v>
      </c>
      <c r="U242" s="4"/>
    </row>
    <row r="243" spans="1:21">
      <c r="A243" s="26">
        <v>241</v>
      </c>
      <c r="B243" s="26">
        <v>241</v>
      </c>
      <c r="C243" s="4" t="s">
        <v>514</v>
      </c>
      <c r="D243" s="26">
        <v>12</v>
      </c>
      <c r="E243" s="26">
        <v>609</v>
      </c>
      <c r="F243" s="26">
        <v>425</v>
      </c>
      <c r="G243" s="26">
        <v>2</v>
      </c>
      <c r="H243" s="26">
        <v>0</v>
      </c>
      <c r="I243" s="26">
        <v>1</v>
      </c>
      <c r="J243" s="26">
        <v>2</v>
      </c>
      <c r="K243" s="26">
        <v>2</v>
      </c>
      <c r="L243" s="26">
        <v>4</v>
      </c>
      <c r="M243" s="26">
        <v>1</v>
      </c>
      <c r="N243" s="26">
        <v>1058</v>
      </c>
      <c r="O243" s="26">
        <v>0</v>
      </c>
      <c r="P243" s="26">
        <v>10</v>
      </c>
      <c r="Q243" s="27">
        <v>1068</v>
      </c>
      <c r="R243" s="3">
        <v>0</v>
      </c>
      <c r="S243" s="3">
        <v>1486</v>
      </c>
      <c r="T243" s="28">
        <f t="shared" si="3"/>
        <v>184</v>
      </c>
      <c r="U243" s="4"/>
    </row>
    <row r="244" spans="1:21">
      <c r="A244" s="26">
        <v>242</v>
      </c>
      <c r="B244" s="26">
        <v>242</v>
      </c>
      <c r="C244" s="4" t="s">
        <v>516</v>
      </c>
      <c r="D244" s="26">
        <v>7</v>
      </c>
      <c r="E244" s="26">
        <v>516</v>
      </c>
      <c r="F244" s="26">
        <v>308</v>
      </c>
      <c r="G244" s="26">
        <v>5</v>
      </c>
      <c r="H244" s="26">
        <v>3</v>
      </c>
      <c r="I244" s="26">
        <v>0</v>
      </c>
      <c r="J244" s="26">
        <v>4</v>
      </c>
      <c r="K244" s="26">
        <v>3</v>
      </c>
      <c r="L244" s="26">
        <v>0</v>
      </c>
      <c r="M244" s="26">
        <v>2</v>
      </c>
      <c r="N244" s="26">
        <v>848</v>
      </c>
      <c r="O244" s="26">
        <v>0</v>
      </c>
      <c r="P244" s="26">
        <v>8</v>
      </c>
      <c r="Q244" s="27">
        <v>856</v>
      </c>
      <c r="R244" s="3">
        <v>0</v>
      </c>
      <c r="S244" s="3">
        <v>1019</v>
      </c>
      <c r="T244" s="28">
        <f t="shared" si="3"/>
        <v>208</v>
      </c>
      <c r="U244" s="4"/>
    </row>
    <row r="245" spans="1:21">
      <c r="A245" s="26">
        <v>243</v>
      </c>
      <c r="B245" s="26">
        <v>243</v>
      </c>
      <c r="C245" s="4" t="s">
        <v>518</v>
      </c>
      <c r="D245" s="26">
        <v>7</v>
      </c>
      <c r="E245" s="26">
        <v>462</v>
      </c>
      <c r="F245" s="26">
        <v>286</v>
      </c>
      <c r="G245" s="26">
        <v>4</v>
      </c>
      <c r="H245" s="26">
        <v>3</v>
      </c>
      <c r="I245" s="26">
        <v>0</v>
      </c>
      <c r="J245" s="26">
        <v>2</v>
      </c>
      <c r="K245" s="26">
        <v>0</v>
      </c>
      <c r="L245" s="26">
        <v>1</v>
      </c>
      <c r="M245" s="26">
        <v>1</v>
      </c>
      <c r="N245" s="26">
        <v>766</v>
      </c>
      <c r="O245" s="26">
        <v>0</v>
      </c>
      <c r="P245" s="26">
        <v>11</v>
      </c>
      <c r="Q245" s="27">
        <v>777</v>
      </c>
      <c r="R245" s="3">
        <v>0</v>
      </c>
      <c r="S245" s="3">
        <v>1046</v>
      </c>
      <c r="T245" s="28">
        <f t="shared" si="3"/>
        <v>176</v>
      </c>
      <c r="U245" s="4"/>
    </row>
    <row r="246" spans="1:21">
      <c r="A246" s="26">
        <v>244</v>
      </c>
      <c r="B246" s="26">
        <v>244</v>
      </c>
      <c r="C246" s="4" t="s">
        <v>520</v>
      </c>
      <c r="D246" s="26">
        <v>2</v>
      </c>
      <c r="E246" s="26">
        <v>340</v>
      </c>
      <c r="F246" s="26">
        <v>232</v>
      </c>
      <c r="G246" s="26">
        <v>1</v>
      </c>
      <c r="H246" s="26">
        <v>0</v>
      </c>
      <c r="I246" s="26">
        <v>0</v>
      </c>
      <c r="J246" s="26">
        <v>1</v>
      </c>
      <c r="K246" s="26">
        <v>0</v>
      </c>
      <c r="L246" s="26">
        <v>0</v>
      </c>
      <c r="M246" s="26">
        <v>1</v>
      </c>
      <c r="N246" s="26">
        <v>577</v>
      </c>
      <c r="O246" s="26">
        <v>0</v>
      </c>
      <c r="P246" s="26">
        <v>1</v>
      </c>
      <c r="Q246" s="27">
        <v>578</v>
      </c>
      <c r="R246" s="3">
        <v>0</v>
      </c>
      <c r="S246" s="3">
        <v>696</v>
      </c>
      <c r="T246" s="28">
        <f t="shared" si="3"/>
        <v>108</v>
      </c>
      <c r="U246" s="4"/>
    </row>
    <row r="247" spans="1:21">
      <c r="A247" s="26">
        <v>245</v>
      </c>
      <c r="B247" s="26">
        <v>245</v>
      </c>
      <c r="C247" s="4" t="s">
        <v>522</v>
      </c>
      <c r="D247" s="26">
        <v>1</v>
      </c>
      <c r="E247" s="26">
        <v>295</v>
      </c>
      <c r="F247" s="26">
        <v>235</v>
      </c>
      <c r="G247" s="26">
        <v>3</v>
      </c>
      <c r="H247" s="26">
        <v>0</v>
      </c>
      <c r="I247" s="26">
        <v>0</v>
      </c>
      <c r="J247" s="26">
        <v>0</v>
      </c>
      <c r="K247" s="26">
        <v>0</v>
      </c>
      <c r="L247" s="26">
        <v>0</v>
      </c>
      <c r="M247" s="26">
        <v>3</v>
      </c>
      <c r="N247" s="26">
        <v>537</v>
      </c>
      <c r="O247" s="26">
        <v>0</v>
      </c>
      <c r="P247" s="26">
        <v>3</v>
      </c>
      <c r="Q247" s="27">
        <v>540</v>
      </c>
      <c r="R247" s="3">
        <v>0</v>
      </c>
      <c r="S247" s="3">
        <v>629</v>
      </c>
      <c r="T247" s="28">
        <f t="shared" si="3"/>
        <v>60</v>
      </c>
      <c r="U247" s="4"/>
    </row>
    <row r="248" spans="1:21">
      <c r="A248" s="26">
        <v>246</v>
      </c>
      <c r="B248" s="26">
        <v>246</v>
      </c>
      <c r="C248" s="4" t="s">
        <v>524</v>
      </c>
      <c r="D248" s="26">
        <v>2</v>
      </c>
      <c r="E248" s="26">
        <v>311</v>
      </c>
      <c r="F248" s="26">
        <v>191</v>
      </c>
      <c r="G248" s="26">
        <v>1</v>
      </c>
      <c r="H248" s="26">
        <v>1</v>
      </c>
      <c r="I248" s="26">
        <v>0</v>
      </c>
      <c r="J248" s="26">
        <v>0</v>
      </c>
      <c r="K248" s="26">
        <v>1</v>
      </c>
      <c r="L248" s="26">
        <v>0</v>
      </c>
      <c r="M248" s="26">
        <v>0</v>
      </c>
      <c r="N248" s="26">
        <v>507</v>
      </c>
      <c r="O248" s="26">
        <v>0</v>
      </c>
      <c r="P248" s="26">
        <v>2</v>
      </c>
      <c r="Q248" s="27">
        <v>509</v>
      </c>
      <c r="R248" s="3">
        <v>0</v>
      </c>
      <c r="S248" s="3">
        <v>630</v>
      </c>
      <c r="T248" s="28">
        <f t="shared" si="3"/>
        <v>120</v>
      </c>
      <c r="U248" s="4"/>
    </row>
    <row r="249" spans="1:21">
      <c r="A249" s="26">
        <v>247</v>
      </c>
      <c r="B249" s="26">
        <v>247</v>
      </c>
      <c r="C249" s="4" t="s">
        <v>526</v>
      </c>
      <c r="D249" s="26">
        <v>2</v>
      </c>
      <c r="E249" s="26">
        <v>338</v>
      </c>
      <c r="F249" s="26">
        <v>260</v>
      </c>
      <c r="G249" s="26">
        <v>2</v>
      </c>
      <c r="H249" s="26">
        <v>0</v>
      </c>
      <c r="I249" s="26">
        <v>0</v>
      </c>
      <c r="J249" s="26">
        <v>1</v>
      </c>
      <c r="K249" s="26">
        <v>2</v>
      </c>
      <c r="L249" s="26">
        <v>3</v>
      </c>
      <c r="M249" s="26">
        <v>0</v>
      </c>
      <c r="N249" s="26">
        <v>608</v>
      </c>
      <c r="O249" s="26">
        <v>0</v>
      </c>
      <c r="P249" s="26">
        <v>3</v>
      </c>
      <c r="Q249" s="27">
        <v>611</v>
      </c>
      <c r="R249" s="3">
        <v>0</v>
      </c>
      <c r="S249" s="3">
        <v>763</v>
      </c>
      <c r="T249" s="28">
        <f t="shared" si="3"/>
        <v>78</v>
      </c>
      <c r="U249" s="4"/>
    </row>
    <row r="250" spans="1:21">
      <c r="A250" s="26">
        <v>248</v>
      </c>
      <c r="B250" s="26">
        <v>248</v>
      </c>
      <c r="C250" s="4" t="s">
        <v>528</v>
      </c>
      <c r="D250" s="26">
        <v>5</v>
      </c>
      <c r="E250" s="26">
        <v>366</v>
      </c>
      <c r="F250" s="26">
        <v>149</v>
      </c>
      <c r="G250" s="26">
        <v>4</v>
      </c>
      <c r="H250" s="26">
        <v>1</v>
      </c>
      <c r="I250" s="26">
        <v>0</v>
      </c>
      <c r="J250" s="26">
        <v>0</v>
      </c>
      <c r="K250" s="26">
        <v>1</v>
      </c>
      <c r="L250" s="26">
        <v>2</v>
      </c>
      <c r="M250" s="26">
        <v>2</v>
      </c>
      <c r="N250" s="26">
        <v>530</v>
      </c>
      <c r="O250" s="26">
        <v>0</v>
      </c>
      <c r="P250" s="26">
        <v>1</v>
      </c>
      <c r="Q250" s="27">
        <v>531</v>
      </c>
      <c r="R250" s="3">
        <v>0</v>
      </c>
      <c r="S250" s="3">
        <v>636</v>
      </c>
      <c r="T250" s="28">
        <f t="shared" si="3"/>
        <v>217</v>
      </c>
      <c r="U250" s="4"/>
    </row>
    <row r="251" spans="1:21">
      <c r="A251" s="26">
        <v>249</v>
      </c>
      <c r="B251" s="26">
        <v>249</v>
      </c>
      <c r="C251" s="4" t="s">
        <v>530</v>
      </c>
      <c r="D251" s="26">
        <v>4</v>
      </c>
      <c r="E251" s="26">
        <v>263</v>
      </c>
      <c r="F251" s="26">
        <v>259</v>
      </c>
      <c r="G251" s="26">
        <v>6</v>
      </c>
      <c r="H251" s="26">
        <v>2</v>
      </c>
      <c r="I251" s="26">
        <v>0</v>
      </c>
      <c r="J251" s="26">
        <v>0</v>
      </c>
      <c r="K251" s="26">
        <v>0</v>
      </c>
      <c r="L251" s="26">
        <v>4</v>
      </c>
      <c r="M251" s="26">
        <v>2</v>
      </c>
      <c r="N251" s="26">
        <v>540</v>
      </c>
      <c r="O251" s="26">
        <v>0</v>
      </c>
      <c r="P251" s="26">
        <v>7</v>
      </c>
      <c r="Q251" s="27">
        <v>547</v>
      </c>
      <c r="R251" s="3">
        <v>0</v>
      </c>
      <c r="S251" s="3">
        <v>741</v>
      </c>
      <c r="T251" s="28">
        <f t="shared" si="3"/>
        <v>4</v>
      </c>
      <c r="U251" s="4"/>
    </row>
    <row r="252" spans="1:21">
      <c r="A252" s="26">
        <v>250</v>
      </c>
      <c r="B252" s="26">
        <v>250</v>
      </c>
      <c r="C252" s="4" t="s">
        <v>532</v>
      </c>
      <c r="D252" s="26">
        <v>3</v>
      </c>
      <c r="E252" s="26">
        <v>299</v>
      </c>
      <c r="F252" s="26">
        <v>123</v>
      </c>
      <c r="G252" s="26">
        <v>1</v>
      </c>
      <c r="H252" s="26">
        <v>0</v>
      </c>
      <c r="I252" s="26">
        <v>0</v>
      </c>
      <c r="J252" s="26">
        <v>0</v>
      </c>
      <c r="K252" s="26">
        <v>2</v>
      </c>
      <c r="L252" s="26">
        <v>5</v>
      </c>
      <c r="M252" s="26">
        <v>3</v>
      </c>
      <c r="N252" s="26">
        <v>436</v>
      </c>
      <c r="O252" s="26">
        <v>0</v>
      </c>
      <c r="P252" s="26">
        <v>3</v>
      </c>
      <c r="Q252" s="27">
        <v>439</v>
      </c>
      <c r="R252" s="3">
        <v>0</v>
      </c>
      <c r="S252" s="3">
        <v>550</v>
      </c>
      <c r="T252" s="28">
        <f t="shared" si="3"/>
        <v>176</v>
      </c>
      <c r="U252" s="4"/>
    </row>
    <row r="253" spans="1:21">
      <c r="A253" s="26">
        <v>251</v>
      </c>
      <c r="B253" s="26">
        <v>251</v>
      </c>
      <c r="C253" s="4" t="s">
        <v>534</v>
      </c>
      <c r="D253" s="26">
        <v>2</v>
      </c>
      <c r="E253" s="26">
        <v>401</v>
      </c>
      <c r="F253" s="26">
        <v>355</v>
      </c>
      <c r="G253" s="26">
        <v>2</v>
      </c>
      <c r="H253" s="26">
        <v>1</v>
      </c>
      <c r="I253" s="26">
        <v>0</v>
      </c>
      <c r="J253" s="26">
        <v>0</v>
      </c>
      <c r="K253" s="26">
        <v>0</v>
      </c>
      <c r="L253" s="26">
        <v>1</v>
      </c>
      <c r="M253" s="26">
        <v>2</v>
      </c>
      <c r="N253" s="26">
        <v>764</v>
      </c>
      <c r="O253" s="26">
        <v>0</v>
      </c>
      <c r="P253" s="26">
        <v>3</v>
      </c>
      <c r="Q253" s="27">
        <v>767</v>
      </c>
      <c r="R253" s="3">
        <v>0</v>
      </c>
      <c r="S253" s="3">
        <v>1012</v>
      </c>
      <c r="T253" s="28">
        <f t="shared" si="3"/>
        <v>46</v>
      </c>
      <c r="U253" s="4"/>
    </row>
    <row r="254" spans="1:21">
      <c r="A254" s="26">
        <v>252</v>
      </c>
      <c r="B254" s="26">
        <v>252</v>
      </c>
      <c r="C254" s="4" t="s">
        <v>536</v>
      </c>
      <c r="D254" s="26">
        <v>2</v>
      </c>
      <c r="E254" s="26">
        <v>396</v>
      </c>
      <c r="F254" s="26">
        <v>355</v>
      </c>
      <c r="G254" s="26">
        <v>1</v>
      </c>
      <c r="H254" s="26">
        <v>0</v>
      </c>
      <c r="I254" s="26">
        <v>0</v>
      </c>
      <c r="J254" s="26">
        <v>1</v>
      </c>
      <c r="K254" s="26">
        <v>0</v>
      </c>
      <c r="L254" s="26">
        <v>1</v>
      </c>
      <c r="M254" s="26">
        <v>4</v>
      </c>
      <c r="N254" s="26">
        <v>760</v>
      </c>
      <c r="O254" s="26">
        <v>0</v>
      </c>
      <c r="P254" s="26">
        <v>6</v>
      </c>
      <c r="Q254" s="27">
        <v>766</v>
      </c>
      <c r="R254" s="3">
        <v>0</v>
      </c>
      <c r="S254" s="3">
        <v>1006</v>
      </c>
      <c r="T254" s="28">
        <f t="shared" si="3"/>
        <v>41</v>
      </c>
      <c r="U254" s="4"/>
    </row>
    <row r="255" spans="1:21">
      <c r="A255" s="26">
        <v>253</v>
      </c>
      <c r="B255" s="26">
        <v>253</v>
      </c>
      <c r="C255" s="4" t="s">
        <v>538</v>
      </c>
      <c r="D255" s="26">
        <v>1</v>
      </c>
      <c r="E255" s="26">
        <v>458</v>
      </c>
      <c r="F255" s="26">
        <v>258</v>
      </c>
      <c r="G255" s="26">
        <v>3</v>
      </c>
      <c r="H255" s="26">
        <v>0</v>
      </c>
      <c r="I255" s="26">
        <v>0</v>
      </c>
      <c r="J255" s="26">
        <v>0</v>
      </c>
      <c r="K255" s="26">
        <v>4</v>
      </c>
      <c r="L255" s="26">
        <v>4</v>
      </c>
      <c r="M255" s="26">
        <v>2</v>
      </c>
      <c r="N255" s="26">
        <v>730</v>
      </c>
      <c r="O255" s="26">
        <v>0</v>
      </c>
      <c r="P255" s="26">
        <v>4</v>
      </c>
      <c r="Q255" s="27">
        <v>734</v>
      </c>
      <c r="R255" s="3">
        <v>0</v>
      </c>
      <c r="S255" s="3">
        <v>920</v>
      </c>
      <c r="T255" s="28">
        <f t="shared" si="3"/>
        <v>200</v>
      </c>
      <c r="U255" s="4"/>
    </row>
    <row r="256" spans="1:21">
      <c r="A256" s="26">
        <v>254</v>
      </c>
      <c r="B256" s="26">
        <v>254</v>
      </c>
      <c r="C256" s="4" t="s">
        <v>540</v>
      </c>
      <c r="D256" s="26">
        <v>6</v>
      </c>
      <c r="E256" s="26">
        <v>317</v>
      </c>
      <c r="F256" s="26">
        <v>259</v>
      </c>
      <c r="G256" s="26">
        <v>2</v>
      </c>
      <c r="H256" s="26">
        <v>0</v>
      </c>
      <c r="I256" s="26">
        <v>0</v>
      </c>
      <c r="J256" s="26">
        <v>0</v>
      </c>
      <c r="K256" s="26">
        <v>0</v>
      </c>
      <c r="L256" s="26">
        <v>0</v>
      </c>
      <c r="M256" s="26">
        <v>2</v>
      </c>
      <c r="N256" s="26">
        <v>586</v>
      </c>
      <c r="O256" s="26">
        <v>0</v>
      </c>
      <c r="P256" s="26">
        <v>5</v>
      </c>
      <c r="Q256" s="27">
        <v>591</v>
      </c>
      <c r="R256" s="3">
        <v>0</v>
      </c>
      <c r="S256" s="3">
        <v>674</v>
      </c>
      <c r="T256" s="28">
        <f t="shared" si="3"/>
        <v>58</v>
      </c>
      <c r="U256" s="4"/>
    </row>
    <row r="257" spans="1:21">
      <c r="A257" s="26">
        <v>255</v>
      </c>
      <c r="B257" s="26">
        <v>255</v>
      </c>
      <c r="C257" s="4" t="s">
        <v>542</v>
      </c>
      <c r="D257" s="26">
        <v>12</v>
      </c>
      <c r="E257" s="26">
        <v>392</v>
      </c>
      <c r="F257" s="26">
        <v>361</v>
      </c>
      <c r="G257" s="26">
        <v>7</v>
      </c>
      <c r="H257" s="26">
        <v>0</v>
      </c>
      <c r="I257" s="26">
        <v>1</v>
      </c>
      <c r="J257" s="26">
        <v>3</v>
      </c>
      <c r="K257" s="26">
        <v>3</v>
      </c>
      <c r="L257" s="26">
        <v>4</v>
      </c>
      <c r="M257" s="26">
        <v>4</v>
      </c>
      <c r="N257" s="26">
        <v>787</v>
      </c>
      <c r="O257" s="26">
        <v>0</v>
      </c>
      <c r="P257" s="26">
        <v>7</v>
      </c>
      <c r="Q257" s="27">
        <v>794</v>
      </c>
      <c r="R257" s="3">
        <v>0</v>
      </c>
      <c r="S257" s="3">
        <v>1033</v>
      </c>
      <c r="T257" s="28">
        <f t="shared" si="3"/>
        <v>31</v>
      </c>
      <c r="U257" s="4"/>
    </row>
    <row r="258" spans="1:21">
      <c r="A258" s="26">
        <v>256</v>
      </c>
      <c r="B258" s="26">
        <v>256</v>
      </c>
      <c r="C258" s="4" t="s">
        <v>544</v>
      </c>
      <c r="D258" s="26">
        <v>13</v>
      </c>
      <c r="E258" s="26">
        <v>274</v>
      </c>
      <c r="F258" s="26">
        <v>212</v>
      </c>
      <c r="G258" s="26">
        <v>1</v>
      </c>
      <c r="H258" s="26">
        <v>0</v>
      </c>
      <c r="I258" s="26">
        <v>1</v>
      </c>
      <c r="J258" s="26">
        <v>0</v>
      </c>
      <c r="K258" s="26">
        <v>1</v>
      </c>
      <c r="L258" s="26">
        <v>3</v>
      </c>
      <c r="M258" s="26">
        <v>3</v>
      </c>
      <c r="N258" s="26">
        <v>508</v>
      </c>
      <c r="O258" s="26">
        <v>0</v>
      </c>
      <c r="P258" s="26">
        <v>9</v>
      </c>
      <c r="Q258" s="27">
        <v>517</v>
      </c>
      <c r="R258" s="3">
        <v>0</v>
      </c>
      <c r="S258" s="3">
        <v>618</v>
      </c>
      <c r="T258" s="28">
        <f t="shared" si="3"/>
        <v>62</v>
      </c>
      <c r="U258" s="4"/>
    </row>
    <row r="259" spans="1:21">
      <c r="A259" s="26">
        <v>257</v>
      </c>
      <c r="B259" s="26">
        <v>257</v>
      </c>
      <c r="C259" s="4" t="s">
        <v>546</v>
      </c>
      <c r="D259" s="26">
        <v>6</v>
      </c>
      <c r="E259" s="26">
        <v>313</v>
      </c>
      <c r="F259" s="26">
        <v>191</v>
      </c>
      <c r="G259" s="26">
        <v>0</v>
      </c>
      <c r="H259" s="26">
        <v>0</v>
      </c>
      <c r="I259" s="26">
        <v>0</v>
      </c>
      <c r="J259" s="26">
        <v>1</v>
      </c>
      <c r="K259" s="26">
        <v>1</v>
      </c>
      <c r="L259" s="26">
        <v>0</v>
      </c>
      <c r="M259" s="26">
        <v>0</v>
      </c>
      <c r="N259" s="26">
        <v>512</v>
      </c>
      <c r="O259" s="26">
        <v>0</v>
      </c>
      <c r="P259" s="26">
        <v>3</v>
      </c>
      <c r="Q259" s="27">
        <v>515</v>
      </c>
      <c r="R259" s="3">
        <v>0</v>
      </c>
      <c r="S259" s="3">
        <v>622</v>
      </c>
      <c r="T259" s="28">
        <f t="shared" si="3"/>
        <v>122</v>
      </c>
      <c r="U259" s="4"/>
    </row>
    <row r="260" spans="1:21">
      <c r="A260" s="26">
        <v>258</v>
      </c>
      <c r="B260" s="26">
        <v>258</v>
      </c>
      <c r="C260" s="4" t="s">
        <v>548</v>
      </c>
      <c r="D260" s="26">
        <v>9</v>
      </c>
      <c r="E260" s="26">
        <v>194</v>
      </c>
      <c r="F260" s="26">
        <v>504</v>
      </c>
      <c r="G260" s="26">
        <v>7</v>
      </c>
      <c r="H260" s="26">
        <v>0</v>
      </c>
      <c r="I260" s="26">
        <v>0</v>
      </c>
      <c r="J260" s="26">
        <v>0</v>
      </c>
      <c r="K260" s="26">
        <v>2</v>
      </c>
      <c r="L260" s="26">
        <v>4</v>
      </c>
      <c r="M260" s="26">
        <v>1</v>
      </c>
      <c r="N260" s="26">
        <v>721</v>
      </c>
      <c r="O260" s="26">
        <v>0</v>
      </c>
      <c r="P260" s="26">
        <v>2</v>
      </c>
      <c r="Q260" s="27">
        <v>723</v>
      </c>
      <c r="R260" s="3">
        <v>0</v>
      </c>
      <c r="S260" s="3">
        <v>1052</v>
      </c>
      <c r="T260" s="28">
        <f t="shared" ref="T260:T280" si="4">MAX(E260,F260)-MIN(E260,F260)</f>
        <v>310</v>
      </c>
      <c r="U260" s="4"/>
    </row>
    <row r="261" spans="1:21">
      <c r="A261" s="26">
        <v>259</v>
      </c>
      <c r="B261" s="26">
        <v>259</v>
      </c>
      <c r="C261" s="4" t="s">
        <v>550</v>
      </c>
      <c r="D261" s="26">
        <v>11</v>
      </c>
      <c r="E261" s="26">
        <v>204</v>
      </c>
      <c r="F261" s="26">
        <v>310</v>
      </c>
      <c r="G261" s="26">
        <v>6</v>
      </c>
      <c r="H261" s="26">
        <v>1</v>
      </c>
      <c r="I261" s="26">
        <v>0</v>
      </c>
      <c r="J261" s="26">
        <v>0</v>
      </c>
      <c r="K261" s="26">
        <v>3</v>
      </c>
      <c r="L261" s="26">
        <v>0</v>
      </c>
      <c r="M261" s="26">
        <v>1</v>
      </c>
      <c r="N261" s="26">
        <v>536</v>
      </c>
      <c r="O261" s="26">
        <v>0</v>
      </c>
      <c r="P261" s="26">
        <v>2</v>
      </c>
      <c r="Q261" s="27">
        <v>538</v>
      </c>
      <c r="R261" s="3">
        <v>0</v>
      </c>
      <c r="S261" s="3">
        <v>667</v>
      </c>
      <c r="T261" s="28">
        <f t="shared" si="4"/>
        <v>106</v>
      </c>
      <c r="U261" s="4"/>
    </row>
    <row r="262" spans="1:21">
      <c r="A262" s="26">
        <v>260</v>
      </c>
      <c r="B262" s="26">
        <v>260</v>
      </c>
      <c r="C262" s="4" t="s">
        <v>552</v>
      </c>
      <c r="D262" s="26">
        <v>13</v>
      </c>
      <c r="E262" s="26">
        <v>233</v>
      </c>
      <c r="F262" s="26">
        <v>249</v>
      </c>
      <c r="G262" s="26">
        <v>3</v>
      </c>
      <c r="H262" s="26">
        <v>0</v>
      </c>
      <c r="I262" s="26">
        <v>0</v>
      </c>
      <c r="J262" s="26">
        <v>0</v>
      </c>
      <c r="K262" s="26">
        <v>0</v>
      </c>
      <c r="L262" s="26">
        <v>1</v>
      </c>
      <c r="M262" s="26">
        <v>0</v>
      </c>
      <c r="N262" s="26">
        <v>499</v>
      </c>
      <c r="O262" s="26">
        <v>0</v>
      </c>
      <c r="P262" s="26">
        <v>1</v>
      </c>
      <c r="Q262" s="27">
        <v>500</v>
      </c>
      <c r="R262" s="3">
        <v>0</v>
      </c>
      <c r="S262" s="3">
        <v>584</v>
      </c>
      <c r="T262" s="28">
        <f t="shared" si="4"/>
        <v>16</v>
      </c>
      <c r="U262" s="4"/>
    </row>
    <row r="263" spans="1:21">
      <c r="A263" s="26">
        <v>261</v>
      </c>
      <c r="B263" s="26">
        <v>261</v>
      </c>
      <c r="C263" s="4" t="s">
        <v>554</v>
      </c>
      <c r="D263" s="26">
        <v>3</v>
      </c>
      <c r="E263" s="26">
        <v>432</v>
      </c>
      <c r="F263" s="26">
        <v>255</v>
      </c>
      <c r="G263" s="26">
        <v>3</v>
      </c>
      <c r="H263" s="26">
        <v>0</v>
      </c>
      <c r="I263" s="26">
        <v>0</v>
      </c>
      <c r="J263" s="26">
        <v>1</v>
      </c>
      <c r="K263" s="26">
        <v>2</v>
      </c>
      <c r="L263" s="26">
        <v>1</v>
      </c>
      <c r="M263" s="26">
        <v>1</v>
      </c>
      <c r="N263" s="26">
        <v>698</v>
      </c>
      <c r="O263" s="26">
        <v>0</v>
      </c>
      <c r="P263" s="26">
        <v>2</v>
      </c>
      <c r="Q263" s="27">
        <v>700</v>
      </c>
      <c r="R263" s="3">
        <v>0</v>
      </c>
      <c r="S263" s="3">
        <v>803</v>
      </c>
      <c r="T263" s="28">
        <f t="shared" si="4"/>
        <v>177</v>
      </c>
      <c r="U263" s="4"/>
    </row>
    <row r="264" spans="1:21">
      <c r="A264" s="26">
        <v>262</v>
      </c>
      <c r="B264" s="26">
        <v>262</v>
      </c>
      <c r="C264" s="4" t="s">
        <v>556</v>
      </c>
      <c r="D264" s="26">
        <v>4</v>
      </c>
      <c r="E264" s="26">
        <v>301</v>
      </c>
      <c r="F264" s="26">
        <v>284</v>
      </c>
      <c r="G264" s="26">
        <v>5</v>
      </c>
      <c r="H264" s="26">
        <v>0</v>
      </c>
      <c r="I264" s="26">
        <v>0</v>
      </c>
      <c r="J264" s="26">
        <v>1</v>
      </c>
      <c r="K264" s="26">
        <v>3</v>
      </c>
      <c r="L264" s="26">
        <v>4</v>
      </c>
      <c r="M264" s="26">
        <v>3</v>
      </c>
      <c r="N264" s="26">
        <v>605</v>
      </c>
      <c r="O264" s="26">
        <v>0</v>
      </c>
      <c r="P264" s="26">
        <v>1</v>
      </c>
      <c r="Q264" s="27">
        <v>606</v>
      </c>
      <c r="R264" s="3">
        <v>0</v>
      </c>
      <c r="S264" s="3">
        <v>744</v>
      </c>
      <c r="T264" s="28">
        <f t="shared" si="4"/>
        <v>17</v>
      </c>
      <c r="U264" s="4"/>
    </row>
    <row r="265" spans="1:21">
      <c r="A265" s="26">
        <v>263</v>
      </c>
      <c r="B265" s="26">
        <v>263</v>
      </c>
      <c r="C265" s="4" t="s">
        <v>558</v>
      </c>
      <c r="D265" s="26">
        <v>6</v>
      </c>
      <c r="E265" s="26">
        <v>253</v>
      </c>
      <c r="F265" s="26">
        <v>354</v>
      </c>
      <c r="G265" s="26">
        <v>1</v>
      </c>
      <c r="H265" s="26">
        <v>1</v>
      </c>
      <c r="I265" s="26">
        <v>0</v>
      </c>
      <c r="J265" s="26">
        <v>0</v>
      </c>
      <c r="K265" s="26">
        <v>0</v>
      </c>
      <c r="L265" s="26">
        <v>5</v>
      </c>
      <c r="M265" s="26">
        <v>1</v>
      </c>
      <c r="N265" s="26">
        <v>621</v>
      </c>
      <c r="O265" s="26">
        <v>0</v>
      </c>
      <c r="P265" s="26">
        <v>1</v>
      </c>
      <c r="Q265" s="27">
        <v>622</v>
      </c>
      <c r="R265" s="3">
        <v>0</v>
      </c>
      <c r="S265" s="3">
        <v>704</v>
      </c>
      <c r="T265" s="28">
        <f t="shared" si="4"/>
        <v>101</v>
      </c>
      <c r="U265" s="4"/>
    </row>
    <row r="266" spans="1:21">
      <c r="A266" s="26">
        <v>264</v>
      </c>
      <c r="B266" s="26">
        <v>264</v>
      </c>
      <c r="C266" s="4" t="s">
        <v>560</v>
      </c>
      <c r="D266" s="26">
        <v>5</v>
      </c>
      <c r="E266" s="26">
        <v>815</v>
      </c>
      <c r="F266" s="26">
        <v>227</v>
      </c>
      <c r="G266" s="26">
        <v>1</v>
      </c>
      <c r="H266" s="26">
        <v>1</v>
      </c>
      <c r="I266" s="26">
        <v>2</v>
      </c>
      <c r="J266" s="26">
        <v>4</v>
      </c>
      <c r="K266" s="26">
        <v>3</v>
      </c>
      <c r="L266" s="26">
        <v>1</v>
      </c>
      <c r="M266" s="26">
        <v>1</v>
      </c>
      <c r="N266" s="26">
        <v>1060</v>
      </c>
      <c r="O266" s="26">
        <v>0</v>
      </c>
      <c r="P266" s="26">
        <v>7</v>
      </c>
      <c r="Q266" s="27">
        <v>1067</v>
      </c>
      <c r="R266" s="3">
        <v>0</v>
      </c>
      <c r="S266" s="3">
        <v>1306</v>
      </c>
      <c r="T266" s="28">
        <f t="shared" si="4"/>
        <v>588</v>
      </c>
      <c r="U266" s="4"/>
    </row>
    <row r="267" spans="1:21">
      <c r="A267" s="26">
        <v>265</v>
      </c>
      <c r="B267" s="26">
        <v>265</v>
      </c>
      <c r="C267" s="4" t="s">
        <v>562</v>
      </c>
      <c r="D267" s="26">
        <v>9</v>
      </c>
      <c r="E267" s="26">
        <v>704</v>
      </c>
      <c r="F267" s="26">
        <v>296</v>
      </c>
      <c r="G267" s="26">
        <v>3</v>
      </c>
      <c r="H267" s="26">
        <v>3</v>
      </c>
      <c r="I267" s="26">
        <v>4</v>
      </c>
      <c r="J267" s="26">
        <v>0</v>
      </c>
      <c r="K267" s="26">
        <v>5</v>
      </c>
      <c r="L267" s="26">
        <v>0</v>
      </c>
      <c r="M267" s="26">
        <v>3</v>
      </c>
      <c r="N267" s="26">
        <v>1027</v>
      </c>
      <c r="O267" s="26">
        <v>0</v>
      </c>
      <c r="P267" s="26">
        <v>8</v>
      </c>
      <c r="Q267" s="27">
        <v>1035</v>
      </c>
      <c r="R267" s="3">
        <v>0</v>
      </c>
      <c r="S267" s="3">
        <v>1360</v>
      </c>
      <c r="T267" s="28">
        <f t="shared" si="4"/>
        <v>408</v>
      </c>
      <c r="U267" s="4"/>
    </row>
    <row r="268" spans="1:21">
      <c r="A268" s="26">
        <v>266</v>
      </c>
      <c r="B268" s="26">
        <v>266</v>
      </c>
      <c r="C268" s="4" t="s">
        <v>564</v>
      </c>
      <c r="D268" s="26">
        <v>2</v>
      </c>
      <c r="E268" s="26">
        <v>365</v>
      </c>
      <c r="F268" s="26">
        <v>253</v>
      </c>
      <c r="G268" s="26">
        <v>3</v>
      </c>
      <c r="H268" s="26">
        <v>1</v>
      </c>
      <c r="I268" s="26">
        <v>0</v>
      </c>
      <c r="J268" s="26">
        <v>0</v>
      </c>
      <c r="K268" s="26">
        <v>2</v>
      </c>
      <c r="L268" s="26">
        <v>0</v>
      </c>
      <c r="M268" s="26">
        <v>1</v>
      </c>
      <c r="N268" s="26">
        <v>627</v>
      </c>
      <c r="O268" s="26">
        <v>0</v>
      </c>
      <c r="P268" s="26">
        <v>1</v>
      </c>
      <c r="Q268" s="27">
        <v>628</v>
      </c>
      <c r="R268" s="3">
        <v>0</v>
      </c>
      <c r="S268" s="3">
        <v>746</v>
      </c>
      <c r="T268" s="28">
        <f t="shared" si="4"/>
        <v>112</v>
      </c>
      <c r="U268" s="4"/>
    </row>
    <row r="269" spans="1:21">
      <c r="A269" s="26">
        <v>267</v>
      </c>
      <c r="B269" s="26">
        <v>267</v>
      </c>
      <c r="C269" s="4" t="s">
        <v>566</v>
      </c>
      <c r="D269" s="26">
        <v>2</v>
      </c>
      <c r="E269" s="26">
        <v>275</v>
      </c>
      <c r="F269" s="26">
        <v>105</v>
      </c>
      <c r="G269" s="26">
        <v>0</v>
      </c>
      <c r="H269" s="26">
        <v>0</v>
      </c>
      <c r="I269" s="26">
        <v>0</v>
      </c>
      <c r="J269" s="26">
        <v>0</v>
      </c>
      <c r="K269" s="26">
        <v>1</v>
      </c>
      <c r="L269" s="26">
        <v>0</v>
      </c>
      <c r="M269" s="26">
        <v>2</v>
      </c>
      <c r="N269" s="26">
        <v>385</v>
      </c>
      <c r="O269" s="26">
        <v>0</v>
      </c>
      <c r="P269" s="26">
        <v>4</v>
      </c>
      <c r="Q269" s="27">
        <v>389</v>
      </c>
      <c r="R269" s="3">
        <v>0</v>
      </c>
      <c r="S269" s="3">
        <v>526</v>
      </c>
      <c r="T269" s="28">
        <f t="shared" si="4"/>
        <v>170</v>
      </c>
      <c r="U269" s="4"/>
    </row>
    <row r="270" spans="1:21">
      <c r="A270" s="26">
        <v>268</v>
      </c>
      <c r="B270" s="26">
        <v>268</v>
      </c>
      <c r="C270" s="4" t="s">
        <v>568</v>
      </c>
      <c r="D270" s="26">
        <v>14</v>
      </c>
      <c r="E270" s="26">
        <v>476</v>
      </c>
      <c r="F270" s="26">
        <v>291</v>
      </c>
      <c r="G270" s="26">
        <v>5</v>
      </c>
      <c r="H270" s="26">
        <v>2</v>
      </c>
      <c r="I270" s="26">
        <v>0</v>
      </c>
      <c r="J270" s="26">
        <v>0</v>
      </c>
      <c r="K270" s="26">
        <v>1</v>
      </c>
      <c r="L270" s="26">
        <v>3</v>
      </c>
      <c r="M270" s="26">
        <v>2</v>
      </c>
      <c r="N270" s="26">
        <v>794</v>
      </c>
      <c r="O270" s="26">
        <v>0</v>
      </c>
      <c r="P270" s="26">
        <v>2</v>
      </c>
      <c r="Q270" s="27">
        <v>796</v>
      </c>
      <c r="R270" s="3">
        <v>0</v>
      </c>
      <c r="S270" s="3">
        <v>1075</v>
      </c>
      <c r="T270" s="28">
        <f t="shared" si="4"/>
        <v>185</v>
      </c>
      <c r="U270" s="4"/>
    </row>
    <row r="271" spans="1:21">
      <c r="A271" s="26">
        <v>269</v>
      </c>
      <c r="B271" s="26">
        <v>269</v>
      </c>
      <c r="C271" s="4" t="s">
        <v>570</v>
      </c>
      <c r="D271" s="26">
        <v>7</v>
      </c>
      <c r="E271" s="26">
        <v>497</v>
      </c>
      <c r="F271" s="26">
        <v>254</v>
      </c>
      <c r="G271" s="26">
        <v>3</v>
      </c>
      <c r="H271" s="26">
        <v>2</v>
      </c>
      <c r="I271" s="26">
        <v>1</v>
      </c>
      <c r="J271" s="26">
        <v>0</v>
      </c>
      <c r="K271" s="26">
        <v>1</v>
      </c>
      <c r="L271" s="26">
        <v>4</v>
      </c>
      <c r="M271" s="26">
        <v>3</v>
      </c>
      <c r="N271" s="26">
        <v>772</v>
      </c>
      <c r="O271" s="26">
        <v>0</v>
      </c>
      <c r="P271" s="26">
        <v>7</v>
      </c>
      <c r="Q271" s="27">
        <v>779</v>
      </c>
      <c r="R271" s="3">
        <v>0</v>
      </c>
      <c r="S271" s="3">
        <v>1065</v>
      </c>
      <c r="T271" s="28">
        <f t="shared" si="4"/>
        <v>243</v>
      </c>
      <c r="U271" s="4"/>
    </row>
    <row r="272" spans="1:21">
      <c r="A272" s="26">
        <v>270</v>
      </c>
      <c r="B272" s="26">
        <v>270</v>
      </c>
      <c r="C272" s="4" t="s">
        <v>572</v>
      </c>
      <c r="D272" s="26">
        <v>0</v>
      </c>
      <c r="E272" s="26">
        <v>114</v>
      </c>
      <c r="F272" s="26">
        <v>64</v>
      </c>
      <c r="G272" s="26">
        <v>0</v>
      </c>
      <c r="H272" s="26">
        <v>0</v>
      </c>
      <c r="I272" s="26">
        <v>0</v>
      </c>
      <c r="J272" s="26">
        <v>0</v>
      </c>
      <c r="K272" s="26">
        <v>0</v>
      </c>
      <c r="L272" s="26">
        <v>0</v>
      </c>
      <c r="M272" s="26">
        <v>0</v>
      </c>
      <c r="N272" s="26">
        <v>178</v>
      </c>
      <c r="O272" s="26">
        <v>0</v>
      </c>
      <c r="P272" s="26">
        <v>0</v>
      </c>
      <c r="Q272" s="27">
        <v>178</v>
      </c>
      <c r="R272" s="3">
        <v>0</v>
      </c>
      <c r="S272" s="3">
        <v>222</v>
      </c>
      <c r="T272" s="28">
        <f t="shared" si="4"/>
        <v>50</v>
      </c>
      <c r="U272" s="4"/>
    </row>
    <row r="273" spans="1:21">
      <c r="A273" s="26">
        <v>271</v>
      </c>
      <c r="B273" s="26">
        <v>271</v>
      </c>
      <c r="C273" s="4" t="s">
        <v>574</v>
      </c>
      <c r="D273" s="26">
        <v>5</v>
      </c>
      <c r="E273" s="26">
        <v>160</v>
      </c>
      <c r="F273" s="26">
        <v>161</v>
      </c>
      <c r="G273" s="26">
        <v>3</v>
      </c>
      <c r="H273" s="26">
        <v>0</v>
      </c>
      <c r="I273" s="26">
        <v>0</v>
      </c>
      <c r="J273" s="26">
        <v>1</v>
      </c>
      <c r="K273" s="26">
        <v>0</v>
      </c>
      <c r="L273" s="26">
        <v>0</v>
      </c>
      <c r="M273" s="26">
        <v>1</v>
      </c>
      <c r="N273" s="26">
        <v>331</v>
      </c>
      <c r="O273" s="26">
        <v>0</v>
      </c>
      <c r="P273" s="26">
        <v>2</v>
      </c>
      <c r="Q273" s="27">
        <v>333</v>
      </c>
      <c r="R273" s="3">
        <v>0</v>
      </c>
      <c r="S273" s="3">
        <v>397</v>
      </c>
      <c r="T273" s="28">
        <f t="shared" si="4"/>
        <v>1</v>
      </c>
      <c r="U273" s="4"/>
    </row>
    <row r="274" spans="1:21">
      <c r="A274" s="26">
        <v>272</v>
      </c>
      <c r="B274" s="26">
        <v>272</v>
      </c>
      <c r="C274" s="4" t="s">
        <v>576</v>
      </c>
      <c r="D274" s="26">
        <v>0</v>
      </c>
      <c r="E274" s="26">
        <v>105</v>
      </c>
      <c r="F274" s="26">
        <v>145</v>
      </c>
      <c r="G274" s="26">
        <v>1</v>
      </c>
      <c r="H274" s="26">
        <v>2</v>
      </c>
      <c r="I274" s="26">
        <v>0</v>
      </c>
      <c r="J274" s="26">
        <v>0</v>
      </c>
      <c r="K274" s="26">
        <v>2</v>
      </c>
      <c r="L274" s="26">
        <v>0</v>
      </c>
      <c r="M274" s="26">
        <v>0</v>
      </c>
      <c r="N274" s="26">
        <v>255</v>
      </c>
      <c r="O274" s="26">
        <v>0</v>
      </c>
      <c r="P274" s="26">
        <v>2</v>
      </c>
      <c r="Q274" s="27">
        <v>257</v>
      </c>
      <c r="R274" s="3">
        <v>0</v>
      </c>
      <c r="S274" s="3">
        <v>364</v>
      </c>
      <c r="T274" s="28">
        <f t="shared" si="4"/>
        <v>40</v>
      </c>
      <c r="U274" s="4"/>
    </row>
    <row r="275" spans="1:21">
      <c r="A275" s="26">
        <v>273</v>
      </c>
      <c r="B275" s="26">
        <v>273</v>
      </c>
      <c r="C275" s="4" t="s">
        <v>578</v>
      </c>
      <c r="D275" s="26">
        <v>7</v>
      </c>
      <c r="E275" s="26">
        <v>479</v>
      </c>
      <c r="F275" s="26">
        <v>334</v>
      </c>
      <c r="G275" s="26">
        <v>6</v>
      </c>
      <c r="H275" s="26">
        <v>0</v>
      </c>
      <c r="I275" s="26">
        <v>0</v>
      </c>
      <c r="J275" s="26">
        <v>0</v>
      </c>
      <c r="K275" s="26">
        <v>3</v>
      </c>
      <c r="L275" s="26">
        <v>6</v>
      </c>
      <c r="M275" s="26">
        <v>0</v>
      </c>
      <c r="N275" s="26">
        <v>835</v>
      </c>
      <c r="O275" s="26">
        <v>0</v>
      </c>
      <c r="P275" s="26">
        <v>5</v>
      </c>
      <c r="Q275" s="27">
        <v>840</v>
      </c>
      <c r="R275" s="3">
        <v>0</v>
      </c>
      <c r="S275" s="3">
        <v>1121</v>
      </c>
      <c r="T275" s="28">
        <f t="shared" si="4"/>
        <v>145</v>
      </c>
      <c r="U275" s="4"/>
    </row>
    <row r="276" spans="1:21">
      <c r="A276" s="26">
        <v>274</v>
      </c>
      <c r="B276" s="26">
        <v>274</v>
      </c>
      <c r="C276" s="4" t="s">
        <v>580</v>
      </c>
      <c r="D276" s="26">
        <v>6</v>
      </c>
      <c r="E276" s="26">
        <v>118</v>
      </c>
      <c r="F276" s="26">
        <v>422</v>
      </c>
      <c r="G276" s="26">
        <v>4</v>
      </c>
      <c r="H276" s="26">
        <v>0</v>
      </c>
      <c r="I276" s="26">
        <v>0</v>
      </c>
      <c r="J276" s="26">
        <v>0</v>
      </c>
      <c r="K276" s="26">
        <v>0</v>
      </c>
      <c r="L276" s="26">
        <v>0</v>
      </c>
      <c r="M276" s="26">
        <v>2</v>
      </c>
      <c r="N276" s="26">
        <v>552</v>
      </c>
      <c r="O276" s="26">
        <v>0</v>
      </c>
      <c r="P276" s="26">
        <v>3</v>
      </c>
      <c r="Q276" s="27">
        <v>555</v>
      </c>
      <c r="R276" s="3">
        <v>0</v>
      </c>
      <c r="S276" s="3">
        <v>721</v>
      </c>
      <c r="T276" s="28">
        <f t="shared" si="4"/>
        <v>304</v>
      </c>
      <c r="U276" s="4"/>
    </row>
    <row r="277" spans="1:21">
      <c r="A277" s="26">
        <v>275</v>
      </c>
      <c r="B277" s="26">
        <v>275</v>
      </c>
      <c r="C277" s="4" t="s">
        <v>582</v>
      </c>
      <c r="D277" s="26">
        <v>4</v>
      </c>
      <c r="E277" s="26">
        <v>197</v>
      </c>
      <c r="F277" s="26">
        <v>407</v>
      </c>
      <c r="G277" s="26">
        <v>7</v>
      </c>
      <c r="H277" s="26">
        <v>2</v>
      </c>
      <c r="I277" s="26">
        <v>0</v>
      </c>
      <c r="J277" s="26">
        <v>0</v>
      </c>
      <c r="K277" s="26">
        <v>2</v>
      </c>
      <c r="L277" s="26">
        <v>1</v>
      </c>
      <c r="M277" s="26">
        <v>0</v>
      </c>
      <c r="N277" s="26">
        <v>620</v>
      </c>
      <c r="O277" s="26">
        <v>0</v>
      </c>
      <c r="P277" s="26">
        <v>3</v>
      </c>
      <c r="Q277" s="27">
        <v>623</v>
      </c>
      <c r="R277" s="3">
        <v>0</v>
      </c>
      <c r="S277" s="3">
        <v>764</v>
      </c>
      <c r="T277" s="28">
        <f t="shared" si="4"/>
        <v>210</v>
      </c>
      <c r="U277" s="4"/>
    </row>
    <row r="278" spans="1:21">
      <c r="A278" s="33" t="s">
        <v>22</v>
      </c>
      <c r="B278" s="34"/>
      <c r="C278" s="4" t="s">
        <v>582</v>
      </c>
      <c r="D278" s="30">
        <v>1148</v>
      </c>
      <c r="E278" s="30">
        <v>98460</v>
      </c>
      <c r="F278" s="30">
        <v>70788</v>
      </c>
      <c r="G278" s="30">
        <v>663</v>
      </c>
      <c r="H278" s="30">
        <v>113</v>
      </c>
      <c r="I278" s="30">
        <v>106</v>
      </c>
      <c r="J278" s="30">
        <v>115</v>
      </c>
      <c r="K278" s="30">
        <v>269</v>
      </c>
      <c r="L278" s="30">
        <v>405</v>
      </c>
      <c r="M278" s="30">
        <v>396</v>
      </c>
      <c r="N278" s="30">
        <v>172463</v>
      </c>
      <c r="O278" s="30">
        <v>0</v>
      </c>
      <c r="P278" s="30">
        <v>1288</v>
      </c>
      <c r="Q278" s="31">
        <v>173751</v>
      </c>
      <c r="R278" s="6">
        <v>0</v>
      </c>
      <c r="S278" s="6">
        <v>764</v>
      </c>
      <c r="T278" s="28">
        <f t="shared" si="4"/>
        <v>27672</v>
      </c>
      <c r="U278" s="4"/>
    </row>
    <row r="279" spans="1:21" ht="34.5">
      <c r="A279" s="32" t="s">
        <v>23</v>
      </c>
      <c r="B279" s="26"/>
      <c r="C279" s="26"/>
      <c r="D279" s="26">
        <v>22</v>
      </c>
      <c r="E279" s="26">
        <v>786</v>
      </c>
      <c r="F279" s="26">
        <v>1648</v>
      </c>
      <c r="G279" s="26">
        <v>1</v>
      </c>
      <c r="H279" s="26">
        <v>1</v>
      </c>
      <c r="I279" s="26">
        <v>1</v>
      </c>
      <c r="J279" s="26">
        <v>1</v>
      </c>
      <c r="K279" s="26">
        <v>2</v>
      </c>
      <c r="L279" s="26">
        <v>0</v>
      </c>
      <c r="M279" s="26">
        <v>2</v>
      </c>
      <c r="N279" s="26">
        <v>2464</v>
      </c>
      <c r="O279" s="26">
        <v>119</v>
      </c>
      <c r="P279" s="26">
        <v>35</v>
      </c>
      <c r="Q279" s="27">
        <v>2618</v>
      </c>
      <c r="R279" s="3">
        <v>0</v>
      </c>
      <c r="S279" s="3"/>
      <c r="T279" s="28">
        <f t="shared" si="4"/>
        <v>862</v>
      </c>
      <c r="U279" s="4"/>
    </row>
    <row r="280" spans="1:21" ht="34.5">
      <c r="A280" s="32" t="s">
        <v>24</v>
      </c>
      <c r="B280" s="30"/>
      <c r="C280" s="30"/>
      <c r="D280" s="30">
        <v>1170</v>
      </c>
      <c r="E280" s="30">
        <v>99246</v>
      </c>
      <c r="F280" s="30">
        <v>72436</v>
      </c>
      <c r="G280" s="30">
        <v>664</v>
      </c>
      <c r="H280" s="30">
        <v>114</v>
      </c>
      <c r="I280" s="30">
        <v>107</v>
      </c>
      <c r="J280" s="30">
        <v>116</v>
      </c>
      <c r="K280" s="30">
        <v>271</v>
      </c>
      <c r="L280" s="30">
        <v>405</v>
      </c>
      <c r="M280" s="30">
        <v>398</v>
      </c>
      <c r="N280" s="30">
        <v>174927</v>
      </c>
      <c r="O280" s="30">
        <v>119</v>
      </c>
      <c r="P280" s="30">
        <v>1323</v>
      </c>
      <c r="Q280" s="31">
        <v>176369</v>
      </c>
      <c r="R280" s="6">
        <v>0</v>
      </c>
      <c r="S280" s="6"/>
      <c r="T280" s="28">
        <f t="shared" si="4"/>
        <v>26810</v>
      </c>
      <c r="U280" s="4"/>
    </row>
  </sheetData>
  <mergeCells count="1">
    <mergeCell ref="A278:B2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27A7-8036-4983-A203-80932966E1D5}">
  <dimension ref="A1:U279"/>
  <sheetViews>
    <sheetView topLeftCell="M263" workbookViewId="0">
      <selection activeCell="T2" sqref="T2:T277"/>
    </sheetView>
  </sheetViews>
  <sheetFormatPr defaultRowHeight="14"/>
  <cols>
    <col min="20" max="20" width="28" customWidth="1"/>
    <col min="21" max="21" width="60" customWidth="1"/>
  </cols>
  <sheetData>
    <row r="1" spans="1:21" ht="57.5">
      <c r="A1" s="20" t="s">
        <v>0</v>
      </c>
      <c r="B1" s="21" t="s">
        <v>1</v>
      </c>
      <c r="C1" s="22" t="s">
        <v>2</v>
      </c>
      <c r="D1" s="23" t="s">
        <v>28</v>
      </c>
      <c r="E1" s="23" t="s">
        <v>29</v>
      </c>
      <c r="F1" s="23" t="s">
        <v>30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4" t="s">
        <v>12</v>
      </c>
      <c r="N1" s="24" t="s">
        <v>13</v>
      </c>
      <c r="O1" s="24" t="s">
        <v>14</v>
      </c>
      <c r="P1" s="20" t="s">
        <v>15</v>
      </c>
      <c r="Q1" s="1" t="s">
        <v>16</v>
      </c>
      <c r="R1" s="1" t="s">
        <v>17</v>
      </c>
      <c r="S1" s="2" t="s">
        <v>31</v>
      </c>
      <c r="T1" s="2" t="s">
        <v>32</v>
      </c>
      <c r="U1" s="2" t="s">
        <v>33</v>
      </c>
    </row>
    <row r="2" spans="1:21">
      <c r="A2" s="26">
        <v>1</v>
      </c>
      <c r="B2" s="26">
        <v>1</v>
      </c>
      <c r="C2" s="26">
        <v>2</v>
      </c>
      <c r="D2" s="26">
        <v>220</v>
      </c>
      <c r="E2" s="26">
        <v>160</v>
      </c>
      <c r="F2" s="26">
        <v>1</v>
      </c>
      <c r="G2" s="26">
        <v>0</v>
      </c>
      <c r="H2" s="26">
        <v>0</v>
      </c>
      <c r="I2" s="26">
        <v>1</v>
      </c>
      <c r="J2" s="26">
        <v>1</v>
      </c>
      <c r="K2" s="26">
        <v>1</v>
      </c>
      <c r="L2" s="26">
        <v>0</v>
      </c>
      <c r="M2" s="26">
        <v>386</v>
      </c>
      <c r="N2" s="26">
        <v>0</v>
      </c>
      <c r="O2" s="26">
        <v>1</v>
      </c>
      <c r="P2" s="27">
        <v>387</v>
      </c>
      <c r="Q2" s="3">
        <v>0</v>
      </c>
      <c r="R2" s="3">
        <v>432</v>
      </c>
      <c r="S2" s="4">
        <v>1</v>
      </c>
      <c r="T2" s="4" t="s">
        <v>34</v>
      </c>
      <c r="U2" s="4" t="s">
        <v>35</v>
      </c>
    </row>
    <row r="3" spans="1:21">
      <c r="A3" s="26">
        <v>2</v>
      </c>
      <c r="B3" s="26">
        <v>2</v>
      </c>
      <c r="C3" s="26">
        <v>8</v>
      </c>
      <c r="D3" s="26">
        <v>454</v>
      </c>
      <c r="E3" s="26">
        <v>222</v>
      </c>
      <c r="F3" s="26">
        <v>2</v>
      </c>
      <c r="G3" s="26">
        <v>0</v>
      </c>
      <c r="H3" s="26">
        <v>1</v>
      </c>
      <c r="I3" s="26">
        <v>0</v>
      </c>
      <c r="J3" s="26">
        <v>2</v>
      </c>
      <c r="K3" s="26">
        <v>1</v>
      </c>
      <c r="L3" s="26">
        <v>1</v>
      </c>
      <c r="M3" s="26">
        <v>691</v>
      </c>
      <c r="N3" s="26">
        <v>0</v>
      </c>
      <c r="O3" s="26">
        <v>7</v>
      </c>
      <c r="P3" s="27">
        <v>698</v>
      </c>
      <c r="Q3" s="3">
        <v>0</v>
      </c>
      <c r="R3" s="3">
        <v>967</v>
      </c>
      <c r="S3" s="4">
        <v>2</v>
      </c>
      <c r="T3" s="4" t="s">
        <v>36</v>
      </c>
      <c r="U3" s="4" t="s">
        <v>37</v>
      </c>
    </row>
    <row r="4" spans="1:21">
      <c r="A4" s="26">
        <v>3</v>
      </c>
      <c r="B4" s="26">
        <v>3</v>
      </c>
      <c r="C4" s="26">
        <v>6</v>
      </c>
      <c r="D4" s="26">
        <v>360</v>
      </c>
      <c r="E4" s="26">
        <v>290</v>
      </c>
      <c r="F4" s="26">
        <v>5</v>
      </c>
      <c r="G4" s="26">
        <v>2</v>
      </c>
      <c r="H4" s="26">
        <v>0</v>
      </c>
      <c r="I4" s="26">
        <v>2</v>
      </c>
      <c r="J4" s="26">
        <v>0</v>
      </c>
      <c r="K4" s="26">
        <v>1</v>
      </c>
      <c r="L4" s="26">
        <v>3</v>
      </c>
      <c r="M4" s="26">
        <v>669</v>
      </c>
      <c r="N4" s="26">
        <v>0</v>
      </c>
      <c r="O4" s="26">
        <v>6</v>
      </c>
      <c r="P4" s="27">
        <v>675</v>
      </c>
      <c r="Q4" s="3">
        <v>0</v>
      </c>
      <c r="R4" s="3">
        <v>852</v>
      </c>
      <c r="S4" s="4">
        <v>3</v>
      </c>
      <c r="T4" s="4" t="s">
        <v>38</v>
      </c>
      <c r="U4" s="4" t="s">
        <v>39</v>
      </c>
    </row>
    <row r="5" spans="1:21">
      <c r="A5" s="26">
        <v>4</v>
      </c>
      <c r="B5" s="26">
        <v>4</v>
      </c>
      <c r="C5" s="26">
        <v>3</v>
      </c>
      <c r="D5" s="26">
        <v>428</v>
      </c>
      <c r="E5" s="26">
        <v>234</v>
      </c>
      <c r="F5" s="26">
        <v>2</v>
      </c>
      <c r="G5" s="26">
        <v>0</v>
      </c>
      <c r="H5" s="26">
        <v>1</v>
      </c>
      <c r="I5" s="26">
        <v>0</v>
      </c>
      <c r="J5" s="26">
        <v>1</v>
      </c>
      <c r="K5" s="26">
        <v>7</v>
      </c>
      <c r="L5" s="26">
        <v>3</v>
      </c>
      <c r="M5" s="26">
        <v>679</v>
      </c>
      <c r="N5" s="26">
        <v>0</v>
      </c>
      <c r="O5" s="26">
        <v>5</v>
      </c>
      <c r="P5" s="27">
        <v>684</v>
      </c>
      <c r="Q5" s="3">
        <v>0</v>
      </c>
      <c r="R5" s="3">
        <v>865</v>
      </c>
      <c r="S5" s="4">
        <v>4</v>
      </c>
      <c r="T5" s="4" t="s">
        <v>40</v>
      </c>
      <c r="U5" s="4" t="s">
        <v>41</v>
      </c>
    </row>
    <row r="6" spans="1:21">
      <c r="A6" s="26">
        <v>5</v>
      </c>
      <c r="B6" s="26">
        <v>5</v>
      </c>
      <c r="C6" s="26">
        <v>5</v>
      </c>
      <c r="D6" s="26">
        <v>222</v>
      </c>
      <c r="E6" s="26">
        <v>184</v>
      </c>
      <c r="F6" s="26">
        <v>2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1</v>
      </c>
      <c r="M6" s="26">
        <v>414</v>
      </c>
      <c r="N6" s="26">
        <v>0</v>
      </c>
      <c r="O6" s="26">
        <v>0</v>
      </c>
      <c r="P6" s="27">
        <v>414</v>
      </c>
      <c r="Q6" s="3">
        <v>0</v>
      </c>
      <c r="R6" s="3">
        <v>497</v>
      </c>
      <c r="S6" s="4">
        <v>5</v>
      </c>
      <c r="T6" s="4" t="s">
        <v>42</v>
      </c>
      <c r="U6" s="4" t="s">
        <v>43</v>
      </c>
    </row>
    <row r="7" spans="1:21">
      <c r="A7" s="26">
        <v>6</v>
      </c>
      <c r="B7" s="26">
        <v>6</v>
      </c>
      <c r="C7" s="26">
        <v>6</v>
      </c>
      <c r="D7" s="26">
        <v>411</v>
      </c>
      <c r="E7" s="26">
        <v>270</v>
      </c>
      <c r="F7" s="26">
        <v>5</v>
      </c>
      <c r="G7" s="26">
        <v>0</v>
      </c>
      <c r="H7" s="26">
        <v>1</v>
      </c>
      <c r="I7" s="26">
        <v>2</v>
      </c>
      <c r="J7" s="26">
        <v>3</v>
      </c>
      <c r="K7" s="26">
        <v>1</v>
      </c>
      <c r="L7" s="26">
        <v>3</v>
      </c>
      <c r="M7" s="26">
        <v>702</v>
      </c>
      <c r="N7" s="26">
        <v>0</v>
      </c>
      <c r="O7" s="26">
        <v>3</v>
      </c>
      <c r="P7" s="27">
        <v>705</v>
      </c>
      <c r="Q7" s="3">
        <v>0</v>
      </c>
      <c r="R7" s="3">
        <v>986</v>
      </c>
      <c r="S7" s="4">
        <v>6</v>
      </c>
      <c r="T7" s="4" t="s">
        <v>44</v>
      </c>
      <c r="U7" s="4" t="s">
        <v>45</v>
      </c>
    </row>
    <row r="8" spans="1:21">
      <c r="A8" s="26">
        <v>7</v>
      </c>
      <c r="B8" s="26">
        <v>7</v>
      </c>
      <c r="C8" s="26">
        <v>4</v>
      </c>
      <c r="D8" s="26">
        <v>198</v>
      </c>
      <c r="E8" s="26">
        <v>204</v>
      </c>
      <c r="F8" s="26">
        <v>1</v>
      </c>
      <c r="G8" s="26">
        <v>1</v>
      </c>
      <c r="H8" s="26">
        <v>0</v>
      </c>
      <c r="I8" s="26">
        <v>1</v>
      </c>
      <c r="J8" s="26">
        <v>0</v>
      </c>
      <c r="K8" s="26">
        <v>5</v>
      </c>
      <c r="L8" s="26">
        <v>2</v>
      </c>
      <c r="M8" s="26">
        <v>416</v>
      </c>
      <c r="N8" s="26">
        <v>0</v>
      </c>
      <c r="O8" s="26">
        <v>2</v>
      </c>
      <c r="P8" s="27">
        <v>418</v>
      </c>
      <c r="Q8" s="3">
        <v>0</v>
      </c>
      <c r="R8" s="3">
        <v>492</v>
      </c>
      <c r="S8" s="4">
        <v>7</v>
      </c>
      <c r="T8" s="4" t="s">
        <v>46</v>
      </c>
      <c r="U8" s="4" t="s">
        <v>47</v>
      </c>
    </row>
    <row r="9" spans="1:21">
      <c r="A9" s="26">
        <v>8</v>
      </c>
      <c r="B9" s="26">
        <v>8</v>
      </c>
      <c r="C9" s="26">
        <v>3</v>
      </c>
      <c r="D9" s="26">
        <v>308</v>
      </c>
      <c r="E9" s="26">
        <v>171</v>
      </c>
      <c r="F9" s="26">
        <v>2</v>
      </c>
      <c r="G9" s="26">
        <v>0</v>
      </c>
      <c r="H9" s="26">
        <v>2</v>
      </c>
      <c r="I9" s="26">
        <v>0</v>
      </c>
      <c r="J9" s="26">
        <v>1</v>
      </c>
      <c r="K9" s="26">
        <v>2</v>
      </c>
      <c r="L9" s="26">
        <v>0</v>
      </c>
      <c r="M9" s="26">
        <v>489</v>
      </c>
      <c r="N9" s="26">
        <v>0</v>
      </c>
      <c r="O9" s="26">
        <v>2</v>
      </c>
      <c r="P9" s="27">
        <v>491</v>
      </c>
      <c r="Q9" s="3">
        <v>0</v>
      </c>
      <c r="R9" s="3">
        <v>615</v>
      </c>
      <c r="S9" s="4">
        <v>8</v>
      </c>
      <c r="T9" s="4" t="s">
        <v>48</v>
      </c>
      <c r="U9" s="4" t="s">
        <v>49</v>
      </c>
    </row>
    <row r="10" spans="1:21">
      <c r="A10" s="26">
        <v>9</v>
      </c>
      <c r="B10" s="26">
        <v>9</v>
      </c>
      <c r="C10" s="26">
        <v>2</v>
      </c>
      <c r="D10" s="26">
        <v>214</v>
      </c>
      <c r="E10" s="26">
        <v>138</v>
      </c>
      <c r="F10" s="26">
        <v>0</v>
      </c>
      <c r="G10" s="26">
        <v>0</v>
      </c>
      <c r="H10" s="26">
        <v>0</v>
      </c>
      <c r="I10" s="26">
        <v>0</v>
      </c>
      <c r="J10" s="26">
        <v>1</v>
      </c>
      <c r="K10" s="26">
        <v>1</v>
      </c>
      <c r="L10" s="26">
        <v>0</v>
      </c>
      <c r="M10" s="26">
        <v>356</v>
      </c>
      <c r="N10" s="26">
        <v>0</v>
      </c>
      <c r="O10" s="26">
        <v>0</v>
      </c>
      <c r="P10" s="27">
        <v>356</v>
      </c>
      <c r="Q10" s="3">
        <v>0</v>
      </c>
      <c r="R10" s="3">
        <v>434</v>
      </c>
      <c r="S10" s="4">
        <v>9</v>
      </c>
      <c r="T10" s="4" t="s">
        <v>50</v>
      </c>
      <c r="U10" s="4" t="s">
        <v>51</v>
      </c>
    </row>
    <row r="11" spans="1:21">
      <c r="A11" s="26">
        <v>10</v>
      </c>
      <c r="B11" s="26">
        <v>10</v>
      </c>
      <c r="C11" s="26">
        <v>8</v>
      </c>
      <c r="D11" s="26">
        <v>228</v>
      </c>
      <c r="E11" s="26">
        <v>170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2</v>
      </c>
      <c r="M11" s="26">
        <v>408</v>
      </c>
      <c r="N11" s="26">
        <v>0</v>
      </c>
      <c r="O11" s="26">
        <v>0</v>
      </c>
      <c r="P11" s="27">
        <v>408</v>
      </c>
      <c r="Q11" s="3">
        <v>0</v>
      </c>
      <c r="R11" s="3">
        <v>527</v>
      </c>
      <c r="S11" s="4">
        <v>10</v>
      </c>
      <c r="T11" s="4" t="s">
        <v>52</v>
      </c>
      <c r="U11" s="4" t="s">
        <v>53</v>
      </c>
    </row>
    <row r="12" spans="1:21">
      <c r="A12" s="26">
        <v>11</v>
      </c>
      <c r="B12" s="26">
        <v>11</v>
      </c>
      <c r="C12" s="26">
        <v>2</v>
      </c>
      <c r="D12" s="26">
        <v>412</v>
      </c>
      <c r="E12" s="26">
        <v>247</v>
      </c>
      <c r="F12" s="26">
        <v>7</v>
      </c>
      <c r="G12" s="26">
        <v>1</v>
      </c>
      <c r="H12" s="26">
        <v>0</v>
      </c>
      <c r="I12" s="26">
        <v>1</v>
      </c>
      <c r="J12" s="26">
        <v>1</v>
      </c>
      <c r="K12" s="26">
        <v>1</v>
      </c>
      <c r="L12" s="26">
        <v>1</v>
      </c>
      <c r="M12" s="26">
        <v>673</v>
      </c>
      <c r="N12" s="26">
        <v>0</v>
      </c>
      <c r="O12" s="26">
        <v>0</v>
      </c>
      <c r="P12" s="27">
        <v>673</v>
      </c>
      <c r="Q12" s="3">
        <v>0</v>
      </c>
      <c r="R12" s="3">
        <v>766</v>
      </c>
      <c r="S12" s="4">
        <v>11</v>
      </c>
      <c r="T12" s="4" t="s">
        <v>54</v>
      </c>
      <c r="U12" s="4" t="s">
        <v>55</v>
      </c>
    </row>
    <row r="13" spans="1:21">
      <c r="A13" s="26">
        <v>12</v>
      </c>
      <c r="B13" s="26">
        <v>12</v>
      </c>
      <c r="C13" s="26">
        <v>3</v>
      </c>
      <c r="D13" s="26">
        <v>265</v>
      </c>
      <c r="E13" s="26">
        <v>90</v>
      </c>
      <c r="F13" s="26">
        <v>1</v>
      </c>
      <c r="G13" s="26">
        <v>0</v>
      </c>
      <c r="H13" s="26">
        <v>1</v>
      </c>
      <c r="I13" s="26">
        <v>1</v>
      </c>
      <c r="J13" s="26">
        <v>1</v>
      </c>
      <c r="K13" s="26">
        <v>1</v>
      </c>
      <c r="L13" s="26">
        <v>1</v>
      </c>
      <c r="M13" s="26">
        <v>364</v>
      </c>
      <c r="N13" s="26">
        <v>0</v>
      </c>
      <c r="O13" s="26">
        <v>2</v>
      </c>
      <c r="P13" s="27">
        <v>366</v>
      </c>
      <c r="Q13" s="3">
        <v>0</v>
      </c>
      <c r="R13" s="3">
        <v>437</v>
      </c>
      <c r="S13" s="4">
        <v>12</v>
      </c>
      <c r="T13" s="4" t="s">
        <v>56</v>
      </c>
      <c r="U13" s="4" t="s">
        <v>57</v>
      </c>
    </row>
    <row r="14" spans="1:21">
      <c r="A14" s="26">
        <v>13</v>
      </c>
      <c r="B14" s="26">
        <v>13</v>
      </c>
      <c r="C14" s="26">
        <v>4</v>
      </c>
      <c r="D14" s="26">
        <v>272</v>
      </c>
      <c r="E14" s="26">
        <v>157</v>
      </c>
      <c r="F14" s="26">
        <v>4</v>
      </c>
      <c r="G14" s="26">
        <v>0</v>
      </c>
      <c r="H14" s="26">
        <v>1</v>
      </c>
      <c r="I14" s="26">
        <v>1</v>
      </c>
      <c r="J14" s="26">
        <v>2</v>
      </c>
      <c r="K14" s="26">
        <v>2</v>
      </c>
      <c r="L14" s="26">
        <v>2</v>
      </c>
      <c r="M14" s="26">
        <v>445</v>
      </c>
      <c r="N14" s="26">
        <v>0</v>
      </c>
      <c r="O14" s="26">
        <v>1</v>
      </c>
      <c r="P14" s="27">
        <v>446</v>
      </c>
      <c r="Q14" s="3">
        <v>0</v>
      </c>
      <c r="R14" s="3">
        <v>570</v>
      </c>
      <c r="S14" s="4">
        <v>13</v>
      </c>
      <c r="T14" s="4" t="s">
        <v>58</v>
      </c>
      <c r="U14" s="4" t="s">
        <v>59</v>
      </c>
    </row>
    <row r="15" spans="1:21">
      <c r="A15" s="26">
        <v>14</v>
      </c>
      <c r="B15" s="26">
        <v>14</v>
      </c>
      <c r="C15" s="26">
        <v>0</v>
      </c>
      <c r="D15" s="26">
        <v>317</v>
      </c>
      <c r="E15" s="26">
        <v>333</v>
      </c>
      <c r="F15" s="26">
        <v>0</v>
      </c>
      <c r="G15" s="26">
        <v>2</v>
      </c>
      <c r="H15" s="26">
        <v>0</v>
      </c>
      <c r="I15" s="26">
        <v>0</v>
      </c>
      <c r="J15" s="26">
        <v>0</v>
      </c>
      <c r="K15" s="26">
        <v>1</v>
      </c>
      <c r="L15" s="26">
        <v>0</v>
      </c>
      <c r="M15" s="26">
        <v>653</v>
      </c>
      <c r="N15" s="26">
        <v>0</v>
      </c>
      <c r="O15" s="26">
        <v>6</v>
      </c>
      <c r="P15" s="27">
        <v>659</v>
      </c>
      <c r="Q15" s="3">
        <v>0</v>
      </c>
      <c r="R15" s="3">
        <v>873</v>
      </c>
      <c r="S15" s="4">
        <v>14</v>
      </c>
      <c r="T15" s="4" t="s">
        <v>60</v>
      </c>
      <c r="U15" s="4" t="s">
        <v>61</v>
      </c>
    </row>
    <row r="16" spans="1:21">
      <c r="A16" s="26">
        <v>15</v>
      </c>
      <c r="B16" s="26">
        <v>15</v>
      </c>
      <c r="C16" s="26">
        <v>9</v>
      </c>
      <c r="D16" s="26">
        <v>488</v>
      </c>
      <c r="E16" s="26">
        <v>255</v>
      </c>
      <c r="F16" s="26">
        <v>2</v>
      </c>
      <c r="G16" s="26">
        <v>1</v>
      </c>
      <c r="H16" s="26">
        <v>0</v>
      </c>
      <c r="I16" s="26">
        <v>0</v>
      </c>
      <c r="J16" s="26">
        <v>1</v>
      </c>
      <c r="K16" s="26">
        <v>0</v>
      </c>
      <c r="L16" s="26">
        <v>3</v>
      </c>
      <c r="M16" s="26">
        <v>759</v>
      </c>
      <c r="N16" s="26">
        <v>0</v>
      </c>
      <c r="O16" s="26">
        <v>2</v>
      </c>
      <c r="P16" s="27">
        <v>761</v>
      </c>
      <c r="Q16" s="3">
        <v>0</v>
      </c>
      <c r="R16" s="3">
        <v>1063</v>
      </c>
      <c r="S16" s="4">
        <v>15</v>
      </c>
      <c r="T16" s="4" t="s">
        <v>62</v>
      </c>
      <c r="U16" s="4" t="s">
        <v>63</v>
      </c>
    </row>
    <row r="17" spans="1:21">
      <c r="A17" s="26">
        <v>16</v>
      </c>
      <c r="B17" s="26">
        <v>16</v>
      </c>
      <c r="C17" s="26">
        <v>3</v>
      </c>
      <c r="D17" s="26">
        <v>530</v>
      </c>
      <c r="E17" s="26">
        <v>319</v>
      </c>
      <c r="F17" s="26">
        <v>4</v>
      </c>
      <c r="G17" s="26">
        <v>1</v>
      </c>
      <c r="H17" s="26">
        <v>0</v>
      </c>
      <c r="I17" s="26">
        <v>0</v>
      </c>
      <c r="J17" s="26">
        <v>0</v>
      </c>
      <c r="K17" s="26">
        <v>0</v>
      </c>
      <c r="L17" s="26">
        <v>3</v>
      </c>
      <c r="M17" s="26">
        <v>860</v>
      </c>
      <c r="N17" s="26">
        <v>0</v>
      </c>
      <c r="O17" s="26">
        <v>4</v>
      </c>
      <c r="P17" s="27">
        <v>864</v>
      </c>
      <c r="Q17" s="3">
        <v>0</v>
      </c>
      <c r="R17" s="3">
        <v>1108</v>
      </c>
      <c r="S17" s="4">
        <v>16</v>
      </c>
      <c r="T17" s="4" t="s">
        <v>64</v>
      </c>
      <c r="U17" s="4" t="s">
        <v>65</v>
      </c>
    </row>
    <row r="18" spans="1:21">
      <c r="A18" s="26">
        <v>17</v>
      </c>
      <c r="B18" s="26">
        <v>17</v>
      </c>
      <c r="C18" s="26">
        <v>4</v>
      </c>
      <c r="D18" s="26">
        <v>507</v>
      </c>
      <c r="E18" s="26">
        <v>228</v>
      </c>
      <c r="F18" s="26">
        <v>3</v>
      </c>
      <c r="G18" s="26">
        <v>0</v>
      </c>
      <c r="H18" s="26">
        <v>0</v>
      </c>
      <c r="I18" s="26">
        <v>0</v>
      </c>
      <c r="J18" s="26">
        <v>2</v>
      </c>
      <c r="K18" s="26">
        <v>2</v>
      </c>
      <c r="L18" s="26">
        <v>2</v>
      </c>
      <c r="M18" s="26">
        <v>748</v>
      </c>
      <c r="N18" s="26">
        <v>0</v>
      </c>
      <c r="O18" s="26">
        <v>0</v>
      </c>
      <c r="P18" s="27">
        <v>748</v>
      </c>
      <c r="Q18" s="3">
        <v>0</v>
      </c>
      <c r="R18" s="3">
        <v>890</v>
      </c>
      <c r="S18" s="4">
        <v>17</v>
      </c>
      <c r="T18" s="4" t="s">
        <v>66</v>
      </c>
      <c r="U18" s="4" t="s">
        <v>67</v>
      </c>
    </row>
    <row r="19" spans="1:21">
      <c r="A19" s="26">
        <v>18</v>
      </c>
      <c r="B19" s="26">
        <v>18</v>
      </c>
      <c r="C19" s="26">
        <v>3</v>
      </c>
      <c r="D19" s="26">
        <v>360</v>
      </c>
      <c r="E19" s="26">
        <v>269</v>
      </c>
      <c r="F19" s="26">
        <v>8</v>
      </c>
      <c r="G19" s="26">
        <v>0</v>
      </c>
      <c r="H19" s="26">
        <v>0</v>
      </c>
      <c r="I19" s="26">
        <v>0</v>
      </c>
      <c r="J19" s="26">
        <v>1</v>
      </c>
      <c r="K19" s="26">
        <v>0</v>
      </c>
      <c r="L19" s="26">
        <v>1</v>
      </c>
      <c r="M19" s="26">
        <v>642</v>
      </c>
      <c r="N19" s="26">
        <v>0</v>
      </c>
      <c r="O19" s="26">
        <v>3</v>
      </c>
      <c r="P19" s="27">
        <v>645</v>
      </c>
      <c r="Q19" s="3">
        <v>0</v>
      </c>
      <c r="R19" s="3">
        <v>781</v>
      </c>
      <c r="S19" s="4">
        <v>18</v>
      </c>
      <c r="T19" s="4" t="s">
        <v>68</v>
      </c>
      <c r="U19" s="4" t="s">
        <v>69</v>
      </c>
    </row>
    <row r="20" spans="1:21">
      <c r="A20" s="26">
        <v>19</v>
      </c>
      <c r="B20" s="26">
        <v>19</v>
      </c>
      <c r="C20" s="26">
        <v>5</v>
      </c>
      <c r="D20" s="26">
        <v>523</v>
      </c>
      <c r="E20" s="26">
        <v>236</v>
      </c>
      <c r="F20" s="26">
        <v>2</v>
      </c>
      <c r="G20" s="26">
        <v>0</v>
      </c>
      <c r="H20" s="26">
        <v>0</v>
      </c>
      <c r="I20" s="26">
        <v>0</v>
      </c>
      <c r="J20" s="26">
        <v>1</v>
      </c>
      <c r="K20" s="26">
        <v>1</v>
      </c>
      <c r="L20" s="26">
        <v>3</v>
      </c>
      <c r="M20" s="26">
        <v>771</v>
      </c>
      <c r="N20" s="26">
        <v>0</v>
      </c>
      <c r="O20" s="26">
        <v>6</v>
      </c>
      <c r="P20" s="27">
        <v>777</v>
      </c>
      <c r="Q20" s="3">
        <v>0</v>
      </c>
      <c r="R20" s="3">
        <v>937</v>
      </c>
      <c r="S20" s="4">
        <v>19</v>
      </c>
      <c r="T20" s="4" t="s">
        <v>70</v>
      </c>
      <c r="U20" s="4" t="s">
        <v>71</v>
      </c>
    </row>
    <row r="21" spans="1:21">
      <c r="A21" s="26">
        <v>20</v>
      </c>
      <c r="B21" s="26">
        <v>20</v>
      </c>
      <c r="C21" s="26">
        <v>4</v>
      </c>
      <c r="D21" s="26">
        <v>357</v>
      </c>
      <c r="E21" s="26">
        <v>284</v>
      </c>
      <c r="F21" s="26">
        <v>4</v>
      </c>
      <c r="G21" s="26">
        <v>0</v>
      </c>
      <c r="H21" s="26">
        <v>0</v>
      </c>
      <c r="I21" s="26">
        <v>1</v>
      </c>
      <c r="J21" s="26">
        <v>0</v>
      </c>
      <c r="K21" s="26">
        <v>1</v>
      </c>
      <c r="L21" s="26">
        <v>2</v>
      </c>
      <c r="M21" s="26">
        <v>653</v>
      </c>
      <c r="N21" s="26">
        <v>0</v>
      </c>
      <c r="O21" s="26">
        <v>1</v>
      </c>
      <c r="P21" s="27">
        <v>654</v>
      </c>
      <c r="Q21" s="3">
        <v>0</v>
      </c>
      <c r="R21" s="3">
        <v>757</v>
      </c>
      <c r="S21" s="4">
        <v>20</v>
      </c>
      <c r="T21" s="4" t="s">
        <v>72</v>
      </c>
      <c r="U21" s="4" t="s">
        <v>73</v>
      </c>
    </row>
    <row r="22" spans="1:21">
      <c r="A22" s="26">
        <v>21</v>
      </c>
      <c r="B22" s="26">
        <v>21</v>
      </c>
      <c r="C22" s="26">
        <v>2</v>
      </c>
      <c r="D22" s="26">
        <v>327</v>
      </c>
      <c r="E22" s="26">
        <v>183</v>
      </c>
      <c r="F22" s="26">
        <v>0</v>
      </c>
      <c r="G22" s="26">
        <v>0</v>
      </c>
      <c r="H22" s="26">
        <v>1</v>
      </c>
      <c r="I22" s="26">
        <v>0</v>
      </c>
      <c r="J22" s="26">
        <v>0</v>
      </c>
      <c r="K22" s="26">
        <v>1</v>
      </c>
      <c r="L22" s="26">
        <v>2</v>
      </c>
      <c r="M22" s="26">
        <v>516</v>
      </c>
      <c r="N22" s="26">
        <v>0</v>
      </c>
      <c r="O22" s="26">
        <v>1</v>
      </c>
      <c r="P22" s="27">
        <v>517</v>
      </c>
      <c r="Q22" s="3">
        <v>0</v>
      </c>
      <c r="R22" s="3">
        <v>623</v>
      </c>
      <c r="S22" s="4">
        <v>21</v>
      </c>
      <c r="T22" s="4" t="s">
        <v>74</v>
      </c>
      <c r="U22" s="4" t="s">
        <v>75</v>
      </c>
    </row>
    <row r="23" spans="1:21">
      <c r="A23" s="26">
        <v>22</v>
      </c>
      <c r="B23" s="26">
        <v>22</v>
      </c>
      <c r="C23" s="26">
        <v>1</v>
      </c>
      <c r="D23" s="26">
        <v>214</v>
      </c>
      <c r="E23" s="26">
        <v>237</v>
      </c>
      <c r="F23" s="26">
        <v>3</v>
      </c>
      <c r="G23" s="26">
        <v>0</v>
      </c>
      <c r="H23" s="26">
        <v>0</v>
      </c>
      <c r="I23" s="26">
        <v>0</v>
      </c>
      <c r="J23" s="26">
        <v>1</v>
      </c>
      <c r="K23" s="26">
        <v>1</v>
      </c>
      <c r="L23" s="26">
        <v>4</v>
      </c>
      <c r="M23" s="26">
        <v>461</v>
      </c>
      <c r="N23" s="26">
        <v>0</v>
      </c>
      <c r="O23" s="26">
        <v>1</v>
      </c>
      <c r="P23" s="27">
        <v>462</v>
      </c>
      <c r="Q23" s="3">
        <v>0</v>
      </c>
      <c r="R23" s="3">
        <v>556</v>
      </c>
      <c r="S23" s="4">
        <v>22</v>
      </c>
      <c r="T23" s="4" t="s">
        <v>76</v>
      </c>
      <c r="U23" s="4" t="s">
        <v>77</v>
      </c>
    </row>
    <row r="24" spans="1:21">
      <c r="A24" s="26">
        <v>23</v>
      </c>
      <c r="B24" s="26">
        <v>23</v>
      </c>
      <c r="C24" s="26">
        <v>5</v>
      </c>
      <c r="D24" s="26">
        <v>398</v>
      </c>
      <c r="E24" s="26">
        <v>263</v>
      </c>
      <c r="F24" s="26">
        <v>1</v>
      </c>
      <c r="G24" s="26">
        <v>1</v>
      </c>
      <c r="H24" s="26">
        <v>0</v>
      </c>
      <c r="I24" s="26">
        <v>0</v>
      </c>
      <c r="J24" s="26">
        <v>1</v>
      </c>
      <c r="K24" s="26">
        <v>1</v>
      </c>
      <c r="L24" s="26">
        <v>0</v>
      </c>
      <c r="M24" s="26">
        <v>670</v>
      </c>
      <c r="N24" s="26">
        <v>0</v>
      </c>
      <c r="O24" s="26">
        <v>5</v>
      </c>
      <c r="P24" s="27">
        <v>675</v>
      </c>
      <c r="Q24" s="3">
        <v>0</v>
      </c>
      <c r="R24" s="3">
        <v>831</v>
      </c>
      <c r="S24" s="4">
        <v>23</v>
      </c>
      <c r="T24" s="4" t="s">
        <v>78</v>
      </c>
      <c r="U24" s="4" t="s">
        <v>79</v>
      </c>
    </row>
    <row r="25" spans="1:21">
      <c r="A25" s="26">
        <v>24</v>
      </c>
      <c r="B25" s="26">
        <v>24</v>
      </c>
      <c r="C25" s="26">
        <v>2</v>
      </c>
      <c r="D25" s="26">
        <v>289</v>
      </c>
      <c r="E25" s="26">
        <v>141</v>
      </c>
      <c r="F25" s="26">
        <v>1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2</v>
      </c>
      <c r="M25" s="26">
        <v>435</v>
      </c>
      <c r="N25" s="26">
        <v>0</v>
      </c>
      <c r="O25" s="26">
        <v>7</v>
      </c>
      <c r="P25" s="27">
        <v>442</v>
      </c>
      <c r="Q25" s="3">
        <v>0</v>
      </c>
      <c r="R25" s="3">
        <v>542</v>
      </c>
      <c r="S25" s="4">
        <v>24</v>
      </c>
      <c r="T25" s="4" t="s">
        <v>80</v>
      </c>
      <c r="U25" s="4" t="s">
        <v>81</v>
      </c>
    </row>
    <row r="26" spans="1:21">
      <c r="A26" s="26">
        <v>25</v>
      </c>
      <c r="B26" s="26">
        <v>25</v>
      </c>
      <c r="C26" s="26">
        <v>3</v>
      </c>
      <c r="D26" s="26">
        <v>441</v>
      </c>
      <c r="E26" s="26">
        <v>194</v>
      </c>
      <c r="F26" s="26">
        <v>1</v>
      </c>
      <c r="G26" s="26">
        <v>2</v>
      </c>
      <c r="H26" s="26">
        <v>1</v>
      </c>
      <c r="I26" s="26">
        <v>0</v>
      </c>
      <c r="J26" s="26">
        <v>0</v>
      </c>
      <c r="K26" s="26">
        <v>1</v>
      </c>
      <c r="L26" s="26">
        <v>1</v>
      </c>
      <c r="M26" s="26">
        <v>644</v>
      </c>
      <c r="N26" s="26">
        <v>0</v>
      </c>
      <c r="O26" s="26">
        <v>3</v>
      </c>
      <c r="P26" s="27">
        <v>647</v>
      </c>
      <c r="Q26" s="3">
        <v>0</v>
      </c>
      <c r="R26" s="3">
        <v>896</v>
      </c>
      <c r="S26" s="4">
        <v>25</v>
      </c>
      <c r="T26" s="4" t="s">
        <v>82</v>
      </c>
      <c r="U26" s="4" t="s">
        <v>83</v>
      </c>
    </row>
    <row r="27" spans="1:21">
      <c r="A27" s="26">
        <v>26</v>
      </c>
      <c r="B27" s="26">
        <v>26</v>
      </c>
      <c r="C27" s="26">
        <v>2</v>
      </c>
      <c r="D27" s="26">
        <v>373</v>
      </c>
      <c r="E27" s="26">
        <v>277</v>
      </c>
      <c r="F27" s="26">
        <v>2</v>
      </c>
      <c r="G27" s="26">
        <v>0</v>
      </c>
      <c r="H27" s="26">
        <v>0</v>
      </c>
      <c r="I27" s="26">
        <v>1</v>
      </c>
      <c r="J27" s="26">
        <v>1</v>
      </c>
      <c r="K27" s="26">
        <v>0</v>
      </c>
      <c r="L27" s="26">
        <v>5</v>
      </c>
      <c r="M27" s="26">
        <v>661</v>
      </c>
      <c r="N27" s="26">
        <v>0</v>
      </c>
      <c r="O27" s="26">
        <v>7</v>
      </c>
      <c r="P27" s="27">
        <v>668</v>
      </c>
      <c r="Q27" s="3">
        <v>0</v>
      </c>
      <c r="R27" s="3">
        <v>801</v>
      </c>
      <c r="S27" s="4">
        <v>26</v>
      </c>
      <c r="T27" s="4" t="s">
        <v>84</v>
      </c>
      <c r="U27" s="4" t="s">
        <v>85</v>
      </c>
    </row>
    <row r="28" spans="1:21">
      <c r="A28" s="26">
        <v>27</v>
      </c>
      <c r="B28" s="26">
        <v>27</v>
      </c>
      <c r="C28" s="26">
        <v>3</v>
      </c>
      <c r="D28" s="26">
        <v>417</v>
      </c>
      <c r="E28" s="26">
        <v>260</v>
      </c>
      <c r="F28" s="26">
        <v>3</v>
      </c>
      <c r="G28" s="26">
        <v>0</v>
      </c>
      <c r="H28" s="26">
        <v>1</v>
      </c>
      <c r="I28" s="26">
        <v>2</v>
      </c>
      <c r="J28" s="26">
        <v>1</v>
      </c>
      <c r="K28" s="26">
        <v>3</v>
      </c>
      <c r="L28" s="26">
        <v>5</v>
      </c>
      <c r="M28" s="26">
        <v>695</v>
      </c>
      <c r="N28" s="26">
        <v>0</v>
      </c>
      <c r="O28" s="26">
        <v>6</v>
      </c>
      <c r="P28" s="27">
        <v>701</v>
      </c>
      <c r="Q28" s="3">
        <v>0</v>
      </c>
      <c r="R28" s="3">
        <v>959</v>
      </c>
      <c r="S28" s="4">
        <v>27</v>
      </c>
      <c r="T28" s="4" t="s">
        <v>86</v>
      </c>
      <c r="U28" s="4" t="s">
        <v>87</v>
      </c>
    </row>
    <row r="29" spans="1:21">
      <c r="A29" s="29">
        <v>28</v>
      </c>
      <c r="B29" s="29">
        <v>28</v>
      </c>
      <c r="C29" s="26">
        <v>5</v>
      </c>
      <c r="D29" s="26">
        <v>259</v>
      </c>
      <c r="E29" s="26">
        <v>207</v>
      </c>
      <c r="F29" s="26">
        <v>4</v>
      </c>
      <c r="G29" s="26">
        <v>0</v>
      </c>
      <c r="H29" s="26">
        <v>0</v>
      </c>
      <c r="I29" s="26">
        <v>0</v>
      </c>
      <c r="J29" s="26">
        <v>1</v>
      </c>
      <c r="K29" s="26">
        <v>3</v>
      </c>
      <c r="L29" s="26">
        <v>2</v>
      </c>
      <c r="M29" s="26">
        <v>481</v>
      </c>
      <c r="N29" s="26">
        <v>0</v>
      </c>
      <c r="O29" s="26">
        <v>3</v>
      </c>
      <c r="P29" s="27">
        <v>484</v>
      </c>
      <c r="Q29" s="3">
        <v>0</v>
      </c>
      <c r="R29" s="3">
        <v>587</v>
      </c>
      <c r="S29" s="4">
        <v>28</v>
      </c>
      <c r="T29" s="4" t="s">
        <v>88</v>
      </c>
      <c r="U29" s="4" t="s">
        <v>89</v>
      </c>
    </row>
    <row r="30" spans="1:21">
      <c r="A30" s="26">
        <v>29</v>
      </c>
      <c r="B30" s="26">
        <v>29</v>
      </c>
      <c r="C30" s="26">
        <v>3</v>
      </c>
      <c r="D30" s="26">
        <v>389</v>
      </c>
      <c r="E30" s="26">
        <v>180</v>
      </c>
      <c r="F30" s="26">
        <v>4</v>
      </c>
      <c r="G30" s="26">
        <v>0</v>
      </c>
      <c r="H30" s="26">
        <v>0</v>
      </c>
      <c r="I30" s="26">
        <v>0</v>
      </c>
      <c r="J30" s="26">
        <v>3</v>
      </c>
      <c r="K30" s="26">
        <v>5</v>
      </c>
      <c r="L30" s="26">
        <v>3</v>
      </c>
      <c r="M30" s="26">
        <v>587</v>
      </c>
      <c r="N30" s="26">
        <v>0</v>
      </c>
      <c r="O30" s="26">
        <v>3</v>
      </c>
      <c r="P30" s="27">
        <v>590</v>
      </c>
      <c r="Q30" s="3">
        <v>0</v>
      </c>
      <c r="R30" s="3">
        <v>731</v>
      </c>
      <c r="S30" s="4">
        <v>29</v>
      </c>
      <c r="T30" s="4" t="s">
        <v>90</v>
      </c>
      <c r="U30" s="4" t="s">
        <v>91</v>
      </c>
    </row>
    <row r="31" spans="1:21">
      <c r="A31" s="26">
        <v>30</v>
      </c>
      <c r="B31" s="26">
        <v>30</v>
      </c>
      <c r="C31" s="26">
        <v>7</v>
      </c>
      <c r="D31" s="26">
        <v>587</v>
      </c>
      <c r="E31" s="26">
        <v>378</v>
      </c>
      <c r="F31" s="26">
        <v>5</v>
      </c>
      <c r="G31" s="26">
        <v>0</v>
      </c>
      <c r="H31" s="26">
        <v>1</v>
      </c>
      <c r="I31" s="26">
        <v>1</v>
      </c>
      <c r="J31" s="26">
        <v>0</v>
      </c>
      <c r="K31" s="26">
        <v>1</v>
      </c>
      <c r="L31" s="26">
        <v>3</v>
      </c>
      <c r="M31" s="26">
        <v>983</v>
      </c>
      <c r="N31" s="26">
        <v>0</v>
      </c>
      <c r="O31" s="26">
        <v>3</v>
      </c>
      <c r="P31" s="27">
        <v>986</v>
      </c>
      <c r="Q31" s="3">
        <v>0</v>
      </c>
      <c r="R31" s="3">
        <v>1192</v>
      </c>
      <c r="S31" s="4">
        <v>30</v>
      </c>
      <c r="T31" s="4" t="s">
        <v>92</v>
      </c>
      <c r="U31" s="4" t="s">
        <v>93</v>
      </c>
    </row>
    <row r="32" spans="1:21">
      <c r="A32" s="26">
        <v>31</v>
      </c>
      <c r="B32" s="26">
        <v>31</v>
      </c>
      <c r="C32" s="26">
        <v>4</v>
      </c>
      <c r="D32" s="26">
        <v>216</v>
      </c>
      <c r="E32" s="26">
        <v>275</v>
      </c>
      <c r="F32" s="26">
        <v>2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497</v>
      </c>
      <c r="N32" s="26">
        <v>0</v>
      </c>
      <c r="O32" s="26">
        <v>0</v>
      </c>
      <c r="P32" s="27">
        <v>497</v>
      </c>
      <c r="Q32" s="3">
        <v>0</v>
      </c>
      <c r="R32" s="3">
        <v>603</v>
      </c>
      <c r="S32" s="4">
        <v>31</v>
      </c>
      <c r="T32" s="4" t="s">
        <v>94</v>
      </c>
      <c r="U32" s="4" t="s">
        <v>95</v>
      </c>
    </row>
    <row r="33" spans="1:21">
      <c r="A33" s="26">
        <v>32</v>
      </c>
      <c r="B33" s="26">
        <v>32</v>
      </c>
      <c r="C33" s="26">
        <v>4</v>
      </c>
      <c r="D33" s="26">
        <v>169</v>
      </c>
      <c r="E33" s="26">
        <v>172</v>
      </c>
      <c r="F33" s="26">
        <v>3</v>
      </c>
      <c r="G33" s="26">
        <v>1</v>
      </c>
      <c r="H33" s="26">
        <v>0</v>
      </c>
      <c r="I33" s="26">
        <v>0</v>
      </c>
      <c r="J33" s="26">
        <v>1</v>
      </c>
      <c r="K33" s="26">
        <v>0</v>
      </c>
      <c r="L33" s="26">
        <v>1</v>
      </c>
      <c r="M33" s="26">
        <v>351</v>
      </c>
      <c r="N33" s="26">
        <v>0</v>
      </c>
      <c r="O33" s="26">
        <v>1</v>
      </c>
      <c r="P33" s="27">
        <v>352</v>
      </c>
      <c r="Q33" s="3">
        <v>0</v>
      </c>
      <c r="R33" s="3">
        <v>423</v>
      </c>
      <c r="S33" s="4">
        <v>32</v>
      </c>
      <c r="T33" s="4" t="s">
        <v>96</v>
      </c>
      <c r="U33" s="4" t="s">
        <v>97</v>
      </c>
    </row>
    <row r="34" spans="1:21">
      <c r="A34" s="26">
        <v>33</v>
      </c>
      <c r="B34" s="26">
        <v>33</v>
      </c>
      <c r="C34" s="26">
        <v>2</v>
      </c>
      <c r="D34" s="26">
        <v>360</v>
      </c>
      <c r="E34" s="26">
        <v>387</v>
      </c>
      <c r="F34" s="26">
        <v>1</v>
      </c>
      <c r="G34" s="26">
        <v>0</v>
      </c>
      <c r="H34" s="26">
        <v>0</v>
      </c>
      <c r="I34" s="26">
        <v>1</v>
      </c>
      <c r="J34" s="26">
        <v>0</v>
      </c>
      <c r="K34" s="26">
        <v>0</v>
      </c>
      <c r="L34" s="26">
        <v>2</v>
      </c>
      <c r="M34" s="26">
        <v>753</v>
      </c>
      <c r="N34" s="26">
        <v>0</v>
      </c>
      <c r="O34" s="26">
        <v>2</v>
      </c>
      <c r="P34" s="27">
        <v>755</v>
      </c>
      <c r="Q34" s="3">
        <v>0</v>
      </c>
      <c r="R34" s="3">
        <v>908</v>
      </c>
      <c r="S34" s="4">
        <v>33</v>
      </c>
      <c r="T34" s="4" t="s">
        <v>98</v>
      </c>
      <c r="U34" s="4" t="s">
        <v>99</v>
      </c>
    </row>
    <row r="35" spans="1:21">
      <c r="A35" s="26">
        <v>34</v>
      </c>
      <c r="B35" s="26">
        <v>34</v>
      </c>
      <c r="C35" s="26">
        <v>2</v>
      </c>
      <c r="D35" s="26">
        <v>191</v>
      </c>
      <c r="E35" s="26">
        <v>87</v>
      </c>
      <c r="F35" s="26">
        <v>3</v>
      </c>
      <c r="G35" s="26">
        <v>0</v>
      </c>
      <c r="H35" s="26">
        <v>1</v>
      </c>
      <c r="I35" s="26">
        <v>0</v>
      </c>
      <c r="J35" s="26">
        <v>0</v>
      </c>
      <c r="K35" s="26">
        <v>0</v>
      </c>
      <c r="L35" s="26">
        <v>1</v>
      </c>
      <c r="M35" s="26">
        <v>285</v>
      </c>
      <c r="N35" s="26">
        <v>0</v>
      </c>
      <c r="O35" s="26">
        <v>2</v>
      </c>
      <c r="P35" s="27">
        <v>287</v>
      </c>
      <c r="Q35" s="3">
        <v>0</v>
      </c>
      <c r="R35" s="3">
        <v>334</v>
      </c>
      <c r="S35" s="4">
        <v>34</v>
      </c>
      <c r="T35" s="4" t="s">
        <v>100</v>
      </c>
      <c r="U35" s="4" t="s">
        <v>101</v>
      </c>
    </row>
    <row r="36" spans="1:21">
      <c r="A36" s="26">
        <v>35</v>
      </c>
      <c r="B36" s="26">
        <v>35</v>
      </c>
      <c r="C36" s="26">
        <v>1</v>
      </c>
      <c r="D36" s="26">
        <v>152</v>
      </c>
      <c r="E36" s="26">
        <v>72</v>
      </c>
      <c r="F36" s="26">
        <v>1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226</v>
      </c>
      <c r="N36" s="26">
        <v>0</v>
      </c>
      <c r="O36" s="26">
        <v>0</v>
      </c>
      <c r="P36" s="27">
        <v>226</v>
      </c>
      <c r="Q36" s="3">
        <v>0</v>
      </c>
      <c r="R36" s="3">
        <v>279</v>
      </c>
      <c r="S36" s="4">
        <v>35</v>
      </c>
      <c r="T36" s="4" t="s">
        <v>102</v>
      </c>
      <c r="U36" s="4" t="s">
        <v>103</v>
      </c>
    </row>
    <row r="37" spans="1:21">
      <c r="A37" s="26">
        <v>36</v>
      </c>
      <c r="B37" s="26">
        <v>36</v>
      </c>
      <c r="C37" s="26">
        <v>6</v>
      </c>
      <c r="D37" s="26">
        <v>246</v>
      </c>
      <c r="E37" s="26">
        <v>241</v>
      </c>
      <c r="F37" s="26">
        <v>2</v>
      </c>
      <c r="G37" s="26">
        <v>0</v>
      </c>
      <c r="H37" s="26">
        <v>0</v>
      </c>
      <c r="I37" s="26">
        <v>0</v>
      </c>
      <c r="J37" s="26">
        <v>1</v>
      </c>
      <c r="K37" s="26">
        <v>2</v>
      </c>
      <c r="L37" s="26">
        <v>2</v>
      </c>
      <c r="M37" s="26">
        <v>500</v>
      </c>
      <c r="N37" s="26">
        <v>0</v>
      </c>
      <c r="O37" s="26">
        <v>1</v>
      </c>
      <c r="P37" s="27">
        <v>501</v>
      </c>
      <c r="Q37" s="3">
        <v>0</v>
      </c>
      <c r="R37" s="3">
        <v>707</v>
      </c>
      <c r="S37" s="4">
        <v>36</v>
      </c>
      <c r="T37" s="4" t="s">
        <v>104</v>
      </c>
      <c r="U37" s="4" t="s">
        <v>105</v>
      </c>
    </row>
    <row r="38" spans="1:21">
      <c r="A38" s="26">
        <v>37</v>
      </c>
      <c r="B38" s="26">
        <v>37</v>
      </c>
      <c r="C38" s="26">
        <v>3</v>
      </c>
      <c r="D38" s="26">
        <v>198</v>
      </c>
      <c r="E38" s="26">
        <v>185</v>
      </c>
      <c r="F38" s="26">
        <v>2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2</v>
      </c>
      <c r="M38" s="26">
        <v>390</v>
      </c>
      <c r="N38" s="26">
        <v>0</v>
      </c>
      <c r="O38" s="26">
        <v>2</v>
      </c>
      <c r="P38" s="27">
        <v>392</v>
      </c>
      <c r="Q38" s="3">
        <v>0</v>
      </c>
      <c r="R38" s="3">
        <v>449</v>
      </c>
      <c r="S38" s="4">
        <v>37</v>
      </c>
      <c r="T38" s="4" t="s">
        <v>106</v>
      </c>
      <c r="U38" s="4" t="s">
        <v>107</v>
      </c>
    </row>
    <row r="39" spans="1:21">
      <c r="A39" s="26">
        <v>38</v>
      </c>
      <c r="B39" s="26">
        <v>38</v>
      </c>
      <c r="C39" s="26">
        <v>1</v>
      </c>
      <c r="D39" s="26">
        <v>219</v>
      </c>
      <c r="E39" s="26">
        <v>304</v>
      </c>
      <c r="F39" s="26">
        <v>5</v>
      </c>
      <c r="G39" s="26">
        <v>0</v>
      </c>
      <c r="H39" s="26">
        <v>0</v>
      </c>
      <c r="I39" s="26">
        <v>0</v>
      </c>
      <c r="J39" s="26">
        <v>0</v>
      </c>
      <c r="K39" s="26">
        <v>2</v>
      </c>
      <c r="L39" s="26">
        <v>0</v>
      </c>
      <c r="M39" s="26">
        <v>531</v>
      </c>
      <c r="N39" s="26">
        <v>0</v>
      </c>
      <c r="O39" s="26">
        <v>4</v>
      </c>
      <c r="P39" s="27">
        <v>535</v>
      </c>
      <c r="Q39" s="3">
        <v>0</v>
      </c>
      <c r="R39" s="3">
        <v>659</v>
      </c>
      <c r="S39" s="4">
        <v>38</v>
      </c>
      <c r="T39" s="4" t="s">
        <v>108</v>
      </c>
      <c r="U39" s="4" t="s">
        <v>109</v>
      </c>
    </row>
    <row r="40" spans="1:21">
      <c r="A40" s="26">
        <v>39</v>
      </c>
      <c r="B40" s="26">
        <v>39</v>
      </c>
      <c r="C40" s="26">
        <v>1</v>
      </c>
      <c r="D40" s="26">
        <v>400</v>
      </c>
      <c r="E40" s="26">
        <v>277</v>
      </c>
      <c r="F40" s="26">
        <v>3</v>
      </c>
      <c r="G40" s="26">
        <v>2</v>
      </c>
      <c r="H40" s="26">
        <v>1</v>
      </c>
      <c r="I40" s="26">
        <v>1</v>
      </c>
      <c r="J40" s="26">
        <v>2</v>
      </c>
      <c r="K40" s="26">
        <v>3</v>
      </c>
      <c r="L40" s="26">
        <v>1</v>
      </c>
      <c r="M40" s="26">
        <v>691</v>
      </c>
      <c r="N40" s="26">
        <v>0</v>
      </c>
      <c r="O40" s="26">
        <v>2</v>
      </c>
      <c r="P40" s="27">
        <v>693</v>
      </c>
      <c r="Q40" s="3">
        <v>0</v>
      </c>
      <c r="R40" s="3">
        <v>967</v>
      </c>
      <c r="S40" s="4">
        <v>39</v>
      </c>
      <c r="T40" s="4" t="s">
        <v>110</v>
      </c>
      <c r="U40" s="4" t="s">
        <v>111</v>
      </c>
    </row>
    <row r="41" spans="1:21">
      <c r="A41" s="26">
        <v>40</v>
      </c>
      <c r="B41" s="26">
        <v>40</v>
      </c>
      <c r="C41" s="26">
        <v>2</v>
      </c>
      <c r="D41" s="26">
        <v>474</v>
      </c>
      <c r="E41" s="26">
        <v>255</v>
      </c>
      <c r="F41" s="26">
        <v>4</v>
      </c>
      <c r="G41" s="26">
        <v>0</v>
      </c>
      <c r="H41" s="26">
        <v>0</v>
      </c>
      <c r="I41" s="26">
        <v>1</v>
      </c>
      <c r="J41" s="26">
        <v>0</v>
      </c>
      <c r="K41" s="26">
        <v>2</v>
      </c>
      <c r="L41" s="26">
        <v>1</v>
      </c>
      <c r="M41" s="26">
        <v>739</v>
      </c>
      <c r="N41" s="26">
        <v>0</v>
      </c>
      <c r="O41" s="26">
        <v>1</v>
      </c>
      <c r="P41" s="27">
        <v>740</v>
      </c>
      <c r="Q41" s="3">
        <v>0</v>
      </c>
      <c r="R41" s="3">
        <v>865</v>
      </c>
      <c r="S41" s="4">
        <v>40</v>
      </c>
      <c r="T41" s="4" t="s">
        <v>112</v>
      </c>
      <c r="U41" s="4" t="s">
        <v>113</v>
      </c>
    </row>
    <row r="42" spans="1:21">
      <c r="A42" s="26">
        <v>41</v>
      </c>
      <c r="B42" s="26">
        <v>41</v>
      </c>
      <c r="C42" s="26">
        <v>9</v>
      </c>
      <c r="D42" s="26">
        <v>493</v>
      </c>
      <c r="E42" s="26">
        <v>374</v>
      </c>
      <c r="F42" s="26">
        <v>6</v>
      </c>
      <c r="G42" s="26">
        <v>2</v>
      </c>
      <c r="H42" s="26">
        <v>0</v>
      </c>
      <c r="I42" s="26">
        <v>0</v>
      </c>
      <c r="J42" s="26">
        <v>0</v>
      </c>
      <c r="K42" s="26">
        <v>0</v>
      </c>
      <c r="L42" s="26">
        <v>2</v>
      </c>
      <c r="M42" s="26">
        <v>886</v>
      </c>
      <c r="N42" s="26">
        <v>0</v>
      </c>
      <c r="O42" s="26">
        <v>2</v>
      </c>
      <c r="P42" s="27">
        <v>888</v>
      </c>
      <c r="Q42" s="3">
        <v>0</v>
      </c>
      <c r="R42" s="3">
        <v>1108</v>
      </c>
      <c r="S42" s="4">
        <v>41</v>
      </c>
      <c r="T42" s="4" t="s">
        <v>114</v>
      </c>
      <c r="U42" s="4" t="s">
        <v>115</v>
      </c>
    </row>
    <row r="43" spans="1:21">
      <c r="A43" s="26">
        <v>42</v>
      </c>
      <c r="B43" s="26">
        <v>42</v>
      </c>
      <c r="C43" s="26">
        <v>7</v>
      </c>
      <c r="D43" s="26">
        <v>321</v>
      </c>
      <c r="E43" s="26">
        <v>202</v>
      </c>
      <c r="F43" s="26">
        <v>6</v>
      </c>
      <c r="G43" s="26">
        <v>0</v>
      </c>
      <c r="H43" s="26">
        <v>0</v>
      </c>
      <c r="I43" s="26">
        <v>1</v>
      </c>
      <c r="J43" s="26">
        <v>0</v>
      </c>
      <c r="K43" s="26">
        <v>3</v>
      </c>
      <c r="L43" s="26">
        <v>0</v>
      </c>
      <c r="M43" s="26">
        <v>540</v>
      </c>
      <c r="N43" s="26">
        <v>0</v>
      </c>
      <c r="O43" s="26">
        <v>2</v>
      </c>
      <c r="P43" s="27">
        <v>542</v>
      </c>
      <c r="Q43" s="3">
        <v>0</v>
      </c>
      <c r="R43" s="3">
        <v>653</v>
      </c>
      <c r="S43" s="4">
        <v>42</v>
      </c>
      <c r="T43" s="4" t="s">
        <v>116</v>
      </c>
      <c r="U43" s="4" t="s">
        <v>117</v>
      </c>
    </row>
    <row r="44" spans="1:21">
      <c r="A44" s="26">
        <v>43</v>
      </c>
      <c r="B44" s="26">
        <v>43</v>
      </c>
      <c r="C44" s="26">
        <v>2</v>
      </c>
      <c r="D44" s="26">
        <v>351</v>
      </c>
      <c r="E44" s="26">
        <v>172</v>
      </c>
      <c r="F44" s="26">
        <v>1</v>
      </c>
      <c r="G44" s="26">
        <v>0</v>
      </c>
      <c r="H44" s="26">
        <v>0</v>
      </c>
      <c r="I44" s="26">
        <v>1</v>
      </c>
      <c r="J44" s="26">
        <v>1</v>
      </c>
      <c r="K44" s="26">
        <v>0</v>
      </c>
      <c r="L44" s="26">
        <v>2</v>
      </c>
      <c r="M44" s="26">
        <v>530</v>
      </c>
      <c r="N44" s="26">
        <v>0</v>
      </c>
      <c r="O44" s="26">
        <v>1</v>
      </c>
      <c r="P44" s="27">
        <v>531</v>
      </c>
      <c r="Q44" s="3">
        <v>0</v>
      </c>
      <c r="R44" s="3">
        <v>649</v>
      </c>
      <c r="S44" s="4">
        <v>43</v>
      </c>
      <c r="T44" s="4" t="s">
        <v>118</v>
      </c>
      <c r="U44" s="4" t="s">
        <v>119</v>
      </c>
    </row>
    <row r="45" spans="1:21">
      <c r="A45" s="26">
        <v>44</v>
      </c>
      <c r="B45" s="26">
        <v>44</v>
      </c>
      <c r="C45" s="26">
        <v>6</v>
      </c>
      <c r="D45" s="26">
        <v>553</v>
      </c>
      <c r="E45" s="26">
        <v>344</v>
      </c>
      <c r="F45" s="26">
        <v>3</v>
      </c>
      <c r="G45" s="26">
        <v>0</v>
      </c>
      <c r="H45" s="26">
        <v>2</v>
      </c>
      <c r="I45" s="26">
        <v>0</v>
      </c>
      <c r="J45" s="26">
        <v>3</v>
      </c>
      <c r="K45" s="26">
        <v>0</v>
      </c>
      <c r="L45" s="26">
        <v>3</v>
      </c>
      <c r="M45" s="26">
        <v>914</v>
      </c>
      <c r="N45" s="26">
        <v>0</v>
      </c>
      <c r="O45" s="26">
        <v>6</v>
      </c>
      <c r="P45" s="27">
        <v>920</v>
      </c>
      <c r="Q45" s="3">
        <v>0</v>
      </c>
      <c r="R45" s="3">
        <v>1135</v>
      </c>
      <c r="S45" s="4">
        <v>44</v>
      </c>
      <c r="T45" s="4" t="s">
        <v>120</v>
      </c>
      <c r="U45" s="4" t="s">
        <v>121</v>
      </c>
    </row>
    <row r="46" spans="1:21">
      <c r="A46" s="26">
        <v>45</v>
      </c>
      <c r="B46" s="26">
        <v>45</v>
      </c>
      <c r="C46" s="26">
        <v>1</v>
      </c>
      <c r="D46" s="26">
        <v>412</v>
      </c>
      <c r="E46" s="26">
        <v>233</v>
      </c>
      <c r="F46" s="26">
        <v>6</v>
      </c>
      <c r="G46" s="26">
        <v>1</v>
      </c>
      <c r="H46" s="26">
        <v>1</v>
      </c>
      <c r="I46" s="26">
        <v>0</v>
      </c>
      <c r="J46" s="26">
        <v>2</v>
      </c>
      <c r="K46" s="26">
        <v>3</v>
      </c>
      <c r="L46" s="26">
        <v>0</v>
      </c>
      <c r="M46" s="26">
        <v>659</v>
      </c>
      <c r="N46" s="26">
        <v>0</v>
      </c>
      <c r="O46" s="26">
        <v>9</v>
      </c>
      <c r="P46" s="27">
        <v>668</v>
      </c>
      <c r="Q46" s="3">
        <v>0</v>
      </c>
      <c r="R46" s="3">
        <v>839</v>
      </c>
      <c r="S46" s="4">
        <v>45</v>
      </c>
      <c r="T46" s="4" t="s">
        <v>122</v>
      </c>
      <c r="U46" s="4" t="s">
        <v>123</v>
      </c>
    </row>
    <row r="47" spans="1:21">
      <c r="A47" s="26">
        <v>46</v>
      </c>
      <c r="B47" s="26">
        <v>46</v>
      </c>
      <c r="C47" s="26">
        <v>4</v>
      </c>
      <c r="D47" s="26">
        <v>349</v>
      </c>
      <c r="E47" s="26">
        <v>121</v>
      </c>
      <c r="F47" s="26">
        <v>1</v>
      </c>
      <c r="G47" s="26">
        <v>0</v>
      </c>
      <c r="H47" s="26">
        <v>0</v>
      </c>
      <c r="I47" s="26">
        <v>0</v>
      </c>
      <c r="J47" s="26">
        <v>0</v>
      </c>
      <c r="K47" s="26">
        <v>1</v>
      </c>
      <c r="L47" s="26">
        <v>2</v>
      </c>
      <c r="M47" s="26">
        <v>478</v>
      </c>
      <c r="N47" s="26">
        <v>0</v>
      </c>
      <c r="O47" s="26">
        <v>1</v>
      </c>
      <c r="P47" s="27">
        <v>479</v>
      </c>
      <c r="Q47" s="3">
        <v>0</v>
      </c>
      <c r="R47" s="3">
        <v>540</v>
      </c>
      <c r="S47" s="4">
        <v>46</v>
      </c>
      <c r="T47" s="4" t="s">
        <v>124</v>
      </c>
      <c r="U47" s="4" t="s">
        <v>125</v>
      </c>
    </row>
    <row r="48" spans="1:21">
      <c r="A48" s="26">
        <v>47</v>
      </c>
      <c r="B48" s="26">
        <v>47</v>
      </c>
      <c r="C48" s="26">
        <v>5</v>
      </c>
      <c r="D48" s="26">
        <v>261</v>
      </c>
      <c r="E48" s="26">
        <v>124</v>
      </c>
      <c r="F48" s="26">
        <v>1</v>
      </c>
      <c r="G48" s="26">
        <v>0</v>
      </c>
      <c r="H48" s="26">
        <v>1</v>
      </c>
      <c r="I48" s="26">
        <v>0</v>
      </c>
      <c r="J48" s="26">
        <v>3</v>
      </c>
      <c r="K48" s="26">
        <v>0</v>
      </c>
      <c r="L48" s="26">
        <v>1</v>
      </c>
      <c r="M48" s="26">
        <v>396</v>
      </c>
      <c r="N48" s="26">
        <v>0</v>
      </c>
      <c r="O48" s="26">
        <v>5</v>
      </c>
      <c r="P48" s="27">
        <v>401</v>
      </c>
      <c r="Q48" s="3">
        <v>0</v>
      </c>
      <c r="R48" s="3">
        <v>524</v>
      </c>
      <c r="S48" s="4">
        <v>47</v>
      </c>
      <c r="T48" s="4" t="s">
        <v>126</v>
      </c>
      <c r="U48" s="4" t="s">
        <v>127</v>
      </c>
    </row>
    <row r="49" spans="1:21">
      <c r="A49" s="26">
        <v>48</v>
      </c>
      <c r="B49" s="26">
        <v>48</v>
      </c>
      <c r="C49" s="26">
        <v>3</v>
      </c>
      <c r="D49" s="26">
        <v>377</v>
      </c>
      <c r="E49" s="26">
        <v>298</v>
      </c>
      <c r="F49" s="26">
        <v>2</v>
      </c>
      <c r="G49" s="26">
        <v>0</v>
      </c>
      <c r="H49" s="26">
        <v>1</v>
      </c>
      <c r="I49" s="26">
        <v>1</v>
      </c>
      <c r="J49" s="26">
        <v>2</v>
      </c>
      <c r="K49" s="26">
        <v>1</v>
      </c>
      <c r="L49" s="26">
        <v>0</v>
      </c>
      <c r="M49" s="26">
        <v>685</v>
      </c>
      <c r="N49" s="26">
        <v>0</v>
      </c>
      <c r="O49" s="26">
        <v>3</v>
      </c>
      <c r="P49" s="27">
        <v>688</v>
      </c>
      <c r="Q49" s="3">
        <v>0</v>
      </c>
      <c r="R49" s="3">
        <v>863</v>
      </c>
      <c r="S49" s="4">
        <v>48</v>
      </c>
      <c r="T49" s="4" t="s">
        <v>128</v>
      </c>
      <c r="U49" s="4" t="s">
        <v>129</v>
      </c>
    </row>
    <row r="50" spans="1:21">
      <c r="A50" s="26">
        <v>49</v>
      </c>
      <c r="B50" s="26">
        <v>49</v>
      </c>
      <c r="C50" s="26">
        <v>5</v>
      </c>
      <c r="D50" s="26">
        <v>242</v>
      </c>
      <c r="E50" s="26">
        <v>124</v>
      </c>
      <c r="F50" s="26">
        <v>4</v>
      </c>
      <c r="G50" s="26">
        <v>0</v>
      </c>
      <c r="H50" s="26">
        <v>1</v>
      </c>
      <c r="I50" s="26">
        <v>1</v>
      </c>
      <c r="J50" s="26">
        <v>1</v>
      </c>
      <c r="K50" s="26">
        <v>1</v>
      </c>
      <c r="L50" s="26">
        <v>2</v>
      </c>
      <c r="M50" s="26">
        <v>381</v>
      </c>
      <c r="N50" s="26">
        <v>0</v>
      </c>
      <c r="O50" s="26">
        <v>3</v>
      </c>
      <c r="P50" s="27">
        <v>384</v>
      </c>
      <c r="Q50" s="3">
        <v>0</v>
      </c>
      <c r="R50" s="3">
        <v>515</v>
      </c>
      <c r="S50" s="4">
        <v>49</v>
      </c>
      <c r="T50" s="4" t="s">
        <v>130</v>
      </c>
      <c r="U50" s="4" t="s">
        <v>131</v>
      </c>
    </row>
    <row r="51" spans="1:21">
      <c r="A51" s="26">
        <v>50</v>
      </c>
      <c r="B51" s="26">
        <v>50</v>
      </c>
      <c r="C51" s="26">
        <v>1</v>
      </c>
      <c r="D51" s="26">
        <v>403</v>
      </c>
      <c r="E51" s="26">
        <v>205</v>
      </c>
      <c r="F51" s="26">
        <v>2</v>
      </c>
      <c r="G51" s="26">
        <v>0</v>
      </c>
      <c r="H51" s="26">
        <v>1</v>
      </c>
      <c r="I51" s="26">
        <v>0</v>
      </c>
      <c r="J51" s="26">
        <v>1</v>
      </c>
      <c r="K51" s="26">
        <v>3</v>
      </c>
      <c r="L51" s="26">
        <v>4</v>
      </c>
      <c r="M51" s="26">
        <v>620</v>
      </c>
      <c r="N51" s="26">
        <v>0</v>
      </c>
      <c r="O51" s="26">
        <v>2</v>
      </c>
      <c r="P51" s="27">
        <v>622</v>
      </c>
      <c r="Q51" s="3">
        <v>0</v>
      </c>
      <c r="R51" s="3">
        <v>723</v>
      </c>
      <c r="S51" s="4">
        <v>50</v>
      </c>
      <c r="T51" s="4" t="s">
        <v>132</v>
      </c>
      <c r="U51" s="4" t="s">
        <v>133</v>
      </c>
    </row>
    <row r="52" spans="1:21">
      <c r="A52" s="26">
        <v>51</v>
      </c>
      <c r="B52" s="26">
        <v>51</v>
      </c>
      <c r="C52" s="26">
        <v>5</v>
      </c>
      <c r="D52" s="26">
        <v>466</v>
      </c>
      <c r="E52" s="26">
        <v>119</v>
      </c>
      <c r="F52" s="26">
        <v>6</v>
      </c>
      <c r="G52" s="26">
        <v>0</v>
      </c>
      <c r="H52" s="26">
        <v>1</v>
      </c>
      <c r="I52" s="26">
        <v>0</v>
      </c>
      <c r="J52" s="26">
        <v>1</v>
      </c>
      <c r="K52" s="26">
        <v>1</v>
      </c>
      <c r="L52" s="26">
        <v>4</v>
      </c>
      <c r="M52" s="26">
        <v>603</v>
      </c>
      <c r="N52" s="26">
        <v>0</v>
      </c>
      <c r="O52" s="26">
        <v>6</v>
      </c>
      <c r="P52" s="27">
        <v>609</v>
      </c>
      <c r="Q52" s="3">
        <v>0</v>
      </c>
      <c r="R52" s="3">
        <v>779</v>
      </c>
      <c r="S52" s="4">
        <v>51</v>
      </c>
      <c r="T52" s="4" t="s">
        <v>134</v>
      </c>
      <c r="U52" s="4" t="s">
        <v>135</v>
      </c>
    </row>
    <row r="53" spans="1:21">
      <c r="A53" s="26">
        <v>52</v>
      </c>
      <c r="B53" s="26">
        <v>52</v>
      </c>
      <c r="C53" s="26">
        <v>2</v>
      </c>
      <c r="D53" s="26">
        <v>175</v>
      </c>
      <c r="E53" s="26">
        <v>162</v>
      </c>
      <c r="F53" s="26">
        <v>4</v>
      </c>
      <c r="G53" s="26">
        <v>1</v>
      </c>
      <c r="H53" s="26">
        <v>0</v>
      </c>
      <c r="I53" s="26">
        <v>0</v>
      </c>
      <c r="J53" s="26">
        <v>0</v>
      </c>
      <c r="K53" s="26">
        <v>0</v>
      </c>
      <c r="L53" s="26">
        <v>1</v>
      </c>
      <c r="M53" s="26">
        <v>345</v>
      </c>
      <c r="N53" s="26">
        <v>0</v>
      </c>
      <c r="O53" s="26">
        <v>1</v>
      </c>
      <c r="P53" s="27">
        <v>346</v>
      </c>
      <c r="Q53" s="3">
        <v>0</v>
      </c>
      <c r="R53" s="3">
        <v>455</v>
      </c>
      <c r="S53" s="4">
        <v>52</v>
      </c>
      <c r="T53" s="4" t="s">
        <v>136</v>
      </c>
      <c r="U53" s="4" t="s">
        <v>137</v>
      </c>
    </row>
    <row r="54" spans="1:21">
      <c r="A54" s="26">
        <v>53</v>
      </c>
      <c r="B54" s="26">
        <v>53</v>
      </c>
      <c r="C54" s="26">
        <v>2</v>
      </c>
      <c r="D54" s="26">
        <v>429</v>
      </c>
      <c r="E54" s="26">
        <v>214</v>
      </c>
      <c r="F54" s="26">
        <v>3</v>
      </c>
      <c r="G54" s="26">
        <v>1</v>
      </c>
      <c r="H54" s="26">
        <v>2</v>
      </c>
      <c r="I54" s="26">
        <v>0</v>
      </c>
      <c r="J54" s="26">
        <v>2</v>
      </c>
      <c r="K54" s="26">
        <v>6</v>
      </c>
      <c r="L54" s="26">
        <v>3</v>
      </c>
      <c r="M54" s="26">
        <v>662</v>
      </c>
      <c r="N54" s="26">
        <v>0</v>
      </c>
      <c r="O54" s="26">
        <v>5</v>
      </c>
      <c r="P54" s="27">
        <v>667</v>
      </c>
      <c r="Q54" s="3">
        <v>0</v>
      </c>
      <c r="R54" s="3">
        <v>928</v>
      </c>
      <c r="S54" s="4">
        <v>53</v>
      </c>
      <c r="T54" s="4" t="s">
        <v>138</v>
      </c>
      <c r="U54" s="4" t="s">
        <v>139</v>
      </c>
    </row>
    <row r="55" spans="1:21">
      <c r="A55" s="26">
        <v>54</v>
      </c>
      <c r="B55" s="26">
        <v>54</v>
      </c>
      <c r="C55" s="26">
        <v>4</v>
      </c>
      <c r="D55" s="26">
        <v>255</v>
      </c>
      <c r="E55" s="26">
        <v>193</v>
      </c>
      <c r="F55" s="26">
        <v>8</v>
      </c>
      <c r="G55" s="26">
        <v>0</v>
      </c>
      <c r="H55" s="26">
        <v>0</v>
      </c>
      <c r="I55" s="26">
        <v>0</v>
      </c>
      <c r="J55" s="26">
        <v>1</v>
      </c>
      <c r="K55" s="26">
        <v>4</v>
      </c>
      <c r="L55" s="26">
        <v>1</v>
      </c>
      <c r="M55" s="26">
        <v>466</v>
      </c>
      <c r="N55" s="26">
        <v>0</v>
      </c>
      <c r="O55" s="26">
        <v>7</v>
      </c>
      <c r="P55" s="27">
        <v>473</v>
      </c>
      <c r="Q55" s="3">
        <v>0</v>
      </c>
      <c r="R55" s="3">
        <v>591</v>
      </c>
      <c r="S55" s="4">
        <v>54</v>
      </c>
      <c r="T55" s="4" t="s">
        <v>140</v>
      </c>
      <c r="U55" s="4" t="s">
        <v>141</v>
      </c>
    </row>
    <row r="56" spans="1:21">
      <c r="A56" s="26">
        <v>55</v>
      </c>
      <c r="B56" s="26">
        <v>55</v>
      </c>
      <c r="C56" s="26">
        <v>4</v>
      </c>
      <c r="D56" s="26">
        <v>233</v>
      </c>
      <c r="E56" s="26">
        <v>158</v>
      </c>
      <c r="F56" s="26">
        <v>0</v>
      </c>
      <c r="G56" s="26">
        <v>0</v>
      </c>
      <c r="H56" s="26">
        <v>0</v>
      </c>
      <c r="I56" s="26">
        <v>0</v>
      </c>
      <c r="J56" s="26">
        <v>2</v>
      </c>
      <c r="K56" s="26">
        <v>1</v>
      </c>
      <c r="L56" s="26">
        <v>1</v>
      </c>
      <c r="M56" s="26">
        <v>399</v>
      </c>
      <c r="N56" s="26">
        <v>0</v>
      </c>
      <c r="O56" s="26">
        <v>0</v>
      </c>
      <c r="P56" s="27">
        <v>399</v>
      </c>
      <c r="Q56" s="3">
        <v>0</v>
      </c>
      <c r="R56" s="3">
        <v>537</v>
      </c>
      <c r="S56" s="4">
        <v>55</v>
      </c>
      <c r="T56" s="4" t="s">
        <v>142</v>
      </c>
      <c r="U56" s="4" t="s">
        <v>143</v>
      </c>
    </row>
    <row r="57" spans="1:21">
      <c r="A57" s="29">
        <v>56</v>
      </c>
      <c r="B57" s="29">
        <v>56</v>
      </c>
      <c r="C57" s="26">
        <v>4</v>
      </c>
      <c r="D57" s="26">
        <v>386</v>
      </c>
      <c r="E57" s="26">
        <v>246</v>
      </c>
      <c r="F57" s="26">
        <v>3</v>
      </c>
      <c r="G57" s="26">
        <v>0</v>
      </c>
      <c r="H57" s="26">
        <v>0</v>
      </c>
      <c r="I57" s="26">
        <v>0</v>
      </c>
      <c r="J57" s="26">
        <v>0</v>
      </c>
      <c r="K57" s="26">
        <v>5</v>
      </c>
      <c r="L57" s="26">
        <v>1</v>
      </c>
      <c r="M57" s="26">
        <v>645</v>
      </c>
      <c r="N57" s="26">
        <v>0</v>
      </c>
      <c r="O57" s="26">
        <v>3</v>
      </c>
      <c r="P57" s="27">
        <v>648</v>
      </c>
      <c r="Q57" s="3">
        <v>0</v>
      </c>
      <c r="R57" s="3">
        <v>938</v>
      </c>
      <c r="S57" s="4">
        <v>56</v>
      </c>
      <c r="T57" s="4" t="s">
        <v>144</v>
      </c>
      <c r="U57" s="4" t="s">
        <v>145</v>
      </c>
    </row>
    <row r="58" spans="1:21">
      <c r="A58" s="26">
        <v>57</v>
      </c>
      <c r="B58" s="26">
        <v>57</v>
      </c>
      <c r="C58" s="26">
        <v>10</v>
      </c>
      <c r="D58" s="26">
        <v>686</v>
      </c>
      <c r="E58" s="26">
        <v>141</v>
      </c>
      <c r="F58" s="26">
        <v>4</v>
      </c>
      <c r="G58" s="26">
        <v>1</v>
      </c>
      <c r="H58" s="26">
        <v>0</v>
      </c>
      <c r="I58" s="26">
        <v>1</v>
      </c>
      <c r="J58" s="26">
        <v>2</v>
      </c>
      <c r="K58" s="26">
        <v>2</v>
      </c>
      <c r="L58" s="26">
        <v>4</v>
      </c>
      <c r="M58" s="26">
        <v>851</v>
      </c>
      <c r="N58" s="26">
        <v>0</v>
      </c>
      <c r="O58" s="26">
        <v>7</v>
      </c>
      <c r="P58" s="27">
        <v>858</v>
      </c>
      <c r="Q58" s="3">
        <v>0</v>
      </c>
      <c r="R58" s="3">
        <v>1132</v>
      </c>
      <c r="S58" s="4">
        <v>57</v>
      </c>
      <c r="T58" s="4" t="s">
        <v>146</v>
      </c>
      <c r="U58" s="4" t="s">
        <v>147</v>
      </c>
    </row>
    <row r="59" spans="1:21">
      <c r="A59" s="26">
        <v>58</v>
      </c>
      <c r="B59" s="26">
        <v>58</v>
      </c>
      <c r="C59" s="26">
        <v>4</v>
      </c>
      <c r="D59" s="26">
        <v>461</v>
      </c>
      <c r="E59" s="26">
        <v>205</v>
      </c>
      <c r="F59" s="26">
        <v>5</v>
      </c>
      <c r="G59" s="26">
        <v>0</v>
      </c>
      <c r="H59" s="26">
        <v>0</v>
      </c>
      <c r="I59" s="26">
        <v>1</v>
      </c>
      <c r="J59" s="26">
        <v>0</v>
      </c>
      <c r="K59" s="26">
        <v>4</v>
      </c>
      <c r="L59" s="26">
        <v>1</v>
      </c>
      <c r="M59" s="26">
        <v>681</v>
      </c>
      <c r="N59" s="26">
        <v>0</v>
      </c>
      <c r="O59" s="26">
        <v>1</v>
      </c>
      <c r="P59" s="27">
        <v>682</v>
      </c>
      <c r="Q59" s="3">
        <v>0</v>
      </c>
      <c r="R59" s="3">
        <v>905</v>
      </c>
      <c r="S59" s="4">
        <v>58</v>
      </c>
      <c r="T59" s="4" t="s">
        <v>148</v>
      </c>
      <c r="U59" s="4" t="s">
        <v>149</v>
      </c>
    </row>
    <row r="60" spans="1:21">
      <c r="A60" s="26">
        <v>59</v>
      </c>
      <c r="B60" s="26">
        <v>59</v>
      </c>
      <c r="C60" s="26">
        <v>15</v>
      </c>
      <c r="D60" s="26">
        <v>321</v>
      </c>
      <c r="E60" s="26">
        <v>194</v>
      </c>
      <c r="F60" s="26">
        <v>2</v>
      </c>
      <c r="G60" s="26">
        <v>0</v>
      </c>
      <c r="H60" s="26">
        <v>2</v>
      </c>
      <c r="I60" s="26">
        <v>0</v>
      </c>
      <c r="J60" s="26">
        <v>1</v>
      </c>
      <c r="K60" s="26">
        <v>1</v>
      </c>
      <c r="L60" s="26">
        <v>2</v>
      </c>
      <c r="M60" s="26">
        <v>538</v>
      </c>
      <c r="N60" s="26">
        <v>0</v>
      </c>
      <c r="O60" s="26">
        <v>1</v>
      </c>
      <c r="P60" s="27">
        <v>539</v>
      </c>
      <c r="Q60" s="3">
        <v>0</v>
      </c>
      <c r="R60" s="3">
        <v>640</v>
      </c>
      <c r="S60" s="4">
        <v>59</v>
      </c>
      <c r="T60" s="4" t="s">
        <v>150</v>
      </c>
      <c r="U60" s="4" t="s">
        <v>151</v>
      </c>
    </row>
    <row r="61" spans="1:21">
      <c r="A61" s="26">
        <v>60</v>
      </c>
      <c r="B61" s="26">
        <v>60</v>
      </c>
      <c r="C61" s="26">
        <v>5</v>
      </c>
      <c r="D61" s="26">
        <v>283</v>
      </c>
      <c r="E61" s="26">
        <v>194</v>
      </c>
      <c r="F61" s="26">
        <v>2</v>
      </c>
      <c r="G61" s="26">
        <v>0</v>
      </c>
      <c r="H61" s="26">
        <v>1</v>
      </c>
      <c r="I61" s="26">
        <v>0</v>
      </c>
      <c r="J61" s="26">
        <v>1</v>
      </c>
      <c r="K61" s="26">
        <v>1</v>
      </c>
      <c r="L61" s="26">
        <v>0</v>
      </c>
      <c r="M61" s="26">
        <v>487</v>
      </c>
      <c r="N61" s="26">
        <v>0</v>
      </c>
      <c r="O61" s="26">
        <v>1</v>
      </c>
      <c r="P61" s="27">
        <v>488</v>
      </c>
      <c r="Q61" s="3">
        <v>0</v>
      </c>
      <c r="R61" s="3">
        <v>600</v>
      </c>
      <c r="S61" s="4">
        <v>60</v>
      </c>
      <c r="T61" s="4" t="s">
        <v>152</v>
      </c>
      <c r="U61" s="4" t="s">
        <v>153</v>
      </c>
    </row>
    <row r="62" spans="1:21">
      <c r="A62" s="26">
        <v>61</v>
      </c>
      <c r="B62" s="26">
        <v>61</v>
      </c>
      <c r="C62" s="26">
        <v>5</v>
      </c>
      <c r="D62" s="26">
        <v>381</v>
      </c>
      <c r="E62" s="26">
        <v>209</v>
      </c>
      <c r="F62" s="26">
        <v>8</v>
      </c>
      <c r="G62" s="26">
        <v>2</v>
      </c>
      <c r="H62" s="26">
        <v>0</v>
      </c>
      <c r="I62" s="26">
        <v>1</v>
      </c>
      <c r="J62" s="26">
        <v>5</v>
      </c>
      <c r="K62" s="26">
        <v>3</v>
      </c>
      <c r="L62" s="26">
        <v>0</v>
      </c>
      <c r="M62" s="26">
        <v>614</v>
      </c>
      <c r="N62" s="26">
        <v>0</v>
      </c>
      <c r="O62" s="26">
        <v>5</v>
      </c>
      <c r="P62" s="27">
        <v>619</v>
      </c>
      <c r="Q62" s="3">
        <v>0</v>
      </c>
      <c r="R62" s="3">
        <v>754</v>
      </c>
      <c r="S62" s="4">
        <v>61</v>
      </c>
      <c r="T62" s="4" t="s">
        <v>154</v>
      </c>
      <c r="U62" s="4" t="s">
        <v>155</v>
      </c>
    </row>
    <row r="63" spans="1:21">
      <c r="A63" s="26">
        <v>62</v>
      </c>
      <c r="B63" s="26">
        <v>62</v>
      </c>
      <c r="C63" s="26">
        <v>2</v>
      </c>
      <c r="D63" s="26">
        <v>367</v>
      </c>
      <c r="E63" s="26">
        <v>213</v>
      </c>
      <c r="F63" s="26">
        <v>5</v>
      </c>
      <c r="G63" s="26">
        <v>2</v>
      </c>
      <c r="H63" s="26">
        <v>0</v>
      </c>
      <c r="I63" s="26">
        <v>1</v>
      </c>
      <c r="J63" s="26">
        <v>2</v>
      </c>
      <c r="K63" s="26">
        <v>2</v>
      </c>
      <c r="L63" s="26">
        <v>1</v>
      </c>
      <c r="M63" s="26">
        <v>595</v>
      </c>
      <c r="N63" s="26">
        <v>0</v>
      </c>
      <c r="O63" s="26">
        <v>0</v>
      </c>
      <c r="P63" s="27">
        <v>595</v>
      </c>
      <c r="Q63" s="3">
        <v>0</v>
      </c>
      <c r="R63" s="3">
        <v>757</v>
      </c>
      <c r="S63" s="4">
        <v>62</v>
      </c>
      <c r="T63" s="4" t="s">
        <v>156</v>
      </c>
      <c r="U63" s="4" t="s">
        <v>157</v>
      </c>
    </row>
    <row r="64" spans="1:21">
      <c r="A64" s="26">
        <v>63</v>
      </c>
      <c r="B64" s="26">
        <v>63</v>
      </c>
      <c r="C64" s="26">
        <v>6</v>
      </c>
      <c r="D64" s="26">
        <v>309</v>
      </c>
      <c r="E64" s="26">
        <v>129</v>
      </c>
      <c r="F64" s="26">
        <v>1</v>
      </c>
      <c r="G64" s="26">
        <v>0</v>
      </c>
      <c r="H64" s="26">
        <v>0</v>
      </c>
      <c r="I64" s="26">
        <v>0</v>
      </c>
      <c r="J64" s="26">
        <v>0</v>
      </c>
      <c r="K64" s="26">
        <v>2</v>
      </c>
      <c r="L64" s="26">
        <v>3</v>
      </c>
      <c r="M64" s="26">
        <v>450</v>
      </c>
      <c r="N64" s="26">
        <v>0</v>
      </c>
      <c r="O64" s="26">
        <v>4</v>
      </c>
      <c r="P64" s="27">
        <v>454</v>
      </c>
      <c r="Q64" s="3">
        <v>0</v>
      </c>
      <c r="R64" s="3">
        <v>627</v>
      </c>
      <c r="S64" s="4">
        <v>63</v>
      </c>
      <c r="T64" s="4" t="s">
        <v>158</v>
      </c>
      <c r="U64" s="4" t="s">
        <v>159</v>
      </c>
    </row>
    <row r="65" spans="1:21">
      <c r="A65" s="26">
        <v>64</v>
      </c>
      <c r="B65" s="26">
        <v>64</v>
      </c>
      <c r="C65" s="26">
        <v>2</v>
      </c>
      <c r="D65" s="26">
        <v>321</v>
      </c>
      <c r="E65" s="26">
        <v>206</v>
      </c>
      <c r="F65" s="26">
        <v>3</v>
      </c>
      <c r="G65" s="26">
        <v>1</v>
      </c>
      <c r="H65" s="26">
        <v>1</v>
      </c>
      <c r="I65" s="26">
        <v>0</v>
      </c>
      <c r="J65" s="26">
        <v>1</v>
      </c>
      <c r="K65" s="26">
        <v>1</v>
      </c>
      <c r="L65" s="26">
        <v>1</v>
      </c>
      <c r="M65" s="26">
        <v>537</v>
      </c>
      <c r="N65" s="26">
        <v>0</v>
      </c>
      <c r="O65" s="26">
        <v>3</v>
      </c>
      <c r="P65" s="27">
        <v>540</v>
      </c>
      <c r="Q65" s="3">
        <v>0</v>
      </c>
      <c r="R65" s="3">
        <v>670</v>
      </c>
      <c r="S65" s="4">
        <v>64</v>
      </c>
      <c r="T65" s="4" t="s">
        <v>160</v>
      </c>
      <c r="U65" s="4" t="s">
        <v>161</v>
      </c>
    </row>
    <row r="66" spans="1:21">
      <c r="A66" s="26">
        <v>65</v>
      </c>
      <c r="B66" s="26">
        <v>65</v>
      </c>
      <c r="C66" s="26">
        <v>8</v>
      </c>
      <c r="D66" s="26">
        <v>119</v>
      </c>
      <c r="E66" s="26">
        <v>252</v>
      </c>
      <c r="F66" s="26">
        <v>1</v>
      </c>
      <c r="G66" s="26">
        <v>0</v>
      </c>
      <c r="H66" s="26">
        <v>0</v>
      </c>
      <c r="I66" s="26">
        <v>0</v>
      </c>
      <c r="J66" s="26">
        <v>1</v>
      </c>
      <c r="K66" s="26">
        <v>0</v>
      </c>
      <c r="L66" s="26">
        <v>0</v>
      </c>
      <c r="M66" s="26">
        <v>381</v>
      </c>
      <c r="N66" s="26">
        <v>0</v>
      </c>
      <c r="O66" s="26">
        <v>1</v>
      </c>
      <c r="P66" s="27">
        <v>382</v>
      </c>
      <c r="Q66" s="3">
        <v>0</v>
      </c>
      <c r="R66" s="3">
        <v>486</v>
      </c>
      <c r="S66" s="4">
        <v>65</v>
      </c>
      <c r="T66" s="4" t="s">
        <v>162</v>
      </c>
      <c r="U66" s="4" t="s">
        <v>163</v>
      </c>
    </row>
    <row r="67" spans="1:21">
      <c r="A67" s="26">
        <v>66</v>
      </c>
      <c r="B67" s="26">
        <v>66</v>
      </c>
      <c r="C67" s="26">
        <v>11</v>
      </c>
      <c r="D67" s="26">
        <v>621</v>
      </c>
      <c r="E67" s="26">
        <v>383</v>
      </c>
      <c r="F67" s="26">
        <v>4</v>
      </c>
      <c r="G67" s="26">
        <v>0</v>
      </c>
      <c r="H67" s="26">
        <v>2</v>
      </c>
      <c r="I67" s="26">
        <v>2</v>
      </c>
      <c r="J67" s="26">
        <v>2</v>
      </c>
      <c r="K67" s="26">
        <v>2</v>
      </c>
      <c r="L67" s="26">
        <v>1</v>
      </c>
      <c r="M67" s="26">
        <v>1028</v>
      </c>
      <c r="N67" s="26">
        <v>0</v>
      </c>
      <c r="O67" s="26">
        <v>9</v>
      </c>
      <c r="P67" s="27">
        <v>1037</v>
      </c>
      <c r="Q67" s="3">
        <v>0</v>
      </c>
      <c r="R67" s="3">
        <v>1406</v>
      </c>
      <c r="S67" s="4">
        <v>66</v>
      </c>
      <c r="T67" s="4" t="s">
        <v>164</v>
      </c>
      <c r="U67" s="4" t="s">
        <v>165</v>
      </c>
    </row>
    <row r="68" spans="1:21">
      <c r="A68" s="26">
        <v>67</v>
      </c>
      <c r="B68" s="26">
        <v>67</v>
      </c>
      <c r="C68" s="26">
        <v>2</v>
      </c>
      <c r="D68" s="26">
        <v>617</v>
      </c>
      <c r="E68" s="26">
        <v>263</v>
      </c>
      <c r="F68" s="26">
        <v>4</v>
      </c>
      <c r="G68" s="26">
        <v>2</v>
      </c>
      <c r="H68" s="26">
        <v>1</v>
      </c>
      <c r="I68" s="26">
        <v>3</v>
      </c>
      <c r="J68" s="26">
        <v>4</v>
      </c>
      <c r="K68" s="26">
        <v>1</v>
      </c>
      <c r="L68" s="26">
        <v>3</v>
      </c>
      <c r="M68" s="26">
        <v>900</v>
      </c>
      <c r="N68" s="26">
        <v>0</v>
      </c>
      <c r="O68" s="26">
        <v>4</v>
      </c>
      <c r="P68" s="27">
        <v>904</v>
      </c>
      <c r="Q68" s="3">
        <v>0</v>
      </c>
      <c r="R68" s="3">
        <v>1127</v>
      </c>
      <c r="S68" s="4">
        <v>67</v>
      </c>
      <c r="T68" s="4" t="s">
        <v>166</v>
      </c>
      <c r="U68" s="4" t="s">
        <v>167</v>
      </c>
    </row>
    <row r="69" spans="1:21">
      <c r="A69" s="26">
        <v>68</v>
      </c>
      <c r="B69" s="26">
        <v>68</v>
      </c>
      <c r="C69" s="26">
        <v>0</v>
      </c>
      <c r="D69" s="26">
        <v>190</v>
      </c>
      <c r="E69" s="26">
        <v>173</v>
      </c>
      <c r="F69" s="26">
        <v>0</v>
      </c>
      <c r="G69" s="26">
        <v>0</v>
      </c>
      <c r="H69" s="26">
        <v>1</v>
      </c>
      <c r="I69" s="26">
        <v>0</v>
      </c>
      <c r="J69" s="26">
        <v>0</v>
      </c>
      <c r="K69" s="26">
        <v>2</v>
      </c>
      <c r="L69" s="26">
        <v>0</v>
      </c>
      <c r="M69" s="26">
        <v>366</v>
      </c>
      <c r="N69" s="26">
        <v>0</v>
      </c>
      <c r="O69" s="26">
        <v>0</v>
      </c>
      <c r="P69" s="27">
        <v>366</v>
      </c>
      <c r="Q69" s="3">
        <v>0</v>
      </c>
      <c r="R69" s="3">
        <v>395</v>
      </c>
      <c r="S69" s="4">
        <v>68</v>
      </c>
      <c r="T69" s="4" t="s">
        <v>168</v>
      </c>
      <c r="U69" s="4" t="s">
        <v>169</v>
      </c>
    </row>
    <row r="70" spans="1:21">
      <c r="A70" s="26">
        <v>69</v>
      </c>
      <c r="B70" s="26">
        <v>69</v>
      </c>
      <c r="C70" s="26">
        <v>2</v>
      </c>
      <c r="D70" s="26">
        <v>145</v>
      </c>
      <c r="E70" s="26">
        <v>173</v>
      </c>
      <c r="F70" s="26">
        <v>2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1</v>
      </c>
      <c r="M70" s="26">
        <v>323</v>
      </c>
      <c r="N70" s="26">
        <v>0</v>
      </c>
      <c r="O70" s="26">
        <v>2</v>
      </c>
      <c r="P70" s="27">
        <v>325</v>
      </c>
      <c r="Q70" s="3">
        <v>0</v>
      </c>
      <c r="R70" s="3">
        <v>419</v>
      </c>
      <c r="S70" s="4">
        <v>69</v>
      </c>
      <c r="T70" s="4" t="s">
        <v>170</v>
      </c>
      <c r="U70" s="4" t="s">
        <v>171</v>
      </c>
    </row>
    <row r="71" spans="1:21">
      <c r="A71" s="26">
        <v>70</v>
      </c>
      <c r="B71" s="26">
        <v>70</v>
      </c>
      <c r="C71" s="26">
        <v>2</v>
      </c>
      <c r="D71" s="26">
        <v>267</v>
      </c>
      <c r="E71" s="26">
        <v>177</v>
      </c>
      <c r="F71" s="26">
        <v>2</v>
      </c>
      <c r="G71" s="26">
        <v>0</v>
      </c>
      <c r="H71" s="26">
        <v>0</v>
      </c>
      <c r="I71" s="26">
        <v>0</v>
      </c>
      <c r="J71" s="26">
        <v>1</v>
      </c>
      <c r="K71" s="26">
        <v>3</v>
      </c>
      <c r="L71" s="26">
        <v>1</v>
      </c>
      <c r="M71" s="26">
        <v>453</v>
      </c>
      <c r="N71" s="26">
        <v>0</v>
      </c>
      <c r="O71" s="26">
        <v>2</v>
      </c>
      <c r="P71" s="27">
        <v>455</v>
      </c>
      <c r="Q71" s="3">
        <v>0</v>
      </c>
      <c r="R71" s="3">
        <v>545</v>
      </c>
      <c r="S71" s="4">
        <v>70</v>
      </c>
      <c r="T71" s="4" t="s">
        <v>172</v>
      </c>
      <c r="U71" s="4" t="s">
        <v>173</v>
      </c>
    </row>
    <row r="72" spans="1:21">
      <c r="A72" s="26">
        <v>71</v>
      </c>
      <c r="B72" s="26">
        <v>71</v>
      </c>
      <c r="C72" s="26">
        <v>7</v>
      </c>
      <c r="D72" s="26">
        <v>433</v>
      </c>
      <c r="E72" s="26">
        <v>284</v>
      </c>
      <c r="F72" s="26">
        <v>2</v>
      </c>
      <c r="G72" s="26">
        <v>1</v>
      </c>
      <c r="H72" s="26">
        <v>0</v>
      </c>
      <c r="I72" s="26">
        <v>0</v>
      </c>
      <c r="J72" s="26">
        <v>1</v>
      </c>
      <c r="K72" s="26">
        <v>5</v>
      </c>
      <c r="L72" s="26">
        <v>4</v>
      </c>
      <c r="M72" s="26">
        <v>737</v>
      </c>
      <c r="N72" s="26">
        <v>0</v>
      </c>
      <c r="O72" s="26">
        <v>1</v>
      </c>
      <c r="P72" s="27">
        <v>738</v>
      </c>
      <c r="Q72" s="3">
        <v>0</v>
      </c>
      <c r="R72" s="3">
        <v>956</v>
      </c>
      <c r="S72" s="4">
        <v>71</v>
      </c>
      <c r="T72" s="4" t="s">
        <v>174</v>
      </c>
      <c r="U72" s="4" t="s">
        <v>175</v>
      </c>
    </row>
    <row r="73" spans="1:21">
      <c r="A73" s="26">
        <v>72</v>
      </c>
      <c r="B73" s="26">
        <v>72</v>
      </c>
      <c r="C73" s="26">
        <v>13</v>
      </c>
      <c r="D73" s="26">
        <v>379</v>
      </c>
      <c r="E73" s="26">
        <v>374</v>
      </c>
      <c r="F73" s="26">
        <v>6</v>
      </c>
      <c r="G73" s="26">
        <v>0</v>
      </c>
      <c r="H73" s="26">
        <v>0</v>
      </c>
      <c r="I73" s="26">
        <v>0</v>
      </c>
      <c r="J73" s="26">
        <v>5</v>
      </c>
      <c r="K73" s="26">
        <v>4</v>
      </c>
      <c r="L73" s="26">
        <v>1</v>
      </c>
      <c r="M73" s="26">
        <v>782</v>
      </c>
      <c r="N73" s="26">
        <v>0</v>
      </c>
      <c r="O73" s="26">
        <v>4</v>
      </c>
      <c r="P73" s="27">
        <v>786</v>
      </c>
      <c r="Q73" s="3">
        <v>0</v>
      </c>
      <c r="R73" s="3">
        <v>939</v>
      </c>
      <c r="S73" s="4">
        <v>72</v>
      </c>
      <c r="T73" s="4" t="s">
        <v>176</v>
      </c>
      <c r="U73" s="4" t="s">
        <v>177</v>
      </c>
    </row>
    <row r="74" spans="1:21">
      <c r="A74" s="26">
        <v>73</v>
      </c>
      <c r="B74" s="26">
        <v>73</v>
      </c>
      <c r="C74" s="26">
        <v>12</v>
      </c>
      <c r="D74" s="26">
        <v>213</v>
      </c>
      <c r="E74" s="26">
        <v>264</v>
      </c>
      <c r="F74" s="26">
        <v>2</v>
      </c>
      <c r="G74" s="26">
        <v>1</v>
      </c>
      <c r="H74" s="26">
        <v>0</v>
      </c>
      <c r="I74" s="26">
        <v>1</v>
      </c>
      <c r="J74" s="26">
        <v>1</v>
      </c>
      <c r="K74" s="26">
        <v>0</v>
      </c>
      <c r="L74" s="26">
        <v>2</v>
      </c>
      <c r="M74" s="26">
        <v>496</v>
      </c>
      <c r="N74" s="26">
        <v>0</v>
      </c>
      <c r="O74" s="26">
        <v>5</v>
      </c>
      <c r="P74" s="27">
        <v>501</v>
      </c>
      <c r="Q74" s="3">
        <v>0</v>
      </c>
      <c r="R74" s="3">
        <v>707</v>
      </c>
      <c r="S74" s="4">
        <v>73</v>
      </c>
      <c r="T74" s="4" t="s">
        <v>178</v>
      </c>
      <c r="U74" s="4" t="s">
        <v>179</v>
      </c>
    </row>
    <row r="75" spans="1:21">
      <c r="A75" s="26">
        <v>74</v>
      </c>
      <c r="B75" s="26">
        <v>74</v>
      </c>
      <c r="C75" s="26">
        <v>21</v>
      </c>
      <c r="D75" s="26">
        <v>434</v>
      </c>
      <c r="E75" s="26">
        <v>407</v>
      </c>
      <c r="F75" s="26">
        <v>5</v>
      </c>
      <c r="G75" s="26">
        <v>0</v>
      </c>
      <c r="H75" s="26">
        <v>0</v>
      </c>
      <c r="I75" s="26">
        <v>1</v>
      </c>
      <c r="J75" s="26">
        <v>0</v>
      </c>
      <c r="K75" s="26">
        <v>1</v>
      </c>
      <c r="L75" s="26">
        <v>1</v>
      </c>
      <c r="M75" s="26">
        <v>870</v>
      </c>
      <c r="N75" s="26">
        <v>0</v>
      </c>
      <c r="O75" s="26">
        <v>7</v>
      </c>
      <c r="P75" s="27">
        <v>877</v>
      </c>
      <c r="Q75" s="3">
        <v>0</v>
      </c>
      <c r="R75" s="3">
        <v>1079</v>
      </c>
      <c r="S75" s="4">
        <v>74</v>
      </c>
      <c r="T75" s="4" t="s">
        <v>180</v>
      </c>
      <c r="U75" s="4" t="s">
        <v>181</v>
      </c>
    </row>
    <row r="76" spans="1:21">
      <c r="A76" s="26">
        <v>75</v>
      </c>
      <c r="B76" s="26">
        <v>75</v>
      </c>
      <c r="C76" s="26">
        <v>1</v>
      </c>
      <c r="D76" s="26">
        <v>401</v>
      </c>
      <c r="E76" s="26">
        <v>155</v>
      </c>
      <c r="F76" s="26">
        <v>0</v>
      </c>
      <c r="G76" s="26">
        <v>0</v>
      </c>
      <c r="H76" s="26">
        <v>0</v>
      </c>
      <c r="I76" s="26">
        <v>0</v>
      </c>
      <c r="J76" s="26">
        <v>1</v>
      </c>
      <c r="K76" s="26">
        <v>1</v>
      </c>
      <c r="L76" s="26">
        <v>4</v>
      </c>
      <c r="M76" s="26">
        <v>563</v>
      </c>
      <c r="N76" s="26">
        <v>0</v>
      </c>
      <c r="O76" s="26">
        <v>3</v>
      </c>
      <c r="P76" s="27">
        <v>566</v>
      </c>
      <c r="Q76" s="3">
        <v>0</v>
      </c>
      <c r="R76" s="3">
        <v>694</v>
      </c>
      <c r="S76" s="4">
        <v>75</v>
      </c>
      <c r="T76" s="4" t="s">
        <v>182</v>
      </c>
      <c r="U76" s="4" t="s">
        <v>183</v>
      </c>
    </row>
    <row r="77" spans="1:21">
      <c r="A77" s="26">
        <v>76</v>
      </c>
      <c r="B77" s="26">
        <v>76</v>
      </c>
      <c r="C77" s="26">
        <v>10</v>
      </c>
      <c r="D77" s="26">
        <v>205</v>
      </c>
      <c r="E77" s="26">
        <v>387</v>
      </c>
      <c r="F77" s="26">
        <v>3</v>
      </c>
      <c r="G77" s="26">
        <v>0</v>
      </c>
      <c r="H77" s="26">
        <v>0</v>
      </c>
      <c r="I77" s="26">
        <v>1</v>
      </c>
      <c r="J77" s="26">
        <v>0</v>
      </c>
      <c r="K77" s="26">
        <v>3</v>
      </c>
      <c r="L77" s="26">
        <v>0</v>
      </c>
      <c r="M77" s="26">
        <v>609</v>
      </c>
      <c r="N77" s="26">
        <v>0</v>
      </c>
      <c r="O77" s="26">
        <v>7</v>
      </c>
      <c r="P77" s="27">
        <v>616</v>
      </c>
      <c r="Q77" s="3">
        <v>0</v>
      </c>
      <c r="R77" s="3">
        <v>796</v>
      </c>
      <c r="S77" s="4">
        <v>76</v>
      </c>
      <c r="T77" s="4" t="s">
        <v>184</v>
      </c>
      <c r="U77" s="4" t="s">
        <v>185</v>
      </c>
    </row>
    <row r="78" spans="1:21">
      <c r="A78" s="26">
        <v>77</v>
      </c>
      <c r="B78" s="26">
        <v>77</v>
      </c>
      <c r="C78" s="26">
        <v>6</v>
      </c>
      <c r="D78" s="26">
        <v>451</v>
      </c>
      <c r="E78" s="26">
        <v>292</v>
      </c>
      <c r="F78" s="26">
        <v>5</v>
      </c>
      <c r="G78" s="26">
        <v>2</v>
      </c>
      <c r="H78" s="26">
        <v>0</v>
      </c>
      <c r="I78" s="26">
        <v>1</v>
      </c>
      <c r="J78" s="26">
        <v>1</v>
      </c>
      <c r="K78" s="26">
        <v>2</v>
      </c>
      <c r="L78" s="26">
        <v>5</v>
      </c>
      <c r="M78" s="26">
        <v>765</v>
      </c>
      <c r="N78" s="26">
        <v>0</v>
      </c>
      <c r="O78" s="26">
        <v>3</v>
      </c>
      <c r="P78" s="27">
        <v>768</v>
      </c>
      <c r="Q78" s="3">
        <v>0</v>
      </c>
      <c r="R78" s="3">
        <v>1016</v>
      </c>
      <c r="S78" s="4">
        <v>77</v>
      </c>
      <c r="T78" s="4" t="s">
        <v>186</v>
      </c>
      <c r="U78" s="4" t="s">
        <v>187</v>
      </c>
    </row>
    <row r="79" spans="1:21">
      <c r="A79" s="26">
        <v>78</v>
      </c>
      <c r="B79" s="26">
        <v>78</v>
      </c>
      <c r="C79" s="26">
        <v>2</v>
      </c>
      <c r="D79" s="26">
        <v>226</v>
      </c>
      <c r="E79" s="26">
        <v>161</v>
      </c>
      <c r="F79" s="26">
        <v>1</v>
      </c>
      <c r="G79" s="26">
        <v>0</v>
      </c>
      <c r="H79" s="26">
        <v>0</v>
      </c>
      <c r="I79" s="26">
        <v>0</v>
      </c>
      <c r="J79" s="26">
        <v>1</v>
      </c>
      <c r="K79" s="26">
        <v>0</v>
      </c>
      <c r="L79" s="26">
        <v>1</v>
      </c>
      <c r="M79" s="26">
        <v>392</v>
      </c>
      <c r="N79" s="26">
        <v>0</v>
      </c>
      <c r="O79" s="26">
        <v>3</v>
      </c>
      <c r="P79" s="27">
        <v>395</v>
      </c>
      <c r="Q79" s="3">
        <v>0</v>
      </c>
      <c r="R79" s="3">
        <v>559</v>
      </c>
      <c r="S79" s="4">
        <v>78</v>
      </c>
      <c r="T79" s="4" t="s">
        <v>188</v>
      </c>
      <c r="U79" s="4" t="s">
        <v>189</v>
      </c>
    </row>
    <row r="80" spans="1:21">
      <c r="A80" s="26">
        <v>79</v>
      </c>
      <c r="B80" s="26">
        <v>79</v>
      </c>
      <c r="C80" s="26">
        <v>11</v>
      </c>
      <c r="D80" s="26">
        <v>323</v>
      </c>
      <c r="E80" s="26">
        <v>429</v>
      </c>
      <c r="F80" s="26">
        <v>6</v>
      </c>
      <c r="G80" s="26">
        <v>2</v>
      </c>
      <c r="H80" s="26">
        <v>0</v>
      </c>
      <c r="I80" s="26">
        <v>0</v>
      </c>
      <c r="J80" s="26">
        <v>4</v>
      </c>
      <c r="K80" s="26">
        <v>4</v>
      </c>
      <c r="L80" s="26">
        <v>0</v>
      </c>
      <c r="M80" s="26">
        <v>779</v>
      </c>
      <c r="N80" s="26">
        <v>0</v>
      </c>
      <c r="O80" s="26">
        <v>4</v>
      </c>
      <c r="P80" s="27">
        <v>783</v>
      </c>
      <c r="Q80" s="3">
        <v>0</v>
      </c>
      <c r="R80" s="3">
        <v>949</v>
      </c>
      <c r="S80" s="4">
        <v>79</v>
      </c>
      <c r="T80" s="4" t="s">
        <v>190</v>
      </c>
      <c r="U80" s="4" t="s">
        <v>191</v>
      </c>
    </row>
    <row r="81" spans="1:21">
      <c r="A81" s="26">
        <v>80</v>
      </c>
      <c r="B81" s="26">
        <v>80</v>
      </c>
      <c r="C81" s="26">
        <v>4</v>
      </c>
      <c r="D81" s="26">
        <v>378</v>
      </c>
      <c r="E81" s="26">
        <v>239</v>
      </c>
      <c r="F81" s="26">
        <v>6</v>
      </c>
      <c r="G81" s="26">
        <v>1</v>
      </c>
      <c r="H81" s="26">
        <v>1</v>
      </c>
      <c r="I81" s="26">
        <v>2</v>
      </c>
      <c r="J81" s="26">
        <v>1</v>
      </c>
      <c r="K81" s="26">
        <v>0</v>
      </c>
      <c r="L81" s="26">
        <v>1</v>
      </c>
      <c r="M81" s="26">
        <v>633</v>
      </c>
      <c r="N81" s="26">
        <v>0</v>
      </c>
      <c r="O81" s="26">
        <v>2</v>
      </c>
      <c r="P81" s="27">
        <v>635</v>
      </c>
      <c r="Q81" s="3">
        <v>0</v>
      </c>
      <c r="R81" s="3">
        <v>749</v>
      </c>
      <c r="S81" s="4">
        <v>80</v>
      </c>
      <c r="T81" s="4" t="s">
        <v>192</v>
      </c>
      <c r="U81" s="4" t="s">
        <v>193</v>
      </c>
    </row>
    <row r="82" spans="1:21">
      <c r="A82" s="26">
        <v>81</v>
      </c>
      <c r="B82" s="26">
        <v>81</v>
      </c>
      <c r="C82" s="26">
        <v>8</v>
      </c>
      <c r="D82" s="26">
        <v>640</v>
      </c>
      <c r="E82" s="26">
        <v>243</v>
      </c>
      <c r="F82" s="26">
        <v>1</v>
      </c>
      <c r="G82" s="26">
        <v>0</v>
      </c>
      <c r="H82" s="26">
        <v>2</v>
      </c>
      <c r="I82" s="26">
        <v>0</v>
      </c>
      <c r="J82" s="26">
        <v>3</v>
      </c>
      <c r="K82" s="26">
        <v>2</v>
      </c>
      <c r="L82" s="26">
        <v>3</v>
      </c>
      <c r="M82" s="26">
        <v>902</v>
      </c>
      <c r="N82" s="26">
        <v>0</v>
      </c>
      <c r="O82" s="26">
        <v>7</v>
      </c>
      <c r="P82" s="27">
        <v>909</v>
      </c>
      <c r="Q82" s="3">
        <v>0</v>
      </c>
      <c r="R82" s="3">
        <v>1084</v>
      </c>
      <c r="S82" s="4">
        <v>81</v>
      </c>
      <c r="T82" s="4" t="s">
        <v>194</v>
      </c>
      <c r="U82" s="4" t="s">
        <v>195</v>
      </c>
    </row>
    <row r="83" spans="1:21">
      <c r="A83" s="26">
        <v>82</v>
      </c>
      <c r="B83" s="26">
        <v>82</v>
      </c>
      <c r="C83" s="26">
        <v>13</v>
      </c>
      <c r="D83" s="26">
        <v>490</v>
      </c>
      <c r="E83" s="26">
        <v>306</v>
      </c>
      <c r="F83" s="26">
        <v>2</v>
      </c>
      <c r="G83" s="26">
        <v>1</v>
      </c>
      <c r="H83" s="26">
        <v>0</v>
      </c>
      <c r="I83" s="26">
        <v>0</v>
      </c>
      <c r="J83" s="26">
        <v>2</v>
      </c>
      <c r="K83" s="26">
        <v>1</v>
      </c>
      <c r="L83" s="26">
        <v>2</v>
      </c>
      <c r="M83" s="26">
        <v>817</v>
      </c>
      <c r="N83" s="26">
        <v>0</v>
      </c>
      <c r="O83" s="26">
        <v>8</v>
      </c>
      <c r="P83" s="27">
        <v>825</v>
      </c>
      <c r="Q83" s="3">
        <v>0</v>
      </c>
      <c r="R83" s="3">
        <v>1018</v>
      </c>
      <c r="S83" s="4">
        <v>82</v>
      </c>
      <c r="T83" s="4" t="s">
        <v>196</v>
      </c>
      <c r="U83" s="4" t="s">
        <v>197</v>
      </c>
    </row>
    <row r="84" spans="1:21">
      <c r="A84" s="26">
        <v>83</v>
      </c>
      <c r="B84" s="26">
        <v>83</v>
      </c>
      <c r="C84" s="26">
        <v>4</v>
      </c>
      <c r="D84" s="26">
        <v>246</v>
      </c>
      <c r="E84" s="26">
        <v>146</v>
      </c>
      <c r="F84" s="26">
        <v>1</v>
      </c>
      <c r="G84" s="26">
        <v>0</v>
      </c>
      <c r="H84" s="26">
        <v>1</v>
      </c>
      <c r="I84" s="26">
        <v>0</v>
      </c>
      <c r="J84" s="26">
        <v>2</v>
      </c>
      <c r="K84" s="26">
        <v>5</v>
      </c>
      <c r="L84" s="26">
        <v>4</v>
      </c>
      <c r="M84" s="26">
        <v>409</v>
      </c>
      <c r="N84" s="26">
        <v>0</v>
      </c>
      <c r="O84" s="26">
        <v>3</v>
      </c>
      <c r="P84" s="27">
        <v>412</v>
      </c>
      <c r="Q84" s="3">
        <v>0</v>
      </c>
      <c r="R84" s="3">
        <v>496</v>
      </c>
      <c r="S84" s="4">
        <v>83</v>
      </c>
      <c r="T84" s="4" t="s">
        <v>198</v>
      </c>
      <c r="U84" s="4" t="s">
        <v>199</v>
      </c>
    </row>
    <row r="85" spans="1:21">
      <c r="A85" s="29">
        <v>84</v>
      </c>
      <c r="B85" s="29">
        <v>84</v>
      </c>
      <c r="C85" s="26">
        <v>5</v>
      </c>
      <c r="D85" s="26">
        <v>363</v>
      </c>
      <c r="E85" s="26">
        <v>211</v>
      </c>
      <c r="F85" s="26">
        <v>2</v>
      </c>
      <c r="G85" s="26">
        <v>0</v>
      </c>
      <c r="H85" s="26">
        <v>0</v>
      </c>
      <c r="I85" s="26">
        <v>0</v>
      </c>
      <c r="J85" s="26">
        <v>2</v>
      </c>
      <c r="K85" s="26">
        <v>0</v>
      </c>
      <c r="L85" s="26">
        <v>0</v>
      </c>
      <c r="M85" s="26">
        <v>583</v>
      </c>
      <c r="N85" s="26">
        <v>0</v>
      </c>
      <c r="O85" s="26">
        <v>2</v>
      </c>
      <c r="P85" s="27">
        <v>585</v>
      </c>
      <c r="Q85" s="3">
        <v>0</v>
      </c>
      <c r="R85" s="3">
        <v>710</v>
      </c>
      <c r="S85" s="4">
        <v>84</v>
      </c>
      <c r="T85" s="4" t="s">
        <v>200</v>
      </c>
      <c r="U85" s="4" t="s">
        <v>201</v>
      </c>
    </row>
    <row r="86" spans="1:21">
      <c r="A86" s="26">
        <v>85</v>
      </c>
      <c r="B86" s="26">
        <v>85</v>
      </c>
      <c r="C86" s="26">
        <v>7</v>
      </c>
      <c r="D86" s="26">
        <v>441</v>
      </c>
      <c r="E86" s="26">
        <v>315</v>
      </c>
      <c r="F86" s="26">
        <v>2</v>
      </c>
      <c r="G86" s="26">
        <v>0</v>
      </c>
      <c r="H86" s="26">
        <v>1</v>
      </c>
      <c r="I86" s="26">
        <v>0</v>
      </c>
      <c r="J86" s="26">
        <v>0</v>
      </c>
      <c r="K86" s="26">
        <v>2</v>
      </c>
      <c r="L86" s="26">
        <v>2</v>
      </c>
      <c r="M86" s="26">
        <v>770</v>
      </c>
      <c r="N86" s="26">
        <v>0</v>
      </c>
      <c r="O86" s="26">
        <v>9</v>
      </c>
      <c r="P86" s="27">
        <v>779</v>
      </c>
      <c r="Q86" s="3">
        <v>0</v>
      </c>
      <c r="R86" s="3">
        <v>907</v>
      </c>
      <c r="S86" s="4">
        <v>85</v>
      </c>
      <c r="T86" s="4" t="s">
        <v>202</v>
      </c>
      <c r="U86" s="4" t="s">
        <v>203</v>
      </c>
    </row>
    <row r="87" spans="1:21">
      <c r="A87" s="26">
        <v>86</v>
      </c>
      <c r="B87" s="26">
        <v>86</v>
      </c>
      <c r="C87" s="26">
        <v>7</v>
      </c>
      <c r="D87" s="26">
        <v>392</v>
      </c>
      <c r="E87" s="26">
        <v>359</v>
      </c>
      <c r="F87" s="26">
        <v>4</v>
      </c>
      <c r="G87" s="26">
        <v>2</v>
      </c>
      <c r="H87" s="26">
        <v>0</v>
      </c>
      <c r="I87" s="26">
        <v>1</v>
      </c>
      <c r="J87" s="26">
        <v>1</v>
      </c>
      <c r="K87" s="26">
        <v>1</v>
      </c>
      <c r="L87" s="26">
        <v>0</v>
      </c>
      <c r="M87" s="26">
        <v>767</v>
      </c>
      <c r="N87" s="26">
        <v>0</v>
      </c>
      <c r="O87" s="26">
        <v>3</v>
      </c>
      <c r="P87" s="27">
        <v>770</v>
      </c>
      <c r="Q87" s="3">
        <v>0</v>
      </c>
      <c r="R87" s="3">
        <v>1052</v>
      </c>
      <c r="S87" s="4">
        <v>86</v>
      </c>
      <c r="T87" s="4" t="s">
        <v>204</v>
      </c>
      <c r="U87" s="4" t="s">
        <v>205</v>
      </c>
    </row>
    <row r="88" spans="1:21">
      <c r="A88" s="26">
        <v>87</v>
      </c>
      <c r="B88" s="26">
        <v>87</v>
      </c>
      <c r="C88" s="26">
        <v>3</v>
      </c>
      <c r="D88" s="26">
        <v>144</v>
      </c>
      <c r="E88" s="26">
        <v>183</v>
      </c>
      <c r="F88" s="26">
        <v>3</v>
      </c>
      <c r="G88" s="26">
        <v>0</v>
      </c>
      <c r="H88" s="26">
        <v>0</v>
      </c>
      <c r="I88" s="26">
        <v>0</v>
      </c>
      <c r="J88" s="26">
        <v>0</v>
      </c>
      <c r="K88" s="26">
        <v>1</v>
      </c>
      <c r="L88" s="26">
        <v>0</v>
      </c>
      <c r="M88" s="26">
        <v>334</v>
      </c>
      <c r="N88" s="26">
        <v>0</v>
      </c>
      <c r="O88" s="26">
        <v>0</v>
      </c>
      <c r="P88" s="27">
        <v>334</v>
      </c>
      <c r="Q88" s="3">
        <v>0</v>
      </c>
      <c r="R88" s="3">
        <v>399</v>
      </c>
      <c r="S88" s="4">
        <v>87</v>
      </c>
      <c r="T88" s="4" t="s">
        <v>206</v>
      </c>
      <c r="U88" s="4" t="s">
        <v>207</v>
      </c>
    </row>
    <row r="89" spans="1:21">
      <c r="A89" s="26">
        <v>88</v>
      </c>
      <c r="B89" s="26">
        <v>88</v>
      </c>
      <c r="C89" s="26">
        <v>3</v>
      </c>
      <c r="D89" s="26">
        <v>253</v>
      </c>
      <c r="E89" s="26">
        <v>98</v>
      </c>
      <c r="F89" s="26">
        <v>0</v>
      </c>
      <c r="G89" s="26">
        <v>0</v>
      </c>
      <c r="H89" s="26">
        <v>0</v>
      </c>
      <c r="I89" s="26">
        <v>1</v>
      </c>
      <c r="J89" s="26">
        <v>1</v>
      </c>
      <c r="K89" s="26">
        <v>1</v>
      </c>
      <c r="L89" s="26">
        <v>2</v>
      </c>
      <c r="M89" s="26">
        <v>359</v>
      </c>
      <c r="N89" s="26">
        <v>0</v>
      </c>
      <c r="O89" s="26">
        <v>0</v>
      </c>
      <c r="P89" s="27">
        <v>359</v>
      </c>
      <c r="Q89" s="3">
        <v>0</v>
      </c>
      <c r="R89" s="3">
        <v>412</v>
      </c>
      <c r="S89" s="4">
        <v>88</v>
      </c>
      <c r="T89" s="4" t="s">
        <v>208</v>
      </c>
      <c r="U89" s="4" t="s">
        <v>209</v>
      </c>
    </row>
    <row r="90" spans="1:21">
      <c r="A90" s="26">
        <v>89</v>
      </c>
      <c r="B90" s="26">
        <v>89</v>
      </c>
      <c r="C90" s="26">
        <v>3</v>
      </c>
      <c r="D90" s="26">
        <v>265</v>
      </c>
      <c r="E90" s="26">
        <v>223</v>
      </c>
      <c r="F90" s="26">
        <v>6</v>
      </c>
      <c r="G90" s="26">
        <v>1</v>
      </c>
      <c r="H90" s="26">
        <v>0</v>
      </c>
      <c r="I90" s="26">
        <v>0</v>
      </c>
      <c r="J90" s="26">
        <v>0</v>
      </c>
      <c r="K90" s="26">
        <v>0</v>
      </c>
      <c r="L90" s="26">
        <v>2</v>
      </c>
      <c r="M90" s="26">
        <v>500</v>
      </c>
      <c r="N90" s="26">
        <v>0</v>
      </c>
      <c r="O90" s="26">
        <v>4</v>
      </c>
      <c r="P90" s="27">
        <v>504</v>
      </c>
      <c r="Q90" s="3">
        <v>0</v>
      </c>
      <c r="R90" s="3">
        <v>610</v>
      </c>
      <c r="S90" s="4">
        <v>89</v>
      </c>
      <c r="T90" s="4" t="s">
        <v>210</v>
      </c>
      <c r="U90" s="4" t="s">
        <v>211</v>
      </c>
    </row>
    <row r="91" spans="1:21">
      <c r="A91" s="26">
        <v>90</v>
      </c>
      <c r="B91" s="26">
        <v>90</v>
      </c>
      <c r="C91" s="26">
        <v>1</v>
      </c>
      <c r="D91" s="26">
        <v>243</v>
      </c>
      <c r="E91" s="26">
        <v>151</v>
      </c>
      <c r="F91" s="26">
        <v>1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396</v>
      </c>
      <c r="N91" s="26">
        <v>0</v>
      </c>
      <c r="O91" s="26">
        <v>0</v>
      </c>
      <c r="P91" s="27">
        <v>396</v>
      </c>
      <c r="Q91" s="3">
        <v>0</v>
      </c>
      <c r="R91" s="3">
        <v>486</v>
      </c>
      <c r="S91" s="4">
        <v>90</v>
      </c>
      <c r="T91" s="4" t="s">
        <v>212</v>
      </c>
      <c r="U91" s="4" t="s">
        <v>213</v>
      </c>
    </row>
    <row r="92" spans="1:21">
      <c r="A92" s="26">
        <v>91</v>
      </c>
      <c r="B92" s="26">
        <v>91</v>
      </c>
      <c r="C92" s="26">
        <v>3</v>
      </c>
      <c r="D92" s="26">
        <v>367</v>
      </c>
      <c r="E92" s="26">
        <v>302</v>
      </c>
      <c r="F92" s="26">
        <v>1</v>
      </c>
      <c r="G92" s="26">
        <v>0</v>
      </c>
      <c r="H92" s="26">
        <v>1</v>
      </c>
      <c r="I92" s="26">
        <v>0</v>
      </c>
      <c r="J92" s="26">
        <v>1</v>
      </c>
      <c r="K92" s="26">
        <v>0</v>
      </c>
      <c r="L92" s="26">
        <v>2</v>
      </c>
      <c r="M92" s="26">
        <v>677</v>
      </c>
      <c r="N92" s="26">
        <v>0</v>
      </c>
      <c r="O92" s="26">
        <v>5</v>
      </c>
      <c r="P92" s="27">
        <v>682</v>
      </c>
      <c r="Q92" s="3">
        <v>0</v>
      </c>
      <c r="R92" s="3">
        <v>742</v>
      </c>
      <c r="S92" s="4">
        <v>91</v>
      </c>
      <c r="T92" s="4" t="s">
        <v>214</v>
      </c>
      <c r="U92" s="4" t="s">
        <v>215</v>
      </c>
    </row>
    <row r="93" spans="1:21">
      <c r="A93" s="26">
        <v>92</v>
      </c>
      <c r="B93" s="26">
        <v>92</v>
      </c>
      <c r="C93" s="26">
        <v>0</v>
      </c>
      <c r="D93" s="26">
        <v>110</v>
      </c>
      <c r="E93" s="26">
        <v>125</v>
      </c>
      <c r="F93" s="26">
        <v>2</v>
      </c>
      <c r="G93" s="26">
        <v>0</v>
      </c>
      <c r="H93" s="26">
        <v>0</v>
      </c>
      <c r="I93" s="26">
        <v>0</v>
      </c>
      <c r="J93" s="26">
        <v>0</v>
      </c>
      <c r="K93" s="26">
        <v>1</v>
      </c>
      <c r="L93" s="26">
        <v>1</v>
      </c>
      <c r="M93" s="26">
        <v>239</v>
      </c>
      <c r="N93" s="26">
        <v>0</v>
      </c>
      <c r="O93" s="26">
        <v>0</v>
      </c>
      <c r="P93" s="27">
        <v>239</v>
      </c>
      <c r="Q93" s="3">
        <v>0</v>
      </c>
      <c r="R93" s="3">
        <v>277</v>
      </c>
      <c r="S93" s="4">
        <v>92</v>
      </c>
      <c r="T93" s="4" t="s">
        <v>216</v>
      </c>
      <c r="U93" s="4" t="s">
        <v>217</v>
      </c>
    </row>
    <row r="94" spans="1:21">
      <c r="A94" s="26">
        <v>93</v>
      </c>
      <c r="B94" s="26">
        <v>93</v>
      </c>
      <c r="C94" s="26">
        <v>6</v>
      </c>
      <c r="D94" s="26">
        <v>688</v>
      </c>
      <c r="E94" s="26">
        <v>344</v>
      </c>
      <c r="F94" s="26">
        <v>4</v>
      </c>
      <c r="G94" s="26">
        <v>2</v>
      </c>
      <c r="H94" s="26">
        <v>1</v>
      </c>
      <c r="I94" s="26">
        <v>1</v>
      </c>
      <c r="J94" s="26">
        <v>9</v>
      </c>
      <c r="K94" s="26">
        <v>3</v>
      </c>
      <c r="L94" s="26">
        <v>3</v>
      </c>
      <c r="M94" s="26">
        <v>1061</v>
      </c>
      <c r="N94" s="26">
        <v>0</v>
      </c>
      <c r="O94" s="26">
        <v>4</v>
      </c>
      <c r="P94" s="27">
        <v>1065</v>
      </c>
      <c r="Q94" s="3">
        <v>0</v>
      </c>
      <c r="R94" s="3">
        <v>1357</v>
      </c>
      <c r="S94" s="4">
        <v>93</v>
      </c>
      <c r="T94" s="4" t="s">
        <v>218</v>
      </c>
      <c r="U94" s="4" t="s">
        <v>219</v>
      </c>
    </row>
    <row r="95" spans="1:21">
      <c r="A95" s="26">
        <v>94</v>
      </c>
      <c r="B95" s="26">
        <v>94</v>
      </c>
      <c r="C95" s="26">
        <v>5</v>
      </c>
      <c r="D95" s="26">
        <v>547</v>
      </c>
      <c r="E95" s="26">
        <v>244</v>
      </c>
      <c r="F95" s="26">
        <v>1</v>
      </c>
      <c r="G95" s="26">
        <v>2</v>
      </c>
      <c r="H95" s="26">
        <v>1</v>
      </c>
      <c r="I95" s="26">
        <v>0</v>
      </c>
      <c r="J95" s="26">
        <v>0</v>
      </c>
      <c r="K95" s="26">
        <v>1</v>
      </c>
      <c r="L95" s="26">
        <v>2</v>
      </c>
      <c r="M95" s="26">
        <v>803</v>
      </c>
      <c r="N95" s="26">
        <v>0</v>
      </c>
      <c r="O95" s="26">
        <v>4</v>
      </c>
      <c r="P95" s="27">
        <v>807</v>
      </c>
      <c r="Q95" s="3">
        <v>0</v>
      </c>
      <c r="R95" s="3">
        <v>996</v>
      </c>
      <c r="S95" s="4">
        <v>94</v>
      </c>
      <c r="T95" s="4" t="s">
        <v>220</v>
      </c>
      <c r="U95" s="4" t="s">
        <v>221</v>
      </c>
    </row>
    <row r="96" spans="1:21">
      <c r="A96" s="26">
        <v>95</v>
      </c>
      <c r="B96" s="26">
        <v>95</v>
      </c>
      <c r="C96" s="26">
        <v>5</v>
      </c>
      <c r="D96" s="26">
        <v>370</v>
      </c>
      <c r="E96" s="26">
        <v>145</v>
      </c>
      <c r="F96" s="26">
        <v>7</v>
      </c>
      <c r="G96" s="26">
        <v>0</v>
      </c>
      <c r="H96" s="26">
        <v>1</v>
      </c>
      <c r="I96" s="26">
        <v>0</v>
      </c>
      <c r="J96" s="26">
        <v>2</v>
      </c>
      <c r="K96" s="26">
        <v>0</v>
      </c>
      <c r="L96" s="26">
        <v>0</v>
      </c>
      <c r="M96" s="26">
        <v>530</v>
      </c>
      <c r="N96" s="26">
        <v>0</v>
      </c>
      <c r="O96" s="26">
        <v>0</v>
      </c>
      <c r="P96" s="27">
        <v>530</v>
      </c>
      <c r="Q96" s="3">
        <v>0</v>
      </c>
      <c r="R96" s="3">
        <v>608</v>
      </c>
      <c r="S96" s="4">
        <v>95</v>
      </c>
      <c r="T96" s="4" t="s">
        <v>222</v>
      </c>
      <c r="U96" s="4" t="s">
        <v>223</v>
      </c>
    </row>
    <row r="97" spans="1:21">
      <c r="A97" s="26">
        <v>96</v>
      </c>
      <c r="B97" s="26">
        <v>96</v>
      </c>
      <c r="C97" s="26">
        <v>8</v>
      </c>
      <c r="D97" s="26">
        <v>488</v>
      </c>
      <c r="E97" s="26">
        <v>454</v>
      </c>
      <c r="F97" s="26">
        <v>5</v>
      </c>
      <c r="G97" s="26">
        <v>0</v>
      </c>
      <c r="H97" s="26">
        <v>0</v>
      </c>
      <c r="I97" s="26">
        <v>1</v>
      </c>
      <c r="J97" s="26">
        <v>3</v>
      </c>
      <c r="K97" s="26">
        <v>3</v>
      </c>
      <c r="L97" s="26">
        <v>3</v>
      </c>
      <c r="M97" s="26">
        <v>965</v>
      </c>
      <c r="N97" s="26">
        <v>0</v>
      </c>
      <c r="O97" s="26">
        <v>7</v>
      </c>
      <c r="P97" s="27">
        <v>972</v>
      </c>
      <c r="Q97" s="3">
        <v>0</v>
      </c>
      <c r="R97" s="3">
        <v>1192</v>
      </c>
      <c r="S97" s="4">
        <v>96</v>
      </c>
      <c r="T97" s="4" t="s">
        <v>224</v>
      </c>
      <c r="U97" s="4" t="s">
        <v>225</v>
      </c>
    </row>
    <row r="98" spans="1:21">
      <c r="A98" s="26">
        <v>97</v>
      </c>
      <c r="B98" s="26">
        <v>97</v>
      </c>
      <c r="C98" s="26">
        <v>4</v>
      </c>
      <c r="D98" s="26">
        <v>276</v>
      </c>
      <c r="E98" s="26">
        <v>188</v>
      </c>
      <c r="F98" s="26">
        <v>6</v>
      </c>
      <c r="G98" s="26">
        <v>1</v>
      </c>
      <c r="H98" s="26">
        <v>0</v>
      </c>
      <c r="I98" s="26">
        <v>1</v>
      </c>
      <c r="J98" s="26">
        <v>1</v>
      </c>
      <c r="K98" s="26">
        <v>1</v>
      </c>
      <c r="L98" s="26">
        <v>2</v>
      </c>
      <c r="M98" s="26">
        <v>480</v>
      </c>
      <c r="N98" s="26">
        <v>0</v>
      </c>
      <c r="O98" s="26">
        <v>9</v>
      </c>
      <c r="P98" s="27">
        <v>489</v>
      </c>
      <c r="Q98" s="3">
        <v>0</v>
      </c>
      <c r="R98" s="3">
        <v>598</v>
      </c>
      <c r="S98" s="4">
        <v>97</v>
      </c>
      <c r="T98" s="4" t="s">
        <v>226</v>
      </c>
      <c r="U98" s="4" t="s">
        <v>227</v>
      </c>
    </row>
    <row r="99" spans="1:21">
      <c r="A99" s="26">
        <v>98</v>
      </c>
      <c r="B99" s="26">
        <v>98</v>
      </c>
      <c r="C99" s="26">
        <v>0</v>
      </c>
      <c r="D99" s="26">
        <v>374</v>
      </c>
      <c r="E99" s="26">
        <v>189</v>
      </c>
      <c r="F99" s="26">
        <v>1</v>
      </c>
      <c r="G99" s="26">
        <v>0</v>
      </c>
      <c r="H99" s="26">
        <v>0</v>
      </c>
      <c r="I99" s="26">
        <v>0</v>
      </c>
      <c r="J99" s="26">
        <v>0</v>
      </c>
      <c r="K99" s="26">
        <v>1</v>
      </c>
      <c r="L99" s="26">
        <v>3</v>
      </c>
      <c r="M99" s="26">
        <v>568</v>
      </c>
      <c r="N99" s="26">
        <v>0</v>
      </c>
      <c r="O99" s="26">
        <v>3</v>
      </c>
      <c r="P99" s="27">
        <v>571</v>
      </c>
      <c r="Q99" s="3">
        <v>0</v>
      </c>
      <c r="R99" s="3">
        <v>859</v>
      </c>
      <c r="S99" s="4">
        <v>98</v>
      </c>
      <c r="T99" s="4" t="s">
        <v>228</v>
      </c>
      <c r="U99" s="4" t="s">
        <v>229</v>
      </c>
    </row>
    <row r="100" spans="1:21">
      <c r="A100" s="26">
        <v>99</v>
      </c>
      <c r="B100" s="26">
        <v>99</v>
      </c>
      <c r="C100" s="26">
        <v>3</v>
      </c>
      <c r="D100" s="26">
        <v>220</v>
      </c>
      <c r="E100" s="26">
        <v>241</v>
      </c>
      <c r="F100" s="26">
        <v>1</v>
      </c>
      <c r="G100" s="26">
        <v>0</v>
      </c>
      <c r="H100" s="26">
        <v>2</v>
      </c>
      <c r="I100" s="26">
        <v>0</v>
      </c>
      <c r="J100" s="26">
        <v>0</v>
      </c>
      <c r="K100" s="26">
        <v>1</v>
      </c>
      <c r="L100" s="26">
        <v>0</v>
      </c>
      <c r="M100" s="26">
        <v>468</v>
      </c>
      <c r="N100" s="26">
        <v>0</v>
      </c>
      <c r="O100" s="26">
        <v>5</v>
      </c>
      <c r="P100" s="27">
        <v>473</v>
      </c>
      <c r="Q100" s="3">
        <v>0</v>
      </c>
      <c r="R100" s="3">
        <v>689</v>
      </c>
      <c r="S100" s="4">
        <v>99</v>
      </c>
      <c r="T100" s="4" t="s">
        <v>230</v>
      </c>
      <c r="U100" s="4" t="s">
        <v>231</v>
      </c>
    </row>
    <row r="101" spans="1:21">
      <c r="A101" s="26">
        <v>100</v>
      </c>
      <c r="B101" s="26">
        <v>100</v>
      </c>
      <c r="C101" s="26">
        <v>3</v>
      </c>
      <c r="D101" s="26">
        <v>229</v>
      </c>
      <c r="E101" s="26">
        <v>227</v>
      </c>
      <c r="F101" s="26">
        <v>1</v>
      </c>
      <c r="G101" s="26">
        <v>0</v>
      </c>
      <c r="H101" s="26">
        <v>0</v>
      </c>
      <c r="I101" s="26">
        <v>1</v>
      </c>
      <c r="J101" s="26">
        <v>1</v>
      </c>
      <c r="K101" s="26">
        <v>3</v>
      </c>
      <c r="L101" s="26">
        <v>0</v>
      </c>
      <c r="M101" s="26">
        <v>465</v>
      </c>
      <c r="N101" s="26">
        <v>0</v>
      </c>
      <c r="O101" s="26">
        <v>5</v>
      </c>
      <c r="P101" s="27">
        <v>470</v>
      </c>
      <c r="Q101" s="3">
        <v>0</v>
      </c>
      <c r="R101" s="3">
        <v>624</v>
      </c>
      <c r="S101" s="4">
        <v>100</v>
      </c>
      <c r="T101" s="4" t="s">
        <v>232</v>
      </c>
      <c r="U101" s="4" t="s">
        <v>233</v>
      </c>
    </row>
    <row r="102" spans="1:21">
      <c r="A102" s="26">
        <v>101</v>
      </c>
      <c r="B102" s="26">
        <v>101</v>
      </c>
      <c r="C102" s="26">
        <v>9</v>
      </c>
      <c r="D102" s="26">
        <v>473</v>
      </c>
      <c r="E102" s="26">
        <v>285</v>
      </c>
      <c r="F102" s="26">
        <v>3</v>
      </c>
      <c r="G102" s="26">
        <v>0</v>
      </c>
      <c r="H102" s="26">
        <v>0</v>
      </c>
      <c r="I102" s="26">
        <v>0</v>
      </c>
      <c r="J102" s="26">
        <v>3</v>
      </c>
      <c r="K102" s="26">
        <v>6</v>
      </c>
      <c r="L102" s="26">
        <v>4</v>
      </c>
      <c r="M102" s="26">
        <v>783</v>
      </c>
      <c r="N102" s="26">
        <v>0</v>
      </c>
      <c r="O102" s="26">
        <v>5</v>
      </c>
      <c r="P102" s="27">
        <v>788</v>
      </c>
      <c r="Q102" s="3">
        <v>0</v>
      </c>
      <c r="R102" s="3">
        <v>1147</v>
      </c>
      <c r="S102" s="4">
        <v>101</v>
      </c>
      <c r="T102" s="4" t="s">
        <v>234</v>
      </c>
      <c r="U102" s="4" t="s">
        <v>235</v>
      </c>
    </row>
    <row r="103" spans="1:21">
      <c r="A103" s="26">
        <v>102</v>
      </c>
      <c r="B103" s="26">
        <v>102</v>
      </c>
      <c r="C103" s="26">
        <v>4</v>
      </c>
      <c r="D103" s="26">
        <v>506</v>
      </c>
      <c r="E103" s="26">
        <v>418</v>
      </c>
      <c r="F103" s="26">
        <v>2</v>
      </c>
      <c r="G103" s="26">
        <v>1</v>
      </c>
      <c r="H103" s="26">
        <v>0</v>
      </c>
      <c r="I103" s="26">
        <v>0</v>
      </c>
      <c r="J103" s="26">
        <v>0</v>
      </c>
      <c r="K103" s="26">
        <v>1</v>
      </c>
      <c r="L103" s="26">
        <v>0</v>
      </c>
      <c r="M103" s="26">
        <v>932</v>
      </c>
      <c r="N103" s="26">
        <v>0</v>
      </c>
      <c r="O103" s="26">
        <v>6</v>
      </c>
      <c r="P103" s="27">
        <v>938</v>
      </c>
      <c r="Q103" s="3">
        <v>0</v>
      </c>
      <c r="R103" s="3">
        <v>1205</v>
      </c>
      <c r="S103" s="4">
        <v>102</v>
      </c>
      <c r="T103" s="4" t="s">
        <v>236</v>
      </c>
      <c r="U103" s="4" t="s">
        <v>237</v>
      </c>
    </row>
    <row r="104" spans="1:21">
      <c r="A104" s="26">
        <v>103</v>
      </c>
      <c r="B104" s="26">
        <v>103</v>
      </c>
      <c r="C104" s="26">
        <v>8</v>
      </c>
      <c r="D104" s="26">
        <v>481</v>
      </c>
      <c r="E104" s="26">
        <v>353</v>
      </c>
      <c r="F104" s="26">
        <v>4</v>
      </c>
      <c r="G104" s="26">
        <v>1</v>
      </c>
      <c r="H104" s="26">
        <v>0</v>
      </c>
      <c r="I104" s="26">
        <v>0</v>
      </c>
      <c r="J104" s="26">
        <v>1</v>
      </c>
      <c r="K104" s="26">
        <v>2</v>
      </c>
      <c r="L104" s="26">
        <v>4</v>
      </c>
      <c r="M104" s="26">
        <v>854</v>
      </c>
      <c r="N104" s="26">
        <v>0</v>
      </c>
      <c r="O104" s="26">
        <v>13</v>
      </c>
      <c r="P104" s="27">
        <v>867</v>
      </c>
      <c r="Q104" s="3">
        <v>0</v>
      </c>
      <c r="R104" s="3">
        <v>1205</v>
      </c>
      <c r="S104" s="4">
        <v>103</v>
      </c>
      <c r="T104" s="4" t="s">
        <v>238</v>
      </c>
      <c r="U104" s="4" t="s">
        <v>239</v>
      </c>
    </row>
    <row r="105" spans="1:21">
      <c r="A105" s="26">
        <v>104</v>
      </c>
      <c r="B105" s="26">
        <v>104</v>
      </c>
      <c r="C105" s="26">
        <v>4</v>
      </c>
      <c r="D105" s="26">
        <v>413</v>
      </c>
      <c r="E105" s="26">
        <v>326</v>
      </c>
      <c r="F105" s="26">
        <v>1</v>
      </c>
      <c r="G105" s="26">
        <v>0</v>
      </c>
      <c r="H105" s="26">
        <v>0</v>
      </c>
      <c r="I105" s="26">
        <v>0</v>
      </c>
      <c r="J105" s="26">
        <v>1</v>
      </c>
      <c r="K105" s="26">
        <v>2</v>
      </c>
      <c r="L105" s="26">
        <v>0</v>
      </c>
      <c r="M105" s="26">
        <v>747</v>
      </c>
      <c r="N105" s="26">
        <v>0</v>
      </c>
      <c r="O105" s="26">
        <v>12</v>
      </c>
      <c r="P105" s="27">
        <v>759</v>
      </c>
      <c r="Q105" s="3">
        <v>0</v>
      </c>
      <c r="R105" s="3">
        <v>1398</v>
      </c>
      <c r="S105" s="4">
        <v>104</v>
      </c>
      <c r="T105" s="4" t="s">
        <v>240</v>
      </c>
      <c r="U105" s="4" t="s">
        <v>241</v>
      </c>
    </row>
    <row r="106" spans="1:21">
      <c r="A106" s="26">
        <v>105</v>
      </c>
      <c r="B106" s="26">
        <v>105</v>
      </c>
      <c r="C106" s="26">
        <v>3</v>
      </c>
      <c r="D106" s="26">
        <v>372</v>
      </c>
      <c r="E106" s="26">
        <v>308</v>
      </c>
      <c r="F106" s="26">
        <v>4</v>
      </c>
      <c r="G106" s="26">
        <v>0</v>
      </c>
      <c r="H106" s="26">
        <v>0</v>
      </c>
      <c r="I106" s="26">
        <v>1</v>
      </c>
      <c r="J106" s="26">
        <v>1</v>
      </c>
      <c r="K106" s="26">
        <v>1</v>
      </c>
      <c r="L106" s="26">
        <v>0</v>
      </c>
      <c r="M106" s="26">
        <v>690</v>
      </c>
      <c r="N106" s="26">
        <v>0</v>
      </c>
      <c r="O106" s="26">
        <v>4</v>
      </c>
      <c r="P106" s="27">
        <v>694</v>
      </c>
      <c r="Q106" s="3">
        <v>0</v>
      </c>
      <c r="R106" s="3">
        <v>932</v>
      </c>
      <c r="S106" s="4">
        <v>105</v>
      </c>
      <c r="T106" s="4" t="s">
        <v>242</v>
      </c>
      <c r="U106" s="4" t="s">
        <v>243</v>
      </c>
    </row>
    <row r="107" spans="1:21">
      <c r="A107" s="26">
        <v>106</v>
      </c>
      <c r="B107" s="26">
        <v>106</v>
      </c>
      <c r="C107" s="26">
        <v>8</v>
      </c>
      <c r="D107" s="26">
        <v>652</v>
      </c>
      <c r="E107" s="26">
        <v>311</v>
      </c>
      <c r="F107" s="26">
        <v>7</v>
      </c>
      <c r="G107" s="26">
        <v>2</v>
      </c>
      <c r="H107" s="26">
        <v>2</v>
      </c>
      <c r="I107" s="26">
        <v>2</v>
      </c>
      <c r="J107" s="26">
        <v>1</v>
      </c>
      <c r="K107" s="26">
        <v>1</v>
      </c>
      <c r="L107" s="26">
        <v>1</v>
      </c>
      <c r="M107" s="26">
        <v>987</v>
      </c>
      <c r="N107" s="26">
        <v>0</v>
      </c>
      <c r="O107" s="26">
        <v>8</v>
      </c>
      <c r="P107" s="27">
        <v>995</v>
      </c>
      <c r="Q107" s="3">
        <v>0</v>
      </c>
      <c r="R107" s="3">
        <v>1399</v>
      </c>
      <c r="S107" s="4">
        <v>106</v>
      </c>
      <c r="T107" s="4" t="s">
        <v>244</v>
      </c>
      <c r="U107" s="4" t="s">
        <v>245</v>
      </c>
    </row>
    <row r="108" spans="1:21">
      <c r="A108" s="26">
        <v>107</v>
      </c>
      <c r="B108" s="26">
        <v>107</v>
      </c>
      <c r="C108" s="26">
        <v>3</v>
      </c>
      <c r="D108" s="26">
        <v>330</v>
      </c>
      <c r="E108" s="26">
        <v>208</v>
      </c>
      <c r="F108" s="26">
        <v>3</v>
      </c>
      <c r="G108" s="26">
        <v>0</v>
      </c>
      <c r="H108" s="26">
        <v>0</v>
      </c>
      <c r="I108" s="26">
        <v>2</v>
      </c>
      <c r="J108" s="26">
        <v>0</v>
      </c>
      <c r="K108" s="26">
        <v>4</v>
      </c>
      <c r="L108" s="26">
        <v>1</v>
      </c>
      <c r="M108" s="26">
        <v>551</v>
      </c>
      <c r="N108" s="26">
        <v>0</v>
      </c>
      <c r="O108" s="26">
        <v>2</v>
      </c>
      <c r="P108" s="27">
        <v>553</v>
      </c>
      <c r="Q108" s="3">
        <v>0</v>
      </c>
      <c r="R108" s="3">
        <v>809</v>
      </c>
      <c r="S108" s="4">
        <v>107</v>
      </c>
      <c r="T108" s="4" t="s">
        <v>246</v>
      </c>
      <c r="U108" s="4" t="s">
        <v>247</v>
      </c>
    </row>
    <row r="109" spans="1:21">
      <c r="A109" s="26">
        <v>108</v>
      </c>
      <c r="B109" s="26">
        <v>108</v>
      </c>
      <c r="C109" s="26">
        <v>2</v>
      </c>
      <c r="D109" s="26">
        <v>366</v>
      </c>
      <c r="E109" s="26">
        <v>297</v>
      </c>
      <c r="F109" s="26">
        <v>3</v>
      </c>
      <c r="G109" s="26">
        <v>0</v>
      </c>
      <c r="H109" s="26">
        <v>0</v>
      </c>
      <c r="I109" s="26">
        <v>0</v>
      </c>
      <c r="J109" s="26">
        <v>0</v>
      </c>
      <c r="K109" s="26">
        <v>1</v>
      </c>
      <c r="L109" s="26">
        <v>2</v>
      </c>
      <c r="M109" s="26">
        <v>671</v>
      </c>
      <c r="N109" s="26">
        <v>0</v>
      </c>
      <c r="O109" s="26">
        <v>3</v>
      </c>
      <c r="P109" s="27">
        <v>674</v>
      </c>
      <c r="Q109" s="3">
        <v>0</v>
      </c>
      <c r="R109" s="3">
        <v>929</v>
      </c>
      <c r="S109" s="4">
        <v>108</v>
      </c>
      <c r="T109" s="4" t="s">
        <v>248</v>
      </c>
      <c r="U109" s="4" t="s">
        <v>249</v>
      </c>
    </row>
    <row r="110" spans="1:21">
      <c r="A110" s="26">
        <v>109</v>
      </c>
      <c r="B110" s="26">
        <v>109</v>
      </c>
      <c r="C110" s="26">
        <v>2</v>
      </c>
      <c r="D110" s="26">
        <v>359</v>
      </c>
      <c r="E110" s="26">
        <v>402</v>
      </c>
      <c r="F110" s="26">
        <v>2</v>
      </c>
      <c r="G110" s="26">
        <v>0</v>
      </c>
      <c r="H110" s="26">
        <v>0</v>
      </c>
      <c r="I110" s="26">
        <v>0</v>
      </c>
      <c r="J110" s="26">
        <v>0</v>
      </c>
      <c r="K110" s="26">
        <v>2</v>
      </c>
      <c r="L110" s="26">
        <v>1</v>
      </c>
      <c r="M110" s="26">
        <v>768</v>
      </c>
      <c r="N110" s="26">
        <v>0</v>
      </c>
      <c r="O110" s="26">
        <v>11</v>
      </c>
      <c r="P110" s="27">
        <v>779</v>
      </c>
      <c r="Q110" s="3">
        <v>0</v>
      </c>
      <c r="R110" s="3">
        <v>1071</v>
      </c>
      <c r="S110" s="4">
        <v>109</v>
      </c>
      <c r="T110" s="4" t="s">
        <v>250</v>
      </c>
      <c r="U110" s="4" t="s">
        <v>251</v>
      </c>
    </row>
    <row r="111" spans="1:21">
      <c r="A111" s="26">
        <v>110</v>
      </c>
      <c r="B111" s="26">
        <v>110</v>
      </c>
      <c r="C111" s="26">
        <v>4</v>
      </c>
      <c r="D111" s="26">
        <v>536</v>
      </c>
      <c r="E111" s="26">
        <v>330</v>
      </c>
      <c r="F111" s="26">
        <v>3</v>
      </c>
      <c r="G111" s="26">
        <v>0</v>
      </c>
      <c r="H111" s="26">
        <v>0</v>
      </c>
      <c r="I111" s="26">
        <v>0</v>
      </c>
      <c r="J111" s="26">
        <v>1</v>
      </c>
      <c r="K111" s="26">
        <v>2</v>
      </c>
      <c r="L111" s="26">
        <v>9</v>
      </c>
      <c r="M111" s="26">
        <v>885</v>
      </c>
      <c r="N111" s="26">
        <v>0</v>
      </c>
      <c r="O111" s="26">
        <v>6</v>
      </c>
      <c r="P111" s="27">
        <v>891</v>
      </c>
      <c r="Q111" s="3">
        <v>0</v>
      </c>
      <c r="R111" s="3">
        <v>1192</v>
      </c>
      <c r="S111" s="4">
        <v>110</v>
      </c>
      <c r="T111" s="4" t="s">
        <v>252</v>
      </c>
      <c r="U111" s="4" t="s">
        <v>253</v>
      </c>
    </row>
    <row r="112" spans="1:21">
      <c r="A112" s="26">
        <v>111</v>
      </c>
      <c r="B112" s="26">
        <v>111</v>
      </c>
      <c r="C112" s="26">
        <v>2</v>
      </c>
      <c r="D112" s="26">
        <v>332</v>
      </c>
      <c r="E112" s="26">
        <v>385</v>
      </c>
      <c r="F112" s="26">
        <v>2</v>
      </c>
      <c r="G112" s="26">
        <v>1</v>
      </c>
      <c r="H112" s="26">
        <v>0</v>
      </c>
      <c r="I112" s="26">
        <v>0</v>
      </c>
      <c r="J112" s="26">
        <v>0</v>
      </c>
      <c r="K112" s="26">
        <v>1</v>
      </c>
      <c r="L112" s="26">
        <v>3</v>
      </c>
      <c r="M112" s="26">
        <v>726</v>
      </c>
      <c r="N112" s="26">
        <v>0</v>
      </c>
      <c r="O112" s="26">
        <v>5</v>
      </c>
      <c r="P112" s="27">
        <v>731</v>
      </c>
      <c r="Q112" s="3">
        <v>0</v>
      </c>
      <c r="R112" s="3">
        <v>1052</v>
      </c>
      <c r="S112" s="4">
        <v>111</v>
      </c>
      <c r="T112" s="4" t="s">
        <v>254</v>
      </c>
      <c r="U112" s="4" t="s">
        <v>255</v>
      </c>
    </row>
    <row r="113" spans="1:21">
      <c r="A113" s="29">
        <v>112</v>
      </c>
      <c r="B113" s="29">
        <v>112</v>
      </c>
      <c r="C113" s="26">
        <v>2</v>
      </c>
      <c r="D113" s="26">
        <v>279</v>
      </c>
      <c r="E113" s="26">
        <v>297</v>
      </c>
      <c r="F113" s="26">
        <v>0</v>
      </c>
      <c r="G113" s="26">
        <v>0</v>
      </c>
      <c r="H113" s="26">
        <v>0</v>
      </c>
      <c r="I113" s="26">
        <v>1</v>
      </c>
      <c r="J113" s="26">
        <v>1</v>
      </c>
      <c r="K113" s="26">
        <v>0</v>
      </c>
      <c r="L113" s="26">
        <v>1</v>
      </c>
      <c r="M113" s="26">
        <v>581</v>
      </c>
      <c r="N113" s="26">
        <v>0</v>
      </c>
      <c r="O113" s="26">
        <v>3</v>
      </c>
      <c r="P113" s="27">
        <v>584</v>
      </c>
      <c r="Q113" s="3">
        <v>0</v>
      </c>
      <c r="R113" s="3">
        <v>818</v>
      </c>
      <c r="S113" s="4">
        <v>112</v>
      </c>
      <c r="T113" s="4" t="s">
        <v>256</v>
      </c>
      <c r="U113" s="4" t="s">
        <v>257</v>
      </c>
    </row>
    <row r="114" spans="1:21">
      <c r="A114" s="26">
        <v>113</v>
      </c>
      <c r="B114" s="26">
        <v>113</v>
      </c>
      <c r="C114" s="26">
        <v>3</v>
      </c>
      <c r="D114" s="26">
        <v>260</v>
      </c>
      <c r="E114" s="26">
        <v>260</v>
      </c>
      <c r="F114" s="26">
        <v>1</v>
      </c>
      <c r="G114" s="26">
        <v>0</v>
      </c>
      <c r="H114" s="26">
        <v>0</v>
      </c>
      <c r="I114" s="26">
        <v>0</v>
      </c>
      <c r="J114" s="26">
        <v>1</v>
      </c>
      <c r="K114" s="26">
        <v>1</v>
      </c>
      <c r="L114" s="26">
        <v>2</v>
      </c>
      <c r="M114" s="26">
        <v>528</v>
      </c>
      <c r="N114" s="26">
        <v>0</v>
      </c>
      <c r="O114" s="26">
        <v>1</v>
      </c>
      <c r="P114" s="27">
        <v>529</v>
      </c>
      <c r="Q114" s="3">
        <v>0</v>
      </c>
      <c r="R114" s="3">
        <v>738</v>
      </c>
      <c r="S114" s="4">
        <v>113</v>
      </c>
      <c r="T114" s="4" t="s">
        <v>258</v>
      </c>
      <c r="U114" s="4" t="s">
        <v>259</v>
      </c>
    </row>
    <row r="115" spans="1:21">
      <c r="A115" s="26">
        <v>114</v>
      </c>
      <c r="B115" s="26">
        <v>114</v>
      </c>
      <c r="C115" s="26">
        <v>0</v>
      </c>
      <c r="D115" s="26">
        <v>398</v>
      </c>
      <c r="E115" s="26">
        <v>220</v>
      </c>
      <c r="F115" s="26">
        <v>3</v>
      </c>
      <c r="G115" s="26">
        <v>0</v>
      </c>
      <c r="H115" s="26">
        <v>0</v>
      </c>
      <c r="I115" s="26">
        <v>0</v>
      </c>
      <c r="J115" s="26">
        <v>2</v>
      </c>
      <c r="K115" s="26">
        <v>2</v>
      </c>
      <c r="L115" s="26">
        <v>2</v>
      </c>
      <c r="M115" s="26">
        <v>627</v>
      </c>
      <c r="N115" s="26">
        <v>0</v>
      </c>
      <c r="O115" s="26">
        <v>3</v>
      </c>
      <c r="P115" s="27">
        <v>630</v>
      </c>
      <c r="Q115" s="3">
        <v>0</v>
      </c>
      <c r="R115" s="3">
        <v>810</v>
      </c>
      <c r="S115" s="4">
        <v>114</v>
      </c>
      <c r="T115" s="4" t="s">
        <v>260</v>
      </c>
      <c r="U115" s="4" t="s">
        <v>261</v>
      </c>
    </row>
    <row r="116" spans="1:21">
      <c r="A116" s="26">
        <v>115</v>
      </c>
      <c r="B116" s="26">
        <v>115</v>
      </c>
      <c r="C116" s="26">
        <v>1</v>
      </c>
      <c r="D116" s="26">
        <v>281</v>
      </c>
      <c r="E116" s="26">
        <v>270</v>
      </c>
      <c r="F116" s="26">
        <v>0</v>
      </c>
      <c r="G116" s="26">
        <v>0</v>
      </c>
      <c r="H116" s="26">
        <v>0</v>
      </c>
      <c r="I116" s="26">
        <v>0</v>
      </c>
      <c r="J116" s="26">
        <v>1</v>
      </c>
      <c r="K116" s="26">
        <v>0</v>
      </c>
      <c r="L116" s="26">
        <v>1</v>
      </c>
      <c r="M116" s="26">
        <v>554</v>
      </c>
      <c r="N116" s="26">
        <v>0</v>
      </c>
      <c r="O116" s="26">
        <v>2</v>
      </c>
      <c r="P116" s="27">
        <v>556</v>
      </c>
      <c r="Q116" s="3">
        <v>0</v>
      </c>
      <c r="R116" s="3">
        <v>837</v>
      </c>
      <c r="S116" s="4">
        <v>115</v>
      </c>
      <c r="T116" s="4" t="s">
        <v>262</v>
      </c>
      <c r="U116" s="4" t="s">
        <v>263</v>
      </c>
    </row>
    <row r="117" spans="1:21">
      <c r="A117" s="26">
        <v>116</v>
      </c>
      <c r="B117" s="26">
        <v>116</v>
      </c>
      <c r="C117" s="26">
        <v>2</v>
      </c>
      <c r="D117" s="26">
        <v>220</v>
      </c>
      <c r="E117" s="26">
        <v>307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6">
        <v>1</v>
      </c>
      <c r="M117" s="26">
        <v>530</v>
      </c>
      <c r="N117" s="26">
        <v>0</v>
      </c>
      <c r="O117" s="26">
        <v>4</v>
      </c>
      <c r="P117" s="27">
        <v>534</v>
      </c>
      <c r="Q117" s="3">
        <v>0</v>
      </c>
      <c r="R117" s="3">
        <v>774</v>
      </c>
      <c r="S117" s="4">
        <v>116</v>
      </c>
      <c r="T117" s="4" t="s">
        <v>264</v>
      </c>
      <c r="U117" s="4" t="s">
        <v>265</v>
      </c>
    </row>
    <row r="118" spans="1:21">
      <c r="A118" s="26">
        <v>117</v>
      </c>
      <c r="B118" s="26">
        <v>117</v>
      </c>
      <c r="C118" s="26">
        <v>5</v>
      </c>
      <c r="D118" s="26">
        <v>215</v>
      </c>
      <c r="E118" s="26">
        <v>298</v>
      </c>
      <c r="F118" s="26">
        <v>3</v>
      </c>
      <c r="G118" s="26">
        <v>0</v>
      </c>
      <c r="H118" s="26">
        <v>1</v>
      </c>
      <c r="I118" s="26">
        <v>0</v>
      </c>
      <c r="J118" s="26">
        <v>0</v>
      </c>
      <c r="K118" s="26">
        <v>2</v>
      </c>
      <c r="L118" s="26">
        <v>2</v>
      </c>
      <c r="M118" s="26">
        <v>526</v>
      </c>
      <c r="N118" s="26">
        <v>0</v>
      </c>
      <c r="O118" s="26">
        <v>6</v>
      </c>
      <c r="P118" s="27">
        <v>532</v>
      </c>
      <c r="Q118" s="3">
        <v>0</v>
      </c>
      <c r="R118" s="3">
        <v>770</v>
      </c>
      <c r="S118" s="4">
        <v>117</v>
      </c>
      <c r="T118" s="4" t="s">
        <v>266</v>
      </c>
      <c r="U118" s="4" t="s">
        <v>267</v>
      </c>
    </row>
    <row r="119" spans="1:21">
      <c r="A119" s="26">
        <v>118</v>
      </c>
      <c r="B119" s="26">
        <v>118</v>
      </c>
      <c r="C119" s="26">
        <v>2</v>
      </c>
      <c r="D119" s="26">
        <v>105</v>
      </c>
      <c r="E119" s="26">
        <v>563</v>
      </c>
      <c r="F119" s="26">
        <v>3</v>
      </c>
      <c r="G119" s="26">
        <v>2</v>
      </c>
      <c r="H119" s="26">
        <v>0</v>
      </c>
      <c r="I119" s="26">
        <v>0</v>
      </c>
      <c r="J119" s="26">
        <v>1</v>
      </c>
      <c r="K119" s="26">
        <v>2</v>
      </c>
      <c r="L119" s="26">
        <v>0</v>
      </c>
      <c r="M119" s="26">
        <v>678</v>
      </c>
      <c r="N119" s="26">
        <v>0</v>
      </c>
      <c r="O119" s="26">
        <v>4</v>
      </c>
      <c r="P119" s="27">
        <v>682</v>
      </c>
      <c r="Q119" s="3">
        <v>0</v>
      </c>
      <c r="R119" s="3">
        <v>900</v>
      </c>
      <c r="S119" s="4">
        <v>118</v>
      </c>
      <c r="T119" s="4" t="s">
        <v>268</v>
      </c>
      <c r="U119" s="4" t="s">
        <v>269</v>
      </c>
    </row>
    <row r="120" spans="1:21">
      <c r="A120" s="26">
        <v>119</v>
      </c>
      <c r="B120" s="26">
        <v>119</v>
      </c>
      <c r="C120" s="26">
        <v>6</v>
      </c>
      <c r="D120" s="26">
        <v>604</v>
      </c>
      <c r="E120" s="26">
        <v>345</v>
      </c>
      <c r="F120" s="26">
        <v>0</v>
      </c>
      <c r="G120" s="26">
        <v>0</v>
      </c>
      <c r="H120" s="26">
        <v>0</v>
      </c>
      <c r="I120" s="26">
        <v>0</v>
      </c>
      <c r="J120" s="26">
        <v>1</v>
      </c>
      <c r="K120" s="26">
        <v>0</v>
      </c>
      <c r="L120" s="26">
        <v>3</v>
      </c>
      <c r="M120" s="26">
        <v>959</v>
      </c>
      <c r="N120" s="26">
        <v>0</v>
      </c>
      <c r="O120" s="26">
        <v>9</v>
      </c>
      <c r="P120" s="27">
        <v>968</v>
      </c>
      <c r="Q120" s="3">
        <v>0</v>
      </c>
      <c r="R120" s="3">
        <v>969</v>
      </c>
      <c r="S120" s="4">
        <v>119</v>
      </c>
      <c r="T120" s="4" t="s">
        <v>270</v>
      </c>
      <c r="U120" s="4" t="s">
        <v>271</v>
      </c>
    </row>
    <row r="121" spans="1:21">
      <c r="A121" s="26">
        <v>120</v>
      </c>
      <c r="B121" s="26">
        <v>120</v>
      </c>
      <c r="C121" s="26">
        <v>1</v>
      </c>
      <c r="D121" s="26">
        <v>272</v>
      </c>
      <c r="E121" s="26">
        <v>194</v>
      </c>
      <c r="F121" s="26">
        <v>2</v>
      </c>
      <c r="G121" s="26">
        <v>0</v>
      </c>
      <c r="H121" s="26">
        <v>0</v>
      </c>
      <c r="I121" s="26">
        <v>0</v>
      </c>
      <c r="J121" s="26">
        <v>0</v>
      </c>
      <c r="K121" s="26">
        <v>0</v>
      </c>
      <c r="L121" s="26">
        <v>7</v>
      </c>
      <c r="M121" s="26">
        <v>476</v>
      </c>
      <c r="N121" s="26">
        <v>0</v>
      </c>
      <c r="O121" s="26">
        <v>6</v>
      </c>
      <c r="P121" s="27">
        <v>482</v>
      </c>
      <c r="Q121" s="3">
        <v>0</v>
      </c>
      <c r="R121" s="3">
        <v>615</v>
      </c>
      <c r="S121" s="4">
        <v>120</v>
      </c>
      <c r="T121" s="4" t="s">
        <v>272</v>
      </c>
      <c r="U121" s="4" t="s">
        <v>273</v>
      </c>
    </row>
    <row r="122" spans="1:21">
      <c r="A122" s="26">
        <v>121</v>
      </c>
      <c r="B122" s="26">
        <v>121</v>
      </c>
      <c r="C122" s="26">
        <v>4</v>
      </c>
      <c r="D122" s="26">
        <v>347</v>
      </c>
      <c r="E122" s="26">
        <v>451</v>
      </c>
      <c r="F122" s="26">
        <v>3</v>
      </c>
      <c r="G122" s="26">
        <v>1</v>
      </c>
      <c r="H122" s="26">
        <v>0</v>
      </c>
      <c r="I122" s="26">
        <v>1</v>
      </c>
      <c r="J122" s="26">
        <v>1</v>
      </c>
      <c r="K122" s="26">
        <v>2</v>
      </c>
      <c r="L122" s="26">
        <v>0</v>
      </c>
      <c r="M122" s="26">
        <v>810</v>
      </c>
      <c r="N122" s="26">
        <v>0</v>
      </c>
      <c r="O122" s="26">
        <v>3</v>
      </c>
      <c r="P122" s="27">
        <v>813</v>
      </c>
      <c r="Q122" s="3">
        <v>0</v>
      </c>
      <c r="R122" s="3">
        <v>1034</v>
      </c>
      <c r="S122" s="4">
        <v>121</v>
      </c>
      <c r="T122" s="4" t="s">
        <v>274</v>
      </c>
      <c r="U122" s="4" t="s">
        <v>275</v>
      </c>
    </row>
    <row r="123" spans="1:21">
      <c r="A123" s="26">
        <v>122</v>
      </c>
      <c r="B123" s="26">
        <v>122</v>
      </c>
      <c r="C123" s="26">
        <v>0</v>
      </c>
      <c r="D123" s="26">
        <v>219</v>
      </c>
      <c r="E123" s="26">
        <v>107</v>
      </c>
      <c r="F123" s="26">
        <v>1</v>
      </c>
      <c r="G123" s="26">
        <v>0</v>
      </c>
      <c r="H123" s="26">
        <v>0</v>
      </c>
      <c r="I123" s="26">
        <v>0</v>
      </c>
      <c r="J123" s="26">
        <v>0</v>
      </c>
      <c r="K123" s="26">
        <v>1</v>
      </c>
      <c r="L123" s="26">
        <v>1</v>
      </c>
      <c r="M123" s="26">
        <v>329</v>
      </c>
      <c r="N123" s="26">
        <v>0</v>
      </c>
      <c r="O123" s="26">
        <v>11</v>
      </c>
      <c r="P123" s="27">
        <v>340</v>
      </c>
      <c r="Q123" s="3">
        <v>0</v>
      </c>
      <c r="R123" s="3">
        <v>379</v>
      </c>
      <c r="S123" s="4">
        <v>122</v>
      </c>
      <c r="T123" s="4" t="s">
        <v>276</v>
      </c>
      <c r="U123" s="4" t="s">
        <v>277</v>
      </c>
    </row>
    <row r="124" spans="1:21">
      <c r="A124" s="26">
        <v>123</v>
      </c>
      <c r="B124" s="26">
        <v>123</v>
      </c>
      <c r="C124" s="26">
        <v>3</v>
      </c>
      <c r="D124" s="26">
        <v>759</v>
      </c>
      <c r="E124" s="26">
        <v>291</v>
      </c>
      <c r="F124" s="26">
        <v>2</v>
      </c>
      <c r="G124" s="26">
        <v>0</v>
      </c>
      <c r="H124" s="26">
        <v>0</v>
      </c>
      <c r="I124" s="26">
        <v>1</v>
      </c>
      <c r="J124" s="26">
        <v>2</v>
      </c>
      <c r="K124" s="26">
        <v>3</v>
      </c>
      <c r="L124" s="26">
        <v>1</v>
      </c>
      <c r="M124" s="26">
        <v>1062</v>
      </c>
      <c r="N124" s="26">
        <v>0</v>
      </c>
      <c r="O124" s="26">
        <v>12</v>
      </c>
      <c r="P124" s="27">
        <v>1074</v>
      </c>
      <c r="Q124" s="3">
        <v>0</v>
      </c>
      <c r="R124" s="3">
        <v>1473</v>
      </c>
      <c r="S124" s="4">
        <v>123</v>
      </c>
      <c r="T124" s="4" t="s">
        <v>278</v>
      </c>
      <c r="U124" s="4" t="s">
        <v>279</v>
      </c>
    </row>
    <row r="125" spans="1:21">
      <c r="A125" s="26">
        <v>124</v>
      </c>
      <c r="B125" s="26">
        <v>124</v>
      </c>
      <c r="C125" s="26">
        <v>1</v>
      </c>
      <c r="D125" s="26">
        <v>215</v>
      </c>
      <c r="E125" s="26">
        <v>223</v>
      </c>
      <c r="F125" s="26">
        <v>0</v>
      </c>
      <c r="G125" s="26">
        <v>1</v>
      </c>
      <c r="H125" s="26">
        <v>0</v>
      </c>
      <c r="I125" s="26">
        <v>0</v>
      </c>
      <c r="J125" s="26">
        <v>3</v>
      </c>
      <c r="K125" s="26">
        <v>2</v>
      </c>
      <c r="L125" s="26">
        <v>2</v>
      </c>
      <c r="M125" s="26">
        <v>447</v>
      </c>
      <c r="N125" s="26">
        <v>0</v>
      </c>
      <c r="O125" s="26">
        <v>4</v>
      </c>
      <c r="P125" s="27">
        <v>451</v>
      </c>
      <c r="Q125" s="3">
        <v>0</v>
      </c>
      <c r="R125" s="3">
        <v>572</v>
      </c>
      <c r="S125" s="4">
        <v>124</v>
      </c>
      <c r="T125" s="4" t="s">
        <v>280</v>
      </c>
      <c r="U125" s="4" t="s">
        <v>281</v>
      </c>
    </row>
    <row r="126" spans="1:21">
      <c r="A126" s="26">
        <v>125</v>
      </c>
      <c r="B126" s="26">
        <v>125</v>
      </c>
      <c r="C126" s="26">
        <v>6</v>
      </c>
      <c r="D126" s="26">
        <v>257</v>
      </c>
      <c r="E126" s="26">
        <v>197</v>
      </c>
      <c r="F126" s="26">
        <v>0</v>
      </c>
      <c r="G126" s="26">
        <v>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460</v>
      </c>
      <c r="N126" s="26">
        <v>0</v>
      </c>
      <c r="O126" s="26">
        <v>7</v>
      </c>
      <c r="P126" s="27">
        <v>467</v>
      </c>
      <c r="Q126" s="3">
        <v>0</v>
      </c>
      <c r="R126" s="3">
        <v>634</v>
      </c>
      <c r="S126" s="4">
        <v>125</v>
      </c>
      <c r="T126" s="4" t="s">
        <v>282</v>
      </c>
      <c r="U126" s="4" t="s">
        <v>283</v>
      </c>
    </row>
    <row r="127" spans="1:21">
      <c r="A127" s="26">
        <v>126</v>
      </c>
      <c r="B127" s="26">
        <v>126</v>
      </c>
      <c r="C127" s="26">
        <v>2</v>
      </c>
      <c r="D127" s="26">
        <v>156</v>
      </c>
      <c r="E127" s="26">
        <v>224</v>
      </c>
      <c r="F127" s="26">
        <v>1</v>
      </c>
      <c r="G127" s="26">
        <v>0</v>
      </c>
      <c r="H127" s="26">
        <v>0</v>
      </c>
      <c r="I127" s="26">
        <v>0</v>
      </c>
      <c r="J127" s="26">
        <v>2</v>
      </c>
      <c r="K127" s="26">
        <v>0</v>
      </c>
      <c r="L127" s="26">
        <v>0</v>
      </c>
      <c r="M127" s="26">
        <v>385</v>
      </c>
      <c r="N127" s="26">
        <v>0</v>
      </c>
      <c r="O127" s="26">
        <v>4</v>
      </c>
      <c r="P127" s="27">
        <v>389</v>
      </c>
      <c r="Q127" s="3">
        <v>0</v>
      </c>
      <c r="R127" s="3">
        <v>547</v>
      </c>
      <c r="S127" s="4">
        <v>126</v>
      </c>
      <c r="T127" s="4" t="s">
        <v>284</v>
      </c>
      <c r="U127" s="4" t="s">
        <v>285</v>
      </c>
    </row>
    <row r="128" spans="1:21">
      <c r="A128" s="26">
        <v>127</v>
      </c>
      <c r="B128" s="26">
        <v>127</v>
      </c>
      <c r="C128" s="26">
        <v>1</v>
      </c>
      <c r="D128" s="26">
        <v>403</v>
      </c>
      <c r="E128" s="26">
        <v>214</v>
      </c>
      <c r="F128" s="26">
        <v>1</v>
      </c>
      <c r="G128" s="26">
        <v>0</v>
      </c>
      <c r="H128" s="26">
        <v>0</v>
      </c>
      <c r="I128" s="26">
        <v>1</v>
      </c>
      <c r="J128" s="26">
        <v>2</v>
      </c>
      <c r="K128" s="26">
        <v>1</v>
      </c>
      <c r="L128" s="26">
        <v>2</v>
      </c>
      <c r="M128" s="26">
        <v>625</v>
      </c>
      <c r="N128" s="26">
        <v>0</v>
      </c>
      <c r="O128" s="26">
        <v>4</v>
      </c>
      <c r="P128" s="27">
        <v>629</v>
      </c>
      <c r="Q128" s="3">
        <v>0</v>
      </c>
      <c r="R128" s="3">
        <v>843</v>
      </c>
      <c r="S128" s="4">
        <v>127</v>
      </c>
      <c r="T128" s="4" t="s">
        <v>286</v>
      </c>
      <c r="U128" s="4" t="s">
        <v>287</v>
      </c>
    </row>
    <row r="129" spans="1:21">
      <c r="A129" s="26">
        <v>128</v>
      </c>
      <c r="B129" s="26">
        <v>128</v>
      </c>
      <c r="C129" s="26">
        <v>1</v>
      </c>
      <c r="D129" s="26">
        <v>359</v>
      </c>
      <c r="E129" s="26">
        <v>356</v>
      </c>
      <c r="F129" s="26">
        <v>0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26">
        <v>716</v>
      </c>
      <c r="N129" s="26">
        <v>0</v>
      </c>
      <c r="O129" s="26">
        <v>5</v>
      </c>
      <c r="P129" s="27">
        <v>721</v>
      </c>
      <c r="Q129" s="3">
        <v>0</v>
      </c>
      <c r="R129" s="3">
        <v>902</v>
      </c>
      <c r="S129" s="4">
        <v>128</v>
      </c>
      <c r="T129" s="4" t="s">
        <v>288</v>
      </c>
      <c r="U129" s="4" t="s">
        <v>289</v>
      </c>
    </row>
    <row r="130" spans="1:21">
      <c r="A130" s="26">
        <v>129</v>
      </c>
      <c r="B130" s="26">
        <v>129</v>
      </c>
      <c r="C130" s="26">
        <v>0</v>
      </c>
      <c r="D130" s="26">
        <v>248</v>
      </c>
      <c r="E130" s="26">
        <v>213</v>
      </c>
      <c r="F130" s="26">
        <v>0</v>
      </c>
      <c r="G130" s="26">
        <v>0</v>
      </c>
      <c r="H130" s="26">
        <v>1</v>
      </c>
      <c r="I130" s="26">
        <v>0</v>
      </c>
      <c r="J130" s="26">
        <v>0</v>
      </c>
      <c r="K130" s="26">
        <v>1</v>
      </c>
      <c r="L130" s="26">
        <v>0</v>
      </c>
      <c r="M130" s="26">
        <v>463</v>
      </c>
      <c r="N130" s="26">
        <v>0</v>
      </c>
      <c r="O130" s="26">
        <v>4</v>
      </c>
      <c r="P130" s="27">
        <v>467</v>
      </c>
      <c r="Q130" s="3">
        <v>0</v>
      </c>
      <c r="R130" s="3">
        <v>648</v>
      </c>
      <c r="S130" s="4">
        <v>129</v>
      </c>
      <c r="T130" s="4" t="s">
        <v>290</v>
      </c>
      <c r="U130" s="4" t="s">
        <v>291</v>
      </c>
    </row>
    <row r="131" spans="1:21">
      <c r="A131" s="26">
        <v>130</v>
      </c>
      <c r="B131" s="26">
        <v>130</v>
      </c>
      <c r="C131" s="26">
        <v>1</v>
      </c>
      <c r="D131" s="26">
        <v>266</v>
      </c>
      <c r="E131" s="26">
        <v>210</v>
      </c>
      <c r="F131" s="26">
        <v>3</v>
      </c>
      <c r="G131" s="26">
        <v>2</v>
      </c>
      <c r="H131" s="26">
        <v>0</v>
      </c>
      <c r="I131" s="26">
        <v>0</v>
      </c>
      <c r="J131" s="26">
        <v>2</v>
      </c>
      <c r="K131" s="26">
        <v>0</v>
      </c>
      <c r="L131" s="26">
        <v>1</v>
      </c>
      <c r="M131" s="26">
        <v>485</v>
      </c>
      <c r="N131" s="26">
        <v>0</v>
      </c>
      <c r="O131" s="26">
        <v>7</v>
      </c>
      <c r="P131" s="27">
        <v>492</v>
      </c>
      <c r="Q131" s="3">
        <v>0</v>
      </c>
      <c r="R131" s="3">
        <v>694</v>
      </c>
      <c r="S131" s="4">
        <v>130</v>
      </c>
      <c r="T131" s="4" t="s">
        <v>292</v>
      </c>
      <c r="U131" s="4" t="s">
        <v>293</v>
      </c>
    </row>
    <row r="132" spans="1:21">
      <c r="A132" s="26">
        <v>131</v>
      </c>
      <c r="B132" s="26">
        <v>131</v>
      </c>
      <c r="C132" s="26">
        <v>1</v>
      </c>
      <c r="D132" s="26">
        <v>167</v>
      </c>
      <c r="E132" s="26">
        <v>123</v>
      </c>
      <c r="F132" s="26">
        <v>0</v>
      </c>
      <c r="G132" s="26">
        <v>0</v>
      </c>
      <c r="H132" s="26">
        <v>0</v>
      </c>
      <c r="I132" s="26">
        <v>1</v>
      </c>
      <c r="J132" s="26">
        <v>0</v>
      </c>
      <c r="K132" s="26">
        <v>0</v>
      </c>
      <c r="L132" s="26">
        <v>1</v>
      </c>
      <c r="M132" s="26">
        <v>293</v>
      </c>
      <c r="N132" s="26">
        <v>0</v>
      </c>
      <c r="O132" s="26">
        <v>5</v>
      </c>
      <c r="P132" s="27">
        <v>298</v>
      </c>
      <c r="Q132" s="3">
        <v>0</v>
      </c>
      <c r="R132" s="3">
        <v>362</v>
      </c>
      <c r="S132" s="4">
        <v>131</v>
      </c>
      <c r="T132" s="4" t="s">
        <v>294</v>
      </c>
      <c r="U132" s="4" t="s">
        <v>295</v>
      </c>
    </row>
    <row r="133" spans="1:21">
      <c r="A133" s="26">
        <v>132</v>
      </c>
      <c r="B133" s="26">
        <v>132</v>
      </c>
      <c r="C133" s="26">
        <v>8</v>
      </c>
      <c r="D133" s="26">
        <v>198</v>
      </c>
      <c r="E133" s="26">
        <v>325</v>
      </c>
      <c r="F133" s="26">
        <v>1</v>
      </c>
      <c r="G133" s="26">
        <v>0</v>
      </c>
      <c r="H133" s="26">
        <v>0</v>
      </c>
      <c r="I133" s="26">
        <v>0</v>
      </c>
      <c r="J133" s="26">
        <v>0</v>
      </c>
      <c r="K133" s="26">
        <v>1</v>
      </c>
      <c r="L133" s="26">
        <v>0</v>
      </c>
      <c r="M133" s="26">
        <v>533</v>
      </c>
      <c r="N133" s="26">
        <v>0</v>
      </c>
      <c r="O133" s="26">
        <v>6</v>
      </c>
      <c r="P133" s="27">
        <v>539</v>
      </c>
      <c r="Q133" s="3">
        <v>0</v>
      </c>
      <c r="R133" s="3">
        <v>672</v>
      </c>
      <c r="S133" s="4">
        <v>132</v>
      </c>
      <c r="T133" s="4" t="s">
        <v>296</v>
      </c>
      <c r="U133" s="4" t="s">
        <v>297</v>
      </c>
    </row>
    <row r="134" spans="1:21">
      <c r="A134" s="26">
        <v>133</v>
      </c>
      <c r="B134" s="26">
        <v>133</v>
      </c>
      <c r="C134" s="26">
        <v>3</v>
      </c>
      <c r="D134" s="26">
        <v>161</v>
      </c>
      <c r="E134" s="26">
        <v>348</v>
      </c>
      <c r="F134" s="26">
        <v>0</v>
      </c>
      <c r="G134" s="26">
        <v>0</v>
      </c>
      <c r="H134" s="26">
        <v>0</v>
      </c>
      <c r="I134" s="26">
        <v>0</v>
      </c>
      <c r="J134" s="26">
        <v>0</v>
      </c>
      <c r="K134" s="26">
        <v>0</v>
      </c>
      <c r="L134" s="26">
        <v>2</v>
      </c>
      <c r="M134" s="26">
        <v>514</v>
      </c>
      <c r="N134" s="26">
        <v>0</v>
      </c>
      <c r="O134" s="26">
        <v>8</v>
      </c>
      <c r="P134" s="27">
        <v>522</v>
      </c>
      <c r="Q134" s="3">
        <v>0</v>
      </c>
      <c r="R134" s="3">
        <v>678</v>
      </c>
      <c r="S134" s="4">
        <v>133</v>
      </c>
      <c r="T134" s="4" t="s">
        <v>298</v>
      </c>
      <c r="U134" s="4" t="s">
        <v>299</v>
      </c>
    </row>
    <row r="135" spans="1:21">
      <c r="A135" s="26">
        <v>134</v>
      </c>
      <c r="B135" s="26">
        <v>134</v>
      </c>
      <c r="C135" s="26">
        <v>0</v>
      </c>
      <c r="D135" s="26">
        <v>239</v>
      </c>
      <c r="E135" s="26">
        <v>242</v>
      </c>
      <c r="F135" s="26">
        <v>4</v>
      </c>
      <c r="G135" s="26">
        <v>1</v>
      </c>
      <c r="H135" s="26">
        <v>0</v>
      </c>
      <c r="I135" s="26">
        <v>0</v>
      </c>
      <c r="J135" s="26">
        <v>1</v>
      </c>
      <c r="K135" s="26">
        <v>0</v>
      </c>
      <c r="L135" s="26">
        <v>0</v>
      </c>
      <c r="M135" s="26">
        <v>487</v>
      </c>
      <c r="N135" s="26">
        <v>0</v>
      </c>
      <c r="O135" s="26">
        <v>5</v>
      </c>
      <c r="P135" s="27">
        <v>492</v>
      </c>
      <c r="Q135" s="3">
        <v>0</v>
      </c>
      <c r="R135" s="3">
        <v>613</v>
      </c>
      <c r="S135" s="4">
        <v>134</v>
      </c>
      <c r="T135" s="4" t="s">
        <v>300</v>
      </c>
      <c r="U135" s="4" t="s">
        <v>301</v>
      </c>
    </row>
    <row r="136" spans="1:21">
      <c r="A136" s="26">
        <v>135</v>
      </c>
      <c r="B136" s="26">
        <v>135</v>
      </c>
      <c r="C136" s="26">
        <v>1</v>
      </c>
      <c r="D136" s="26">
        <v>197</v>
      </c>
      <c r="E136" s="26">
        <v>209</v>
      </c>
      <c r="F136" s="26">
        <v>1</v>
      </c>
      <c r="G136" s="26">
        <v>0</v>
      </c>
      <c r="H136" s="26">
        <v>0</v>
      </c>
      <c r="I136" s="26">
        <v>0</v>
      </c>
      <c r="J136" s="26">
        <v>0</v>
      </c>
      <c r="K136" s="26">
        <v>1</v>
      </c>
      <c r="L136" s="26">
        <v>0</v>
      </c>
      <c r="M136" s="26">
        <v>409</v>
      </c>
      <c r="N136" s="26">
        <v>0</v>
      </c>
      <c r="O136" s="26">
        <v>2</v>
      </c>
      <c r="P136" s="27">
        <v>411</v>
      </c>
      <c r="Q136" s="3">
        <v>0</v>
      </c>
      <c r="R136" s="3">
        <v>539</v>
      </c>
      <c r="S136" s="4">
        <v>135</v>
      </c>
      <c r="T136" s="4" t="s">
        <v>302</v>
      </c>
      <c r="U136" s="4" t="s">
        <v>303</v>
      </c>
    </row>
    <row r="137" spans="1:21">
      <c r="A137" s="26">
        <v>136</v>
      </c>
      <c r="B137" s="26">
        <v>136</v>
      </c>
      <c r="C137" s="26">
        <v>1</v>
      </c>
      <c r="D137" s="26">
        <v>195</v>
      </c>
      <c r="E137" s="26">
        <v>562</v>
      </c>
      <c r="F137" s="26">
        <v>1</v>
      </c>
      <c r="G137" s="26">
        <v>1</v>
      </c>
      <c r="H137" s="26">
        <v>0</v>
      </c>
      <c r="I137" s="26">
        <v>0</v>
      </c>
      <c r="J137" s="26">
        <v>0</v>
      </c>
      <c r="K137" s="26">
        <v>1</v>
      </c>
      <c r="L137" s="26">
        <v>2</v>
      </c>
      <c r="M137" s="26">
        <v>763</v>
      </c>
      <c r="N137" s="26">
        <v>0</v>
      </c>
      <c r="O137" s="26">
        <v>2</v>
      </c>
      <c r="P137" s="27">
        <v>765</v>
      </c>
      <c r="Q137" s="3">
        <v>0</v>
      </c>
      <c r="R137" s="3">
        <v>1051</v>
      </c>
      <c r="S137" s="4">
        <v>136</v>
      </c>
      <c r="T137" s="4" t="s">
        <v>304</v>
      </c>
      <c r="U137" s="4" t="s">
        <v>305</v>
      </c>
    </row>
    <row r="138" spans="1:21">
      <c r="A138" s="26">
        <v>137</v>
      </c>
      <c r="B138" s="26">
        <v>137</v>
      </c>
      <c r="C138" s="26">
        <v>0</v>
      </c>
      <c r="D138" s="26">
        <v>382</v>
      </c>
      <c r="E138" s="26">
        <v>316</v>
      </c>
      <c r="F138" s="26">
        <v>1</v>
      </c>
      <c r="G138" s="26">
        <v>0</v>
      </c>
      <c r="H138" s="26">
        <v>1</v>
      </c>
      <c r="I138" s="26">
        <v>0</v>
      </c>
      <c r="J138" s="26">
        <v>0</v>
      </c>
      <c r="K138" s="26">
        <v>0</v>
      </c>
      <c r="L138" s="26">
        <v>1</v>
      </c>
      <c r="M138" s="26">
        <v>701</v>
      </c>
      <c r="N138" s="26">
        <v>0</v>
      </c>
      <c r="O138" s="26">
        <v>5</v>
      </c>
      <c r="P138" s="27">
        <v>706</v>
      </c>
      <c r="Q138" s="3">
        <v>0</v>
      </c>
      <c r="R138" s="3">
        <v>1057</v>
      </c>
      <c r="S138" s="4">
        <v>137</v>
      </c>
      <c r="T138" s="4" t="s">
        <v>306</v>
      </c>
      <c r="U138" s="4" t="s">
        <v>307</v>
      </c>
    </row>
    <row r="139" spans="1:21">
      <c r="A139" s="26">
        <v>138</v>
      </c>
      <c r="B139" s="26">
        <v>138</v>
      </c>
      <c r="C139" s="26">
        <v>0</v>
      </c>
      <c r="D139" s="26">
        <v>307</v>
      </c>
      <c r="E139" s="26">
        <v>198</v>
      </c>
      <c r="F139" s="26">
        <v>1</v>
      </c>
      <c r="G139" s="26">
        <v>1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507</v>
      </c>
      <c r="N139" s="26">
        <v>0</v>
      </c>
      <c r="O139" s="26">
        <v>5</v>
      </c>
      <c r="P139" s="27">
        <v>512</v>
      </c>
      <c r="Q139" s="3">
        <v>0</v>
      </c>
      <c r="R139" s="3">
        <v>678</v>
      </c>
      <c r="S139" s="4">
        <v>138</v>
      </c>
      <c r="T139" s="4" t="s">
        <v>308</v>
      </c>
      <c r="U139" s="4" t="s">
        <v>309</v>
      </c>
    </row>
    <row r="140" spans="1:21">
      <c r="A140" s="26">
        <v>139</v>
      </c>
      <c r="B140" s="26">
        <v>139</v>
      </c>
      <c r="C140" s="26">
        <v>0</v>
      </c>
      <c r="D140" s="26">
        <v>287</v>
      </c>
      <c r="E140" s="26">
        <v>209</v>
      </c>
      <c r="F140" s="26">
        <v>2</v>
      </c>
      <c r="G140" s="26">
        <v>0</v>
      </c>
      <c r="H140" s="26">
        <v>1</v>
      </c>
      <c r="I140" s="26">
        <v>1</v>
      </c>
      <c r="J140" s="26">
        <v>1</v>
      </c>
      <c r="K140" s="26">
        <v>0</v>
      </c>
      <c r="L140" s="26">
        <v>0</v>
      </c>
      <c r="M140" s="26">
        <v>501</v>
      </c>
      <c r="N140" s="26">
        <v>0</v>
      </c>
      <c r="O140" s="26">
        <v>6</v>
      </c>
      <c r="P140" s="27">
        <v>507</v>
      </c>
      <c r="Q140" s="3">
        <v>0</v>
      </c>
      <c r="R140" s="3">
        <v>736</v>
      </c>
      <c r="S140" s="4">
        <v>139</v>
      </c>
      <c r="T140" s="4" t="s">
        <v>310</v>
      </c>
      <c r="U140" s="4" t="s">
        <v>311</v>
      </c>
    </row>
    <row r="141" spans="1:21">
      <c r="A141" s="29">
        <v>140</v>
      </c>
      <c r="B141" s="29">
        <v>140</v>
      </c>
      <c r="C141" s="26">
        <v>2</v>
      </c>
      <c r="D141" s="26">
        <v>306</v>
      </c>
      <c r="E141" s="26">
        <v>280</v>
      </c>
      <c r="F141" s="26">
        <v>1</v>
      </c>
      <c r="G141" s="26">
        <v>0</v>
      </c>
      <c r="H141" s="26">
        <v>0</v>
      </c>
      <c r="I141" s="26">
        <v>4</v>
      </c>
      <c r="J141" s="26">
        <v>1</v>
      </c>
      <c r="K141" s="26">
        <v>0</v>
      </c>
      <c r="L141" s="26">
        <v>2</v>
      </c>
      <c r="M141" s="26">
        <v>596</v>
      </c>
      <c r="N141" s="26">
        <v>0</v>
      </c>
      <c r="O141" s="26">
        <v>6</v>
      </c>
      <c r="P141" s="27">
        <v>602</v>
      </c>
      <c r="Q141" s="3">
        <v>0</v>
      </c>
      <c r="R141" s="3">
        <v>864</v>
      </c>
      <c r="S141" s="4">
        <v>140</v>
      </c>
      <c r="T141" s="4" t="s">
        <v>312</v>
      </c>
      <c r="U141" s="4" t="s">
        <v>313</v>
      </c>
    </row>
    <row r="142" spans="1:21">
      <c r="A142" s="26">
        <v>141</v>
      </c>
      <c r="B142" s="26">
        <v>141</v>
      </c>
      <c r="C142" s="26">
        <v>2</v>
      </c>
      <c r="D142" s="26">
        <v>460</v>
      </c>
      <c r="E142" s="26">
        <v>268</v>
      </c>
      <c r="F142" s="26">
        <v>3</v>
      </c>
      <c r="G142" s="26">
        <v>0</v>
      </c>
      <c r="H142" s="26">
        <v>0</v>
      </c>
      <c r="I142" s="26">
        <v>0</v>
      </c>
      <c r="J142" s="26">
        <v>2</v>
      </c>
      <c r="K142" s="26">
        <v>1</v>
      </c>
      <c r="L142" s="26">
        <v>2</v>
      </c>
      <c r="M142" s="26">
        <v>738</v>
      </c>
      <c r="N142" s="26">
        <v>0</v>
      </c>
      <c r="O142" s="26">
        <v>12</v>
      </c>
      <c r="P142" s="27">
        <v>750</v>
      </c>
      <c r="Q142" s="3">
        <v>0</v>
      </c>
      <c r="R142" s="3">
        <v>950</v>
      </c>
      <c r="S142" s="4">
        <v>141</v>
      </c>
      <c r="T142" s="4" t="s">
        <v>314</v>
      </c>
      <c r="U142" s="4" t="s">
        <v>315</v>
      </c>
    </row>
    <row r="143" spans="1:21">
      <c r="A143" s="26">
        <v>142</v>
      </c>
      <c r="B143" s="26">
        <v>142</v>
      </c>
      <c r="C143" s="26">
        <v>4</v>
      </c>
      <c r="D143" s="26">
        <v>302</v>
      </c>
      <c r="E143" s="26">
        <v>260</v>
      </c>
      <c r="F143" s="26">
        <v>1</v>
      </c>
      <c r="G143" s="26">
        <v>0</v>
      </c>
      <c r="H143" s="26">
        <v>0</v>
      </c>
      <c r="I143" s="26">
        <v>0</v>
      </c>
      <c r="J143" s="26">
        <v>1</v>
      </c>
      <c r="K143" s="26">
        <v>6</v>
      </c>
      <c r="L143" s="26">
        <v>1</v>
      </c>
      <c r="M143" s="26">
        <v>575</v>
      </c>
      <c r="N143" s="26">
        <v>0</v>
      </c>
      <c r="O143" s="26">
        <v>4</v>
      </c>
      <c r="P143" s="27">
        <v>579</v>
      </c>
      <c r="Q143" s="3">
        <v>0</v>
      </c>
      <c r="R143" s="3">
        <v>732</v>
      </c>
      <c r="S143" s="4">
        <v>142</v>
      </c>
      <c r="T143" s="4" t="s">
        <v>316</v>
      </c>
      <c r="U143" s="4" t="s">
        <v>317</v>
      </c>
    </row>
    <row r="144" spans="1:21">
      <c r="A144" s="26">
        <v>143</v>
      </c>
      <c r="B144" s="26">
        <v>143</v>
      </c>
      <c r="C144" s="26">
        <v>1</v>
      </c>
      <c r="D144" s="26">
        <v>292</v>
      </c>
      <c r="E144" s="26">
        <v>190</v>
      </c>
      <c r="F144" s="26">
        <v>2</v>
      </c>
      <c r="G144" s="26">
        <v>0</v>
      </c>
      <c r="H144" s="26">
        <v>0</v>
      </c>
      <c r="I144" s="26">
        <v>0</v>
      </c>
      <c r="J144" s="26">
        <v>3</v>
      </c>
      <c r="K144" s="26">
        <v>0</v>
      </c>
      <c r="L144" s="26">
        <v>2</v>
      </c>
      <c r="M144" s="26">
        <v>490</v>
      </c>
      <c r="N144" s="26">
        <v>0</v>
      </c>
      <c r="O144" s="26">
        <v>6</v>
      </c>
      <c r="P144" s="27">
        <v>496</v>
      </c>
      <c r="Q144" s="3">
        <v>0</v>
      </c>
      <c r="R144" s="3">
        <v>598</v>
      </c>
      <c r="S144" s="4">
        <v>143</v>
      </c>
      <c r="T144" s="4" t="s">
        <v>318</v>
      </c>
      <c r="U144" s="4" t="s">
        <v>319</v>
      </c>
    </row>
    <row r="145" spans="1:21">
      <c r="A145" s="26">
        <v>144</v>
      </c>
      <c r="B145" s="26">
        <v>144</v>
      </c>
      <c r="C145" s="26">
        <v>10</v>
      </c>
      <c r="D145" s="26">
        <v>517</v>
      </c>
      <c r="E145" s="26">
        <v>196</v>
      </c>
      <c r="F145" s="26">
        <v>3</v>
      </c>
      <c r="G145" s="26">
        <v>0</v>
      </c>
      <c r="H145" s="26">
        <v>0</v>
      </c>
      <c r="I145" s="26">
        <v>1</v>
      </c>
      <c r="J145" s="26">
        <v>3</v>
      </c>
      <c r="K145" s="26">
        <v>0</v>
      </c>
      <c r="L145" s="26">
        <v>1</v>
      </c>
      <c r="M145" s="26">
        <v>731</v>
      </c>
      <c r="N145" s="26">
        <v>0</v>
      </c>
      <c r="O145" s="26">
        <v>10</v>
      </c>
      <c r="P145" s="27">
        <v>741</v>
      </c>
      <c r="Q145" s="3">
        <v>0</v>
      </c>
      <c r="R145" s="3">
        <v>929</v>
      </c>
      <c r="S145" s="4">
        <v>144</v>
      </c>
      <c r="T145" s="4" t="s">
        <v>320</v>
      </c>
      <c r="U145" s="4" t="s">
        <v>321</v>
      </c>
    </row>
    <row r="146" spans="1:21">
      <c r="A146" s="26">
        <v>145</v>
      </c>
      <c r="B146" s="26">
        <v>145</v>
      </c>
      <c r="C146" s="26">
        <v>6</v>
      </c>
      <c r="D146" s="26">
        <v>494</v>
      </c>
      <c r="E146" s="26">
        <v>286</v>
      </c>
      <c r="F146" s="26">
        <v>3</v>
      </c>
      <c r="G146" s="26">
        <v>2</v>
      </c>
      <c r="H146" s="26">
        <v>0</v>
      </c>
      <c r="I146" s="26">
        <v>0</v>
      </c>
      <c r="J146" s="26">
        <v>0</v>
      </c>
      <c r="K146" s="26">
        <v>3</v>
      </c>
      <c r="L146" s="26">
        <v>3</v>
      </c>
      <c r="M146" s="26">
        <v>797</v>
      </c>
      <c r="N146" s="26">
        <v>0</v>
      </c>
      <c r="O146" s="26">
        <v>5</v>
      </c>
      <c r="P146" s="27">
        <v>802</v>
      </c>
      <c r="Q146" s="3">
        <v>0</v>
      </c>
      <c r="R146" s="3">
        <v>1019</v>
      </c>
      <c r="S146" s="4">
        <v>145</v>
      </c>
      <c r="T146" s="4" t="s">
        <v>322</v>
      </c>
      <c r="U146" s="4" t="s">
        <v>323</v>
      </c>
    </row>
    <row r="147" spans="1:21">
      <c r="A147" s="26">
        <v>146</v>
      </c>
      <c r="B147" s="26">
        <v>146</v>
      </c>
      <c r="C147" s="26">
        <v>4</v>
      </c>
      <c r="D147" s="26">
        <v>524</v>
      </c>
      <c r="E147" s="26">
        <v>300</v>
      </c>
      <c r="F147" s="26">
        <v>3</v>
      </c>
      <c r="G147" s="26">
        <v>1</v>
      </c>
      <c r="H147" s="26">
        <v>1</v>
      </c>
      <c r="I147" s="26">
        <v>0</v>
      </c>
      <c r="J147" s="26">
        <v>1</v>
      </c>
      <c r="K147" s="26">
        <v>3</v>
      </c>
      <c r="L147" s="26">
        <v>2</v>
      </c>
      <c r="M147" s="26">
        <v>839</v>
      </c>
      <c r="N147" s="26">
        <v>0</v>
      </c>
      <c r="O147" s="26">
        <v>5</v>
      </c>
      <c r="P147" s="27">
        <v>844</v>
      </c>
      <c r="Q147" s="3">
        <v>0</v>
      </c>
      <c r="R147" s="3">
        <v>1023</v>
      </c>
      <c r="S147" s="4">
        <v>146</v>
      </c>
      <c r="T147" s="4" t="s">
        <v>324</v>
      </c>
      <c r="U147" s="4" t="s">
        <v>325</v>
      </c>
    </row>
    <row r="148" spans="1:21">
      <c r="A148" s="26">
        <v>147</v>
      </c>
      <c r="B148" s="26">
        <v>147</v>
      </c>
      <c r="C148" s="26">
        <v>6</v>
      </c>
      <c r="D148" s="26">
        <v>611</v>
      </c>
      <c r="E148" s="26">
        <v>337</v>
      </c>
      <c r="F148" s="26">
        <v>2</v>
      </c>
      <c r="G148" s="26">
        <v>0</v>
      </c>
      <c r="H148" s="26">
        <v>0</v>
      </c>
      <c r="I148" s="26">
        <v>2</v>
      </c>
      <c r="J148" s="26">
        <v>1</v>
      </c>
      <c r="K148" s="26">
        <v>3</v>
      </c>
      <c r="L148" s="26">
        <v>4</v>
      </c>
      <c r="M148" s="26">
        <v>966</v>
      </c>
      <c r="N148" s="26">
        <v>0</v>
      </c>
      <c r="O148" s="26">
        <v>10</v>
      </c>
      <c r="P148" s="27">
        <v>976</v>
      </c>
      <c r="Q148" s="3">
        <v>0</v>
      </c>
      <c r="R148" s="3">
        <v>1260</v>
      </c>
      <c r="S148" s="4">
        <v>147</v>
      </c>
      <c r="T148" s="4" t="s">
        <v>326</v>
      </c>
      <c r="U148" s="4" t="s">
        <v>327</v>
      </c>
    </row>
    <row r="149" spans="1:21">
      <c r="A149" s="26">
        <v>148</v>
      </c>
      <c r="B149" s="26">
        <v>148</v>
      </c>
      <c r="C149" s="26">
        <v>8</v>
      </c>
      <c r="D149" s="26">
        <v>626</v>
      </c>
      <c r="E149" s="26">
        <v>215</v>
      </c>
      <c r="F149" s="26">
        <v>3</v>
      </c>
      <c r="G149" s="26">
        <v>0</v>
      </c>
      <c r="H149" s="26">
        <v>1</v>
      </c>
      <c r="I149" s="26">
        <v>1</v>
      </c>
      <c r="J149" s="26">
        <v>0</v>
      </c>
      <c r="K149" s="26">
        <v>4</v>
      </c>
      <c r="L149" s="26">
        <v>6</v>
      </c>
      <c r="M149" s="26">
        <v>864</v>
      </c>
      <c r="N149" s="26">
        <v>0</v>
      </c>
      <c r="O149" s="26">
        <v>4</v>
      </c>
      <c r="P149" s="27">
        <v>868</v>
      </c>
      <c r="Q149" s="3">
        <v>0</v>
      </c>
      <c r="R149" s="3">
        <v>1131</v>
      </c>
      <c r="S149" s="4">
        <v>148</v>
      </c>
      <c r="T149" s="4" t="s">
        <v>328</v>
      </c>
      <c r="U149" s="4" t="s">
        <v>329</v>
      </c>
    </row>
    <row r="150" spans="1:21">
      <c r="A150" s="26">
        <v>149</v>
      </c>
      <c r="B150" s="26">
        <v>149</v>
      </c>
      <c r="C150" s="26">
        <v>5</v>
      </c>
      <c r="D150" s="26">
        <v>476</v>
      </c>
      <c r="E150" s="26">
        <v>231</v>
      </c>
      <c r="F150" s="26">
        <v>0</v>
      </c>
      <c r="G150" s="26">
        <v>0</v>
      </c>
      <c r="H150" s="26">
        <v>1</v>
      </c>
      <c r="I150" s="26">
        <v>1</v>
      </c>
      <c r="J150" s="26">
        <v>0</v>
      </c>
      <c r="K150" s="26">
        <v>3</v>
      </c>
      <c r="L150" s="26">
        <v>4</v>
      </c>
      <c r="M150" s="26">
        <v>721</v>
      </c>
      <c r="N150" s="26">
        <v>0</v>
      </c>
      <c r="O150" s="26">
        <v>2</v>
      </c>
      <c r="P150" s="27">
        <v>723</v>
      </c>
      <c r="Q150" s="3">
        <v>0</v>
      </c>
      <c r="R150" s="3">
        <v>973</v>
      </c>
      <c r="S150" s="4">
        <v>149</v>
      </c>
      <c r="T150" s="4" t="s">
        <v>330</v>
      </c>
      <c r="U150" s="4" t="s">
        <v>331</v>
      </c>
    </row>
    <row r="151" spans="1:21">
      <c r="A151" s="26">
        <v>150</v>
      </c>
      <c r="B151" s="26">
        <v>150</v>
      </c>
      <c r="C151" s="26">
        <v>5</v>
      </c>
      <c r="D151" s="26">
        <v>544</v>
      </c>
      <c r="E151" s="26">
        <v>230</v>
      </c>
      <c r="F151" s="26">
        <v>2</v>
      </c>
      <c r="G151" s="26">
        <v>0</v>
      </c>
      <c r="H151" s="26">
        <v>1</v>
      </c>
      <c r="I151" s="26">
        <v>2</v>
      </c>
      <c r="J151" s="26">
        <v>0</v>
      </c>
      <c r="K151" s="26">
        <v>3</v>
      </c>
      <c r="L151" s="26">
        <v>0</v>
      </c>
      <c r="M151" s="26">
        <v>787</v>
      </c>
      <c r="N151" s="26">
        <v>0</v>
      </c>
      <c r="O151" s="26">
        <v>4</v>
      </c>
      <c r="P151" s="27">
        <v>791</v>
      </c>
      <c r="Q151" s="3">
        <v>0</v>
      </c>
      <c r="R151" s="3">
        <v>1078</v>
      </c>
      <c r="S151" s="4">
        <v>150</v>
      </c>
      <c r="T151" s="4" t="s">
        <v>332</v>
      </c>
      <c r="U151" s="4" t="s">
        <v>333</v>
      </c>
    </row>
    <row r="152" spans="1:21">
      <c r="A152" s="26">
        <v>151</v>
      </c>
      <c r="B152" s="26">
        <v>151</v>
      </c>
      <c r="C152" s="26">
        <v>3</v>
      </c>
      <c r="D152" s="26">
        <v>668</v>
      </c>
      <c r="E152" s="26">
        <v>332</v>
      </c>
      <c r="F152" s="26">
        <v>2</v>
      </c>
      <c r="G152" s="26">
        <v>0</v>
      </c>
      <c r="H152" s="26">
        <v>1</v>
      </c>
      <c r="I152" s="26">
        <v>1</v>
      </c>
      <c r="J152" s="26">
        <v>4</v>
      </c>
      <c r="K152" s="26">
        <v>4</v>
      </c>
      <c r="L152" s="26">
        <v>4</v>
      </c>
      <c r="M152" s="26">
        <v>1019</v>
      </c>
      <c r="N152" s="26">
        <v>0</v>
      </c>
      <c r="O152" s="26">
        <v>5</v>
      </c>
      <c r="P152" s="27">
        <v>1024</v>
      </c>
      <c r="Q152" s="3">
        <v>0</v>
      </c>
      <c r="R152" s="3">
        <v>1211</v>
      </c>
      <c r="S152" s="4">
        <v>151</v>
      </c>
      <c r="T152" s="4" t="s">
        <v>334</v>
      </c>
      <c r="U152" s="4" t="s">
        <v>335</v>
      </c>
    </row>
    <row r="153" spans="1:21">
      <c r="A153" s="26">
        <v>152</v>
      </c>
      <c r="B153" s="26">
        <v>152</v>
      </c>
      <c r="C153" s="26">
        <v>3</v>
      </c>
      <c r="D153" s="26">
        <v>513</v>
      </c>
      <c r="E153" s="26">
        <v>405</v>
      </c>
      <c r="F153" s="26">
        <v>9</v>
      </c>
      <c r="G153" s="26">
        <v>0</v>
      </c>
      <c r="H153" s="26">
        <v>0</v>
      </c>
      <c r="I153" s="26">
        <v>0</v>
      </c>
      <c r="J153" s="26">
        <v>1</v>
      </c>
      <c r="K153" s="26">
        <v>4</v>
      </c>
      <c r="L153" s="26">
        <v>1</v>
      </c>
      <c r="M153" s="26">
        <v>936</v>
      </c>
      <c r="N153" s="26">
        <v>0</v>
      </c>
      <c r="O153" s="26">
        <v>3</v>
      </c>
      <c r="P153" s="27">
        <v>939</v>
      </c>
      <c r="Q153" s="3">
        <v>0</v>
      </c>
      <c r="R153" s="3">
        <v>1181</v>
      </c>
      <c r="S153" s="4">
        <v>152</v>
      </c>
      <c r="T153" s="4" t="s">
        <v>336</v>
      </c>
      <c r="U153" s="4" t="s">
        <v>337</v>
      </c>
    </row>
    <row r="154" spans="1:21">
      <c r="A154" s="26">
        <v>153</v>
      </c>
      <c r="B154" s="26">
        <v>153</v>
      </c>
      <c r="C154" s="26">
        <v>7</v>
      </c>
      <c r="D154" s="26">
        <v>541</v>
      </c>
      <c r="E154" s="26">
        <v>346</v>
      </c>
      <c r="F154" s="26">
        <v>2</v>
      </c>
      <c r="G154" s="26">
        <v>0</v>
      </c>
      <c r="H154" s="26">
        <v>1</v>
      </c>
      <c r="I154" s="26">
        <v>0</v>
      </c>
      <c r="J154" s="26">
        <v>0</v>
      </c>
      <c r="K154" s="26">
        <v>0</v>
      </c>
      <c r="L154" s="26">
        <v>1</v>
      </c>
      <c r="M154" s="26">
        <v>898</v>
      </c>
      <c r="N154" s="26">
        <v>0</v>
      </c>
      <c r="O154" s="26">
        <v>4</v>
      </c>
      <c r="P154" s="27">
        <v>902</v>
      </c>
      <c r="Q154" s="3">
        <v>0</v>
      </c>
      <c r="R154" s="3">
        <v>1183</v>
      </c>
      <c r="S154" s="4">
        <v>153</v>
      </c>
      <c r="T154" s="4" t="s">
        <v>338</v>
      </c>
      <c r="U154" s="4" t="s">
        <v>339</v>
      </c>
    </row>
    <row r="155" spans="1:21">
      <c r="A155" s="26">
        <v>154</v>
      </c>
      <c r="B155" s="26">
        <v>154</v>
      </c>
      <c r="C155" s="26">
        <v>6</v>
      </c>
      <c r="D155" s="26">
        <v>283</v>
      </c>
      <c r="E155" s="26">
        <v>394</v>
      </c>
      <c r="F155" s="26">
        <v>3</v>
      </c>
      <c r="G155" s="26">
        <v>1</v>
      </c>
      <c r="H155" s="26">
        <v>0</v>
      </c>
      <c r="I155" s="26">
        <v>3</v>
      </c>
      <c r="J155" s="26">
        <v>0</v>
      </c>
      <c r="K155" s="26">
        <v>3</v>
      </c>
      <c r="L155" s="26">
        <v>0</v>
      </c>
      <c r="M155" s="26">
        <v>693</v>
      </c>
      <c r="N155" s="26">
        <v>0</v>
      </c>
      <c r="O155" s="26">
        <v>1</v>
      </c>
      <c r="P155" s="27">
        <v>694</v>
      </c>
      <c r="Q155" s="3">
        <v>0</v>
      </c>
      <c r="R155" s="3">
        <v>960</v>
      </c>
      <c r="S155" s="4">
        <v>154</v>
      </c>
      <c r="T155" s="4" t="s">
        <v>340</v>
      </c>
      <c r="U155" s="4" t="s">
        <v>341</v>
      </c>
    </row>
    <row r="156" spans="1:21">
      <c r="A156" s="26">
        <v>155</v>
      </c>
      <c r="B156" s="26">
        <v>155</v>
      </c>
      <c r="C156" s="26">
        <v>4</v>
      </c>
      <c r="D156" s="26">
        <v>328</v>
      </c>
      <c r="E156" s="26">
        <v>250</v>
      </c>
      <c r="F156" s="26">
        <v>4</v>
      </c>
      <c r="G156" s="26">
        <v>0</v>
      </c>
      <c r="H156" s="26">
        <v>2</v>
      </c>
      <c r="I156" s="26">
        <v>1</v>
      </c>
      <c r="J156" s="26">
        <v>1</v>
      </c>
      <c r="K156" s="26">
        <v>2</v>
      </c>
      <c r="L156" s="26">
        <v>2</v>
      </c>
      <c r="M156" s="26">
        <v>594</v>
      </c>
      <c r="N156" s="26">
        <v>0</v>
      </c>
      <c r="O156" s="26">
        <v>1</v>
      </c>
      <c r="P156" s="27">
        <v>595</v>
      </c>
      <c r="Q156" s="3">
        <v>0</v>
      </c>
      <c r="R156" s="3">
        <v>775</v>
      </c>
      <c r="S156" s="4">
        <v>155</v>
      </c>
      <c r="T156" s="4" t="s">
        <v>342</v>
      </c>
      <c r="U156" s="4" t="s">
        <v>343</v>
      </c>
    </row>
    <row r="157" spans="1:21">
      <c r="A157" s="26">
        <v>156</v>
      </c>
      <c r="B157" s="26">
        <v>156</v>
      </c>
      <c r="C157" s="26">
        <v>4</v>
      </c>
      <c r="D157" s="26">
        <v>248</v>
      </c>
      <c r="E157" s="26">
        <v>240</v>
      </c>
      <c r="F157" s="26">
        <v>1</v>
      </c>
      <c r="G157" s="26">
        <v>0</v>
      </c>
      <c r="H157" s="26">
        <v>1</v>
      </c>
      <c r="I157" s="26">
        <v>0</v>
      </c>
      <c r="J157" s="26">
        <v>1</v>
      </c>
      <c r="K157" s="26">
        <v>0</v>
      </c>
      <c r="L157" s="26">
        <v>0</v>
      </c>
      <c r="M157" s="26">
        <v>495</v>
      </c>
      <c r="N157" s="26">
        <v>0</v>
      </c>
      <c r="O157" s="26">
        <v>2</v>
      </c>
      <c r="P157" s="27">
        <v>497</v>
      </c>
      <c r="Q157" s="3">
        <v>0</v>
      </c>
      <c r="R157" s="3">
        <v>829</v>
      </c>
      <c r="S157" s="4">
        <v>156</v>
      </c>
      <c r="T157" s="4" t="s">
        <v>344</v>
      </c>
      <c r="U157" s="4" t="s">
        <v>345</v>
      </c>
    </row>
    <row r="158" spans="1:21">
      <c r="A158" s="26">
        <v>157</v>
      </c>
      <c r="B158" s="26">
        <v>157</v>
      </c>
      <c r="C158" s="26">
        <v>10</v>
      </c>
      <c r="D158" s="26">
        <v>353</v>
      </c>
      <c r="E158" s="26">
        <v>382</v>
      </c>
      <c r="F158" s="26">
        <v>5</v>
      </c>
      <c r="G158" s="26">
        <v>1</v>
      </c>
      <c r="H158" s="26">
        <v>3</v>
      </c>
      <c r="I158" s="26">
        <v>0</v>
      </c>
      <c r="J158" s="26">
        <v>1</v>
      </c>
      <c r="K158" s="26">
        <v>1</v>
      </c>
      <c r="L158" s="26">
        <v>1</v>
      </c>
      <c r="M158" s="26">
        <v>757</v>
      </c>
      <c r="N158" s="26">
        <v>0</v>
      </c>
      <c r="O158" s="26">
        <v>3</v>
      </c>
      <c r="P158" s="27">
        <v>760</v>
      </c>
      <c r="Q158" s="3">
        <v>0</v>
      </c>
      <c r="R158" s="3">
        <v>927</v>
      </c>
      <c r="S158" s="4">
        <v>157</v>
      </c>
      <c r="T158" s="4" t="s">
        <v>346</v>
      </c>
      <c r="U158" s="4" t="s">
        <v>347</v>
      </c>
    </row>
    <row r="159" spans="1:21">
      <c r="A159" s="26">
        <v>158</v>
      </c>
      <c r="B159" s="26">
        <v>158</v>
      </c>
      <c r="C159" s="26">
        <v>5</v>
      </c>
      <c r="D159" s="26">
        <v>426</v>
      </c>
      <c r="E159" s="26">
        <v>380</v>
      </c>
      <c r="F159" s="26">
        <v>1</v>
      </c>
      <c r="G159" s="26">
        <v>0</v>
      </c>
      <c r="H159" s="26">
        <v>0</v>
      </c>
      <c r="I159" s="26">
        <v>1</v>
      </c>
      <c r="J159" s="26">
        <v>0</v>
      </c>
      <c r="K159" s="26">
        <v>1</v>
      </c>
      <c r="L159" s="26">
        <v>6</v>
      </c>
      <c r="M159" s="26">
        <v>820</v>
      </c>
      <c r="N159" s="26">
        <v>0</v>
      </c>
      <c r="O159" s="26">
        <v>6</v>
      </c>
      <c r="P159" s="27">
        <v>826</v>
      </c>
      <c r="Q159" s="3">
        <v>0</v>
      </c>
      <c r="R159" s="3">
        <v>1025</v>
      </c>
      <c r="S159" s="4">
        <v>158</v>
      </c>
      <c r="T159" s="4" t="s">
        <v>348</v>
      </c>
      <c r="U159" s="4" t="s">
        <v>349</v>
      </c>
    </row>
    <row r="160" spans="1:21">
      <c r="A160" s="26">
        <v>159</v>
      </c>
      <c r="B160" s="26">
        <v>159</v>
      </c>
      <c r="C160" s="26">
        <v>3</v>
      </c>
      <c r="D160" s="26">
        <v>314</v>
      </c>
      <c r="E160" s="26">
        <v>390</v>
      </c>
      <c r="F160" s="26">
        <v>4</v>
      </c>
      <c r="G160" s="26">
        <v>1</v>
      </c>
      <c r="H160" s="26">
        <v>0</v>
      </c>
      <c r="I160" s="26">
        <v>0</v>
      </c>
      <c r="J160" s="26">
        <v>0</v>
      </c>
      <c r="K160" s="26">
        <v>3</v>
      </c>
      <c r="L160" s="26">
        <v>0</v>
      </c>
      <c r="M160" s="26">
        <v>715</v>
      </c>
      <c r="N160" s="26">
        <v>0</v>
      </c>
      <c r="O160" s="26">
        <v>3</v>
      </c>
      <c r="P160" s="27">
        <v>718</v>
      </c>
      <c r="Q160" s="3">
        <v>0</v>
      </c>
      <c r="R160" s="3">
        <v>983</v>
      </c>
      <c r="S160" s="4">
        <v>159</v>
      </c>
      <c r="T160" s="4" t="s">
        <v>350</v>
      </c>
      <c r="U160" s="4" t="s">
        <v>351</v>
      </c>
    </row>
    <row r="161" spans="1:21">
      <c r="A161" s="26">
        <v>160</v>
      </c>
      <c r="B161" s="26">
        <v>160</v>
      </c>
      <c r="C161" s="26">
        <v>5</v>
      </c>
      <c r="D161" s="26">
        <v>385</v>
      </c>
      <c r="E161" s="26">
        <v>265</v>
      </c>
      <c r="F161" s="26">
        <v>2</v>
      </c>
      <c r="G161" s="26">
        <v>1</v>
      </c>
      <c r="H161" s="26">
        <v>0</v>
      </c>
      <c r="I161" s="26">
        <v>1</v>
      </c>
      <c r="J161" s="26">
        <v>1</v>
      </c>
      <c r="K161" s="26">
        <v>0</v>
      </c>
      <c r="L161" s="26">
        <v>2</v>
      </c>
      <c r="M161" s="26">
        <v>662</v>
      </c>
      <c r="N161" s="26">
        <v>0</v>
      </c>
      <c r="O161" s="26">
        <v>10</v>
      </c>
      <c r="P161" s="27">
        <v>672</v>
      </c>
      <c r="Q161" s="3">
        <v>0</v>
      </c>
      <c r="R161" s="3">
        <v>929</v>
      </c>
      <c r="S161" s="4">
        <v>160</v>
      </c>
      <c r="T161" s="4" t="s">
        <v>352</v>
      </c>
      <c r="U161" s="4" t="s">
        <v>353</v>
      </c>
    </row>
    <row r="162" spans="1:21">
      <c r="A162" s="26">
        <v>161</v>
      </c>
      <c r="B162" s="26">
        <v>161</v>
      </c>
      <c r="C162" s="26">
        <v>3</v>
      </c>
      <c r="D162" s="26">
        <v>809</v>
      </c>
      <c r="E162" s="26">
        <v>273</v>
      </c>
      <c r="F162" s="26">
        <v>1</v>
      </c>
      <c r="G162" s="26">
        <v>1</v>
      </c>
      <c r="H162" s="26">
        <v>0</v>
      </c>
      <c r="I162" s="26">
        <v>0</v>
      </c>
      <c r="J162" s="26">
        <v>0</v>
      </c>
      <c r="K162" s="26">
        <v>0</v>
      </c>
      <c r="L162" s="26">
        <v>3</v>
      </c>
      <c r="M162" s="26">
        <v>1090</v>
      </c>
      <c r="N162" s="26">
        <v>0</v>
      </c>
      <c r="O162" s="26">
        <v>5</v>
      </c>
      <c r="P162" s="27">
        <v>1095</v>
      </c>
      <c r="Q162" s="3">
        <v>0</v>
      </c>
      <c r="R162" s="3">
        <v>923</v>
      </c>
      <c r="S162" s="4">
        <v>161</v>
      </c>
      <c r="T162" s="4" t="s">
        <v>354</v>
      </c>
      <c r="U162" s="4" t="s">
        <v>355</v>
      </c>
    </row>
    <row r="163" spans="1:21">
      <c r="A163" s="26">
        <v>162</v>
      </c>
      <c r="B163" s="26">
        <v>162</v>
      </c>
      <c r="C163" s="26">
        <v>2</v>
      </c>
      <c r="D163" s="26">
        <v>209</v>
      </c>
      <c r="E163" s="26">
        <v>112</v>
      </c>
      <c r="F163" s="26">
        <v>0</v>
      </c>
      <c r="G163" s="26">
        <v>0</v>
      </c>
      <c r="H163" s="26">
        <v>2</v>
      </c>
      <c r="I163" s="26">
        <v>0</v>
      </c>
      <c r="J163" s="26">
        <v>1</v>
      </c>
      <c r="K163" s="26">
        <v>0</v>
      </c>
      <c r="L163" s="26">
        <v>1</v>
      </c>
      <c r="M163" s="26">
        <v>327</v>
      </c>
      <c r="N163" s="26">
        <v>0</v>
      </c>
      <c r="O163" s="26">
        <v>4</v>
      </c>
      <c r="P163" s="27">
        <v>331</v>
      </c>
      <c r="Q163" s="3">
        <v>0</v>
      </c>
      <c r="R163" s="3">
        <v>476</v>
      </c>
      <c r="S163" s="4">
        <v>162</v>
      </c>
      <c r="T163" s="4" t="s">
        <v>356</v>
      </c>
      <c r="U163" s="4" t="s">
        <v>357</v>
      </c>
    </row>
    <row r="164" spans="1:21">
      <c r="A164" s="26">
        <v>163</v>
      </c>
      <c r="B164" s="26">
        <v>163</v>
      </c>
      <c r="C164" s="26">
        <v>4</v>
      </c>
      <c r="D164" s="26">
        <v>395</v>
      </c>
      <c r="E164" s="26">
        <v>186</v>
      </c>
      <c r="F164" s="26">
        <v>1</v>
      </c>
      <c r="G164" s="26">
        <v>0</v>
      </c>
      <c r="H164" s="26">
        <v>0</v>
      </c>
      <c r="I164" s="26">
        <v>2</v>
      </c>
      <c r="J164" s="26">
        <v>1</v>
      </c>
      <c r="K164" s="26">
        <v>0</v>
      </c>
      <c r="L164" s="26">
        <v>1</v>
      </c>
      <c r="M164" s="26">
        <v>590</v>
      </c>
      <c r="N164" s="26">
        <v>0</v>
      </c>
      <c r="O164" s="26">
        <v>11</v>
      </c>
      <c r="P164" s="27">
        <v>601</v>
      </c>
      <c r="Q164" s="3">
        <v>0</v>
      </c>
      <c r="R164" s="3">
        <v>858</v>
      </c>
      <c r="S164" s="4">
        <v>163</v>
      </c>
      <c r="T164" s="4" t="s">
        <v>358</v>
      </c>
      <c r="U164" s="4" t="s">
        <v>359</v>
      </c>
    </row>
    <row r="165" spans="1:21">
      <c r="A165" s="26">
        <v>164</v>
      </c>
      <c r="B165" s="26">
        <v>164</v>
      </c>
      <c r="C165" s="26">
        <v>7</v>
      </c>
      <c r="D165" s="26">
        <v>570</v>
      </c>
      <c r="E165" s="26">
        <v>184</v>
      </c>
      <c r="F165" s="26">
        <v>1</v>
      </c>
      <c r="G165" s="26">
        <v>0</v>
      </c>
      <c r="H165" s="26">
        <v>0</v>
      </c>
      <c r="I165" s="26">
        <v>0</v>
      </c>
      <c r="J165" s="26">
        <v>1</v>
      </c>
      <c r="K165" s="26">
        <v>2</v>
      </c>
      <c r="L165" s="26">
        <v>2</v>
      </c>
      <c r="M165" s="26">
        <v>767</v>
      </c>
      <c r="N165" s="26">
        <v>0</v>
      </c>
      <c r="O165" s="26">
        <v>8</v>
      </c>
      <c r="P165" s="27">
        <v>775</v>
      </c>
      <c r="Q165" s="3">
        <v>0</v>
      </c>
      <c r="R165" s="3">
        <v>1156</v>
      </c>
      <c r="S165" s="4">
        <v>164</v>
      </c>
      <c r="T165" s="4" t="s">
        <v>360</v>
      </c>
      <c r="U165" s="4" t="s">
        <v>361</v>
      </c>
    </row>
    <row r="166" spans="1:21">
      <c r="A166" s="26">
        <v>165</v>
      </c>
      <c r="B166" s="26">
        <v>165</v>
      </c>
      <c r="C166" s="26">
        <v>0</v>
      </c>
      <c r="D166" s="26">
        <v>327</v>
      </c>
      <c r="E166" s="26">
        <v>217</v>
      </c>
      <c r="F166" s="26">
        <v>2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6">
        <v>1</v>
      </c>
      <c r="M166" s="26">
        <v>547</v>
      </c>
      <c r="N166" s="26">
        <v>0</v>
      </c>
      <c r="O166" s="26">
        <v>5</v>
      </c>
      <c r="P166" s="27">
        <v>552</v>
      </c>
      <c r="Q166" s="3">
        <v>0</v>
      </c>
      <c r="R166" s="3">
        <v>852</v>
      </c>
      <c r="S166" s="4">
        <v>165</v>
      </c>
      <c r="T166" s="4" t="s">
        <v>362</v>
      </c>
      <c r="U166" s="4" t="s">
        <v>363</v>
      </c>
    </row>
    <row r="167" spans="1:21">
      <c r="A167" s="26">
        <v>166</v>
      </c>
      <c r="B167" s="26">
        <v>166</v>
      </c>
      <c r="C167" s="26">
        <v>2</v>
      </c>
      <c r="D167" s="26">
        <v>378</v>
      </c>
      <c r="E167" s="26">
        <v>226</v>
      </c>
      <c r="F167" s="26">
        <v>1</v>
      </c>
      <c r="G167" s="26">
        <v>0</v>
      </c>
      <c r="H167" s="26">
        <v>0</v>
      </c>
      <c r="I167" s="26">
        <v>1</v>
      </c>
      <c r="J167" s="26">
        <v>1</v>
      </c>
      <c r="K167" s="26">
        <v>3</v>
      </c>
      <c r="L167" s="26">
        <v>1</v>
      </c>
      <c r="M167" s="26">
        <v>613</v>
      </c>
      <c r="N167" s="26">
        <v>0</v>
      </c>
      <c r="O167" s="26">
        <v>5</v>
      </c>
      <c r="P167" s="27">
        <v>618</v>
      </c>
      <c r="Q167" s="3">
        <v>0</v>
      </c>
      <c r="R167" s="3">
        <v>855</v>
      </c>
      <c r="S167" s="4">
        <v>166</v>
      </c>
      <c r="T167" s="4" t="s">
        <v>364</v>
      </c>
      <c r="U167" s="4" t="s">
        <v>365</v>
      </c>
    </row>
    <row r="168" spans="1:21">
      <c r="A168" s="26">
        <v>167</v>
      </c>
      <c r="B168" s="26">
        <v>167</v>
      </c>
      <c r="C168" s="26">
        <v>1</v>
      </c>
      <c r="D168" s="26">
        <v>259</v>
      </c>
      <c r="E168" s="26">
        <v>241</v>
      </c>
      <c r="F168" s="26">
        <v>6</v>
      </c>
      <c r="G168" s="26">
        <v>0</v>
      </c>
      <c r="H168" s="26">
        <v>1</v>
      </c>
      <c r="I168" s="26">
        <v>0</v>
      </c>
      <c r="J168" s="26">
        <v>0</v>
      </c>
      <c r="K168" s="26">
        <v>0</v>
      </c>
      <c r="L168" s="26">
        <v>0</v>
      </c>
      <c r="M168" s="26">
        <v>508</v>
      </c>
      <c r="N168" s="26">
        <v>0</v>
      </c>
      <c r="O168" s="26">
        <v>7</v>
      </c>
      <c r="P168" s="27">
        <v>515</v>
      </c>
      <c r="Q168" s="3">
        <v>0</v>
      </c>
      <c r="R168" s="3">
        <v>722</v>
      </c>
      <c r="S168" s="4">
        <v>167</v>
      </c>
      <c r="T168" s="4" t="s">
        <v>366</v>
      </c>
      <c r="U168" s="4" t="s">
        <v>367</v>
      </c>
    </row>
    <row r="169" spans="1:21">
      <c r="A169" s="26">
        <v>168</v>
      </c>
      <c r="B169" s="29">
        <v>168</v>
      </c>
      <c r="C169" s="26">
        <v>8</v>
      </c>
      <c r="D169" s="26">
        <v>248</v>
      </c>
      <c r="E169" s="26">
        <v>317</v>
      </c>
      <c r="F169" s="26">
        <v>2</v>
      </c>
      <c r="G169" s="26">
        <v>0</v>
      </c>
      <c r="H169" s="26">
        <v>0</v>
      </c>
      <c r="I169" s="26">
        <v>1</v>
      </c>
      <c r="J169" s="26">
        <v>2</v>
      </c>
      <c r="K169" s="26">
        <v>0</v>
      </c>
      <c r="L169" s="26">
        <v>1</v>
      </c>
      <c r="M169" s="26">
        <v>579</v>
      </c>
      <c r="N169" s="26">
        <v>0</v>
      </c>
      <c r="O169" s="26">
        <v>7</v>
      </c>
      <c r="P169" s="27">
        <v>586</v>
      </c>
      <c r="Q169" s="3">
        <v>0</v>
      </c>
      <c r="R169" s="3">
        <v>747</v>
      </c>
      <c r="S169" s="4">
        <v>168</v>
      </c>
      <c r="T169" s="4" t="s">
        <v>368</v>
      </c>
      <c r="U169" s="4" t="s">
        <v>369</v>
      </c>
    </row>
    <row r="170" spans="1:21">
      <c r="A170" s="26">
        <v>169</v>
      </c>
      <c r="B170" s="26">
        <v>169</v>
      </c>
      <c r="C170" s="26">
        <v>4</v>
      </c>
      <c r="D170" s="26">
        <v>193</v>
      </c>
      <c r="E170" s="26">
        <v>500</v>
      </c>
      <c r="F170" s="26">
        <v>6</v>
      </c>
      <c r="G170" s="26">
        <v>0</v>
      </c>
      <c r="H170" s="26">
        <v>1</v>
      </c>
      <c r="I170" s="26">
        <v>1</v>
      </c>
      <c r="J170" s="26">
        <v>0</v>
      </c>
      <c r="K170" s="26">
        <v>3</v>
      </c>
      <c r="L170" s="26">
        <v>2</v>
      </c>
      <c r="M170" s="26">
        <v>710</v>
      </c>
      <c r="N170" s="26">
        <v>0</v>
      </c>
      <c r="O170" s="26">
        <v>2</v>
      </c>
      <c r="P170" s="27">
        <v>712</v>
      </c>
      <c r="Q170" s="3">
        <v>0</v>
      </c>
      <c r="R170" s="3">
        <v>1078</v>
      </c>
      <c r="S170" s="4">
        <v>169</v>
      </c>
      <c r="T170" s="4" t="s">
        <v>370</v>
      </c>
      <c r="U170" s="4" t="s">
        <v>371</v>
      </c>
    </row>
    <row r="171" spans="1:21">
      <c r="A171" s="26">
        <v>170</v>
      </c>
      <c r="B171" s="26">
        <v>170</v>
      </c>
      <c r="C171" s="26">
        <v>3</v>
      </c>
      <c r="D171" s="26">
        <v>278</v>
      </c>
      <c r="E171" s="26">
        <v>388</v>
      </c>
      <c r="F171" s="26">
        <v>5</v>
      </c>
      <c r="G171" s="26">
        <v>0</v>
      </c>
      <c r="H171" s="26">
        <v>0</v>
      </c>
      <c r="I171" s="26">
        <v>1</v>
      </c>
      <c r="J171" s="26">
        <v>0</v>
      </c>
      <c r="K171" s="26">
        <v>7</v>
      </c>
      <c r="L171" s="26">
        <v>0</v>
      </c>
      <c r="M171" s="26">
        <v>682</v>
      </c>
      <c r="N171" s="26">
        <v>0</v>
      </c>
      <c r="O171" s="26">
        <v>6</v>
      </c>
      <c r="P171" s="27">
        <v>688</v>
      </c>
      <c r="Q171" s="3">
        <v>0</v>
      </c>
      <c r="R171" s="3">
        <v>968</v>
      </c>
      <c r="S171" s="4">
        <v>170</v>
      </c>
      <c r="T171" s="4" t="s">
        <v>372</v>
      </c>
      <c r="U171" s="4" t="s">
        <v>373</v>
      </c>
    </row>
    <row r="172" spans="1:21">
      <c r="A172" s="26">
        <v>171</v>
      </c>
      <c r="B172" s="26">
        <v>171</v>
      </c>
      <c r="C172" s="26">
        <v>3</v>
      </c>
      <c r="D172" s="26">
        <v>366</v>
      </c>
      <c r="E172" s="26">
        <v>302</v>
      </c>
      <c r="F172" s="26">
        <v>1</v>
      </c>
      <c r="G172" s="26">
        <v>0</v>
      </c>
      <c r="H172" s="26">
        <v>0</v>
      </c>
      <c r="I172" s="26">
        <v>0</v>
      </c>
      <c r="J172" s="26">
        <v>0</v>
      </c>
      <c r="K172" s="26">
        <v>0</v>
      </c>
      <c r="L172" s="26">
        <v>3</v>
      </c>
      <c r="M172" s="26">
        <v>675</v>
      </c>
      <c r="N172" s="26">
        <v>0</v>
      </c>
      <c r="O172" s="26">
        <v>4</v>
      </c>
      <c r="P172" s="27">
        <v>679</v>
      </c>
      <c r="Q172" s="3">
        <v>0</v>
      </c>
      <c r="R172" s="3">
        <v>1113</v>
      </c>
      <c r="S172" s="4">
        <v>171</v>
      </c>
      <c r="T172" s="4" t="s">
        <v>374</v>
      </c>
      <c r="U172" s="4" t="s">
        <v>375</v>
      </c>
    </row>
    <row r="173" spans="1:21">
      <c r="A173" s="26">
        <v>172</v>
      </c>
      <c r="B173" s="26">
        <v>172</v>
      </c>
      <c r="C173" s="26">
        <v>2</v>
      </c>
      <c r="D173" s="26">
        <v>366</v>
      </c>
      <c r="E173" s="26">
        <v>174</v>
      </c>
      <c r="F173" s="26">
        <v>1</v>
      </c>
      <c r="G173" s="26">
        <v>0</v>
      </c>
      <c r="H173" s="26">
        <v>1</v>
      </c>
      <c r="I173" s="26">
        <v>0</v>
      </c>
      <c r="J173" s="26">
        <v>0</v>
      </c>
      <c r="K173" s="26">
        <v>1</v>
      </c>
      <c r="L173" s="26">
        <v>0</v>
      </c>
      <c r="M173" s="26">
        <v>545</v>
      </c>
      <c r="N173" s="26">
        <v>0</v>
      </c>
      <c r="O173" s="26">
        <v>15</v>
      </c>
      <c r="P173" s="27">
        <v>560</v>
      </c>
      <c r="Q173" s="3">
        <v>0</v>
      </c>
      <c r="R173" s="3">
        <v>793</v>
      </c>
      <c r="S173" s="4">
        <v>172</v>
      </c>
      <c r="T173" s="4" t="s">
        <v>376</v>
      </c>
      <c r="U173" s="4" t="s">
        <v>377</v>
      </c>
    </row>
    <row r="174" spans="1:21">
      <c r="A174" s="26">
        <v>173</v>
      </c>
      <c r="B174" s="26">
        <v>173</v>
      </c>
      <c r="C174" s="26">
        <v>3</v>
      </c>
      <c r="D174" s="26">
        <v>300</v>
      </c>
      <c r="E174" s="26">
        <v>348</v>
      </c>
      <c r="F174" s="26">
        <v>2</v>
      </c>
      <c r="G174" s="26">
        <v>0</v>
      </c>
      <c r="H174" s="26">
        <v>0</v>
      </c>
      <c r="I174" s="26">
        <v>0</v>
      </c>
      <c r="J174" s="26">
        <v>1</v>
      </c>
      <c r="K174" s="26">
        <v>1</v>
      </c>
      <c r="L174" s="26">
        <v>1</v>
      </c>
      <c r="M174" s="26">
        <v>656</v>
      </c>
      <c r="N174" s="26">
        <v>0</v>
      </c>
      <c r="O174" s="26">
        <v>6</v>
      </c>
      <c r="P174" s="27">
        <v>662</v>
      </c>
      <c r="Q174" s="3">
        <v>0</v>
      </c>
      <c r="R174" s="3">
        <v>850</v>
      </c>
      <c r="S174" s="4">
        <v>173</v>
      </c>
      <c r="T174" s="4" t="s">
        <v>378</v>
      </c>
      <c r="U174" s="4" t="s">
        <v>379</v>
      </c>
    </row>
    <row r="175" spans="1:21">
      <c r="A175" s="26">
        <v>174</v>
      </c>
      <c r="B175" s="26">
        <v>174</v>
      </c>
      <c r="C175" s="26">
        <v>0</v>
      </c>
      <c r="D175" s="26">
        <v>176</v>
      </c>
      <c r="E175" s="26">
        <v>195</v>
      </c>
      <c r="F175" s="26">
        <v>1</v>
      </c>
      <c r="G175" s="26">
        <v>0</v>
      </c>
      <c r="H175" s="26">
        <v>0</v>
      </c>
      <c r="I175" s="26">
        <v>1</v>
      </c>
      <c r="J175" s="26">
        <v>0</v>
      </c>
      <c r="K175" s="26">
        <v>1</v>
      </c>
      <c r="L175" s="26">
        <v>0</v>
      </c>
      <c r="M175" s="26">
        <v>374</v>
      </c>
      <c r="N175" s="26">
        <v>0</v>
      </c>
      <c r="O175" s="26">
        <v>3</v>
      </c>
      <c r="P175" s="27">
        <v>377</v>
      </c>
      <c r="Q175" s="3">
        <v>0</v>
      </c>
      <c r="R175" s="3">
        <v>498</v>
      </c>
      <c r="S175" s="4">
        <v>174</v>
      </c>
      <c r="T175" s="4" t="s">
        <v>380</v>
      </c>
      <c r="U175" s="4" t="s">
        <v>381</v>
      </c>
    </row>
    <row r="176" spans="1:21">
      <c r="A176" s="26">
        <v>175</v>
      </c>
      <c r="B176" s="26">
        <v>175</v>
      </c>
      <c r="C176" s="26">
        <v>2</v>
      </c>
      <c r="D176" s="26">
        <v>236</v>
      </c>
      <c r="E176" s="26">
        <v>305</v>
      </c>
      <c r="F176" s="26">
        <v>0</v>
      </c>
      <c r="G176" s="26">
        <v>0</v>
      </c>
      <c r="H176" s="26">
        <v>0</v>
      </c>
      <c r="I176" s="26">
        <v>0</v>
      </c>
      <c r="J176" s="26">
        <v>0</v>
      </c>
      <c r="K176" s="26">
        <v>3</v>
      </c>
      <c r="L176" s="26">
        <v>3</v>
      </c>
      <c r="M176" s="26">
        <v>549</v>
      </c>
      <c r="N176" s="26">
        <v>0</v>
      </c>
      <c r="O176" s="26">
        <v>12</v>
      </c>
      <c r="P176" s="27">
        <v>561</v>
      </c>
      <c r="Q176" s="3">
        <v>0</v>
      </c>
      <c r="R176" s="3">
        <v>804</v>
      </c>
      <c r="S176" s="4">
        <v>175</v>
      </c>
      <c r="T176" s="4" t="s">
        <v>382</v>
      </c>
      <c r="U176" s="4" t="s">
        <v>383</v>
      </c>
    </row>
    <row r="177" spans="1:21">
      <c r="A177" s="26">
        <v>176</v>
      </c>
      <c r="B177" s="26">
        <v>176</v>
      </c>
      <c r="C177" s="26">
        <v>3</v>
      </c>
      <c r="D177" s="26">
        <v>133</v>
      </c>
      <c r="E177" s="26">
        <v>120</v>
      </c>
      <c r="F177" s="26">
        <v>1</v>
      </c>
      <c r="G177" s="26">
        <v>0</v>
      </c>
      <c r="H177" s="26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257</v>
      </c>
      <c r="N177" s="26">
        <v>0</v>
      </c>
      <c r="O177" s="26">
        <v>2</v>
      </c>
      <c r="P177" s="27">
        <v>259</v>
      </c>
      <c r="Q177" s="3">
        <v>0</v>
      </c>
      <c r="R177" s="3">
        <v>377</v>
      </c>
      <c r="S177" s="4">
        <v>176</v>
      </c>
      <c r="T177" s="4" t="s">
        <v>384</v>
      </c>
      <c r="U177" s="4" t="s">
        <v>385</v>
      </c>
    </row>
    <row r="178" spans="1:21">
      <c r="A178" s="26">
        <v>177</v>
      </c>
      <c r="B178" s="26">
        <v>177</v>
      </c>
      <c r="C178" s="26">
        <v>2</v>
      </c>
      <c r="D178" s="26">
        <v>201</v>
      </c>
      <c r="E178" s="26">
        <v>253</v>
      </c>
      <c r="F178" s="26">
        <v>0</v>
      </c>
      <c r="G178" s="26">
        <v>0</v>
      </c>
      <c r="H178" s="26">
        <v>0</v>
      </c>
      <c r="I178" s="26">
        <v>0</v>
      </c>
      <c r="J178" s="26">
        <v>1</v>
      </c>
      <c r="K178" s="26">
        <v>0</v>
      </c>
      <c r="L178" s="26">
        <v>0</v>
      </c>
      <c r="M178" s="26">
        <v>457</v>
      </c>
      <c r="N178" s="26">
        <v>0</v>
      </c>
      <c r="O178" s="26">
        <v>3</v>
      </c>
      <c r="P178" s="27">
        <v>460</v>
      </c>
      <c r="Q178" s="3">
        <v>0</v>
      </c>
      <c r="R178" s="3">
        <v>598</v>
      </c>
      <c r="S178" s="4">
        <v>177</v>
      </c>
      <c r="T178" s="4" t="s">
        <v>386</v>
      </c>
      <c r="U178" s="4" t="s">
        <v>387</v>
      </c>
    </row>
    <row r="179" spans="1:21">
      <c r="A179" s="26">
        <v>178</v>
      </c>
      <c r="B179" s="26">
        <v>178</v>
      </c>
      <c r="C179" s="26">
        <v>5</v>
      </c>
      <c r="D179" s="26">
        <v>358</v>
      </c>
      <c r="E179" s="26">
        <v>348</v>
      </c>
      <c r="F179" s="26">
        <v>0</v>
      </c>
      <c r="G179" s="26">
        <v>0</v>
      </c>
      <c r="H179" s="26">
        <v>3</v>
      </c>
      <c r="I179" s="26">
        <v>1</v>
      </c>
      <c r="J179" s="26">
        <v>0</v>
      </c>
      <c r="K179" s="26">
        <v>1</v>
      </c>
      <c r="L179" s="26">
        <v>1</v>
      </c>
      <c r="M179" s="26">
        <v>717</v>
      </c>
      <c r="N179" s="26">
        <v>0</v>
      </c>
      <c r="O179" s="26">
        <v>3</v>
      </c>
      <c r="P179" s="27">
        <v>720</v>
      </c>
      <c r="Q179" s="3">
        <v>0</v>
      </c>
      <c r="R179" s="3">
        <v>1176</v>
      </c>
      <c r="S179" s="4">
        <v>178</v>
      </c>
      <c r="T179" s="4" t="s">
        <v>388</v>
      </c>
      <c r="U179" s="4" t="s">
        <v>389</v>
      </c>
    </row>
    <row r="180" spans="1:21">
      <c r="A180" s="26">
        <v>179</v>
      </c>
      <c r="B180" s="26">
        <v>179</v>
      </c>
      <c r="C180" s="26">
        <v>0</v>
      </c>
      <c r="D180" s="26">
        <v>259</v>
      </c>
      <c r="E180" s="26">
        <v>351</v>
      </c>
      <c r="F180" s="26">
        <v>1</v>
      </c>
      <c r="G180" s="26">
        <v>0</v>
      </c>
      <c r="H180" s="26">
        <v>0</v>
      </c>
      <c r="I180" s="26">
        <v>0</v>
      </c>
      <c r="J180" s="26">
        <v>0</v>
      </c>
      <c r="K180" s="26">
        <v>1</v>
      </c>
      <c r="L180" s="26">
        <v>0</v>
      </c>
      <c r="M180" s="26">
        <v>612</v>
      </c>
      <c r="N180" s="26">
        <v>0</v>
      </c>
      <c r="O180" s="26">
        <v>19</v>
      </c>
      <c r="P180" s="27">
        <v>631</v>
      </c>
      <c r="Q180" s="3">
        <v>0</v>
      </c>
      <c r="R180" s="3">
        <v>1009</v>
      </c>
      <c r="S180" s="4">
        <v>179</v>
      </c>
      <c r="T180" s="4" t="s">
        <v>390</v>
      </c>
      <c r="U180" s="4" t="s">
        <v>391</v>
      </c>
    </row>
    <row r="181" spans="1:21">
      <c r="A181" s="26">
        <v>180</v>
      </c>
      <c r="B181" s="26">
        <v>180</v>
      </c>
      <c r="C181" s="26">
        <v>0</v>
      </c>
      <c r="D181" s="26">
        <v>215</v>
      </c>
      <c r="E181" s="26">
        <v>308</v>
      </c>
      <c r="F181" s="26">
        <v>1</v>
      </c>
      <c r="G181" s="26">
        <v>0</v>
      </c>
      <c r="H181" s="26">
        <v>0</v>
      </c>
      <c r="I181" s="26">
        <v>0</v>
      </c>
      <c r="J181" s="26">
        <v>0</v>
      </c>
      <c r="K181" s="26">
        <v>1</v>
      </c>
      <c r="L181" s="26">
        <v>0</v>
      </c>
      <c r="M181" s="26">
        <v>525</v>
      </c>
      <c r="N181" s="26">
        <v>0</v>
      </c>
      <c r="O181" s="26">
        <v>7</v>
      </c>
      <c r="P181" s="27">
        <v>532</v>
      </c>
      <c r="Q181" s="3">
        <v>0</v>
      </c>
      <c r="R181" s="3">
        <v>802</v>
      </c>
      <c r="S181" s="4">
        <v>180</v>
      </c>
      <c r="T181" s="4" t="s">
        <v>392</v>
      </c>
      <c r="U181" s="4" t="s">
        <v>393</v>
      </c>
    </row>
    <row r="182" spans="1:21">
      <c r="A182" s="26">
        <v>181</v>
      </c>
      <c r="B182" s="26">
        <v>181</v>
      </c>
      <c r="C182" s="26">
        <v>1</v>
      </c>
      <c r="D182" s="26">
        <v>384</v>
      </c>
      <c r="E182" s="26">
        <v>364</v>
      </c>
      <c r="F182" s="26">
        <v>3</v>
      </c>
      <c r="G182" s="26">
        <v>2</v>
      </c>
      <c r="H182" s="26">
        <v>0</v>
      </c>
      <c r="I182" s="26">
        <v>0</v>
      </c>
      <c r="J182" s="26">
        <v>0</v>
      </c>
      <c r="K182" s="26">
        <v>0</v>
      </c>
      <c r="L182" s="26">
        <v>0</v>
      </c>
      <c r="M182" s="26">
        <v>754</v>
      </c>
      <c r="N182" s="26">
        <v>0</v>
      </c>
      <c r="O182" s="26">
        <v>7</v>
      </c>
      <c r="P182" s="27">
        <v>761</v>
      </c>
      <c r="Q182" s="3">
        <v>0</v>
      </c>
      <c r="R182" s="3">
        <v>1101</v>
      </c>
      <c r="S182" s="4">
        <v>181</v>
      </c>
      <c r="T182" s="4" t="s">
        <v>394</v>
      </c>
      <c r="U182" s="4" t="s">
        <v>395</v>
      </c>
    </row>
    <row r="183" spans="1:21">
      <c r="A183" s="26">
        <v>182</v>
      </c>
      <c r="B183" s="26">
        <v>182</v>
      </c>
      <c r="C183" s="26">
        <v>4</v>
      </c>
      <c r="D183" s="26">
        <v>399</v>
      </c>
      <c r="E183" s="26">
        <v>357</v>
      </c>
      <c r="F183" s="26">
        <v>2</v>
      </c>
      <c r="G183" s="26">
        <v>0</v>
      </c>
      <c r="H183" s="26">
        <v>0</v>
      </c>
      <c r="I183" s="26">
        <v>0</v>
      </c>
      <c r="J183" s="26">
        <v>0</v>
      </c>
      <c r="K183" s="26">
        <v>0</v>
      </c>
      <c r="L183" s="26">
        <v>0</v>
      </c>
      <c r="M183" s="26">
        <v>762</v>
      </c>
      <c r="N183" s="26">
        <v>0</v>
      </c>
      <c r="O183" s="26">
        <v>11</v>
      </c>
      <c r="P183" s="27">
        <v>773</v>
      </c>
      <c r="Q183" s="3">
        <v>0</v>
      </c>
      <c r="R183" s="3">
        <v>1030</v>
      </c>
      <c r="S183" s="4">
        <v>182</v>
      </c>
      <c r="T183" s="4" t="s">
        <v>396</v>
      </c>
      <c r="U183" s="4" t="s">
        <v>397</v>
      </c>
    </row>
    <row r="184" spans="1:21">
      <c r="A184" s="26">
        <v>183</v>
      </c>
      <c r="B184" s="26">
        <v>183</v>
      </c>
      <c r="C184" s="26">
        <v>4</v>
      </c>
      <c r="D184" s="26">
        <v>487</v>
      </c>
      <c r="E184" s="26">
        <v>174</v>
      </c>
      <c r="F184" s="26">
        <v>0</v>
      </c>
      <c r="G184" s="26">
        <v>0</v>
      </c>
      <c r="H184" s="26">
        <v>1</v>
      </c>
      <c r="I184" s="26">
        <v>1</v>
      </c>
      <c r="J184" s="26">
        <v>1</v>
      </c>
      <c r="K184" s="26">
        <v>0</v>
      </c>
      <c r="L184" s="26">
        <v>1</v>
      </c>
      <c r="M184" s="26">
        <v>669</v>
      </c>
      <c r="N184" s="26">
        <v>0</v>
      </c>
      <c r="O184" s="26">
        <v>8</v>
      </c>
      <c r="P184" s="27">
        <v>677</v>
      </c>
      <c r="Q184" s="3">
        <v>0</v>
      </c>
      <c r="R184" s="3">
        <v>1036</v>
      </c>
      <c r="S184" s="4">
        <v>183</v>
      </c>
      <c r="T184" s="4" t="s">
        <v>398</v>
      </c>
      <c r="U184" s="4" t="s">
        <v>399</v>
      </c>
    </row>
    <row r="185" spans="1:21">
      <c r="A185" s="26">
        <v>184</v>
      </c>
      <c r="B185" s="26">
        <v>184</v>
      </c>
      <c r="C185" s="26">
        <v>3</v>
      </c>
      <c r="D185" s="26">
        <v>438</v>
      </c>
      <c r="E185" s="26">
        <v>223</v>
      </c>
      <c r="F185" s="26">
        <v>3</v>
      </c>
      <c r="G185" s="26">
        <v>0</v>
      </c>
      <c r="H185" s="26">
        <v>0</v>
      </c>
      <c r="I185" s="26">
        <v>0</v>
      </c>
      <c r="J185" s="26">
        <v>0</v>
      </c>
      <c r="K185" s="26">
        <v>2</v>
      </c>
      <c r="L185" s="26">
        <v>1</v>
      </c>
      <c r="M185" s="26">
        <v>670</v>
      </c>
      <c r="N185" s="26">
        <v>0</v>
      </c>
      <c r="O185" s="26">
        <v>1</v>
      </c>
      <c r="P185" s="27">
        <v>671</v>
      </c>
      <c r="Q185" s="3">
        <v>0</v>
      </c>
      <c r="R185" s="3">
        <v>973</v>
      </c>
      <c r="S185" s="4">
        <v>184</v>
      </c>
      <c r="T185" s="4" t="s">
        <v>400</v>
      </c>
      <c r="U185" s="4" t="s">
        <v>401</v>
      </c>
    </row>
    <row r="186" spans="1:21">
      <c r="A186" s="26">
        <v>185</v>
      </c>
      <c r="B186" s="26">
        <v>185</v>
      </c>
      <c r="C186" s="26">
        <v>2</v>
      </c>
      <c r="D186" s="26">
        <v>337</v>
      </c>
      <c r="E186" s="26">
        <v>134</v>
      </c>
      <c r="F186" s="26">
        <v>1</v>
      </c>
      <c r="G186" s="26">
        <v>0</v>
      </c>
      <c r="H186" s="26">
        <v>0</v>
      </c>
      <c r="I186" s="26">
        <v>1</v>
      </c>
      <c r="J186" s="26">
        <v>0</v>
      </c>
      <c r="K186" s="26">
        <v>0</v>
      </c>
      <c r="L186" s="26">
        <v>1</v>
      </c>
      <c r="M186" s="26">
        <v>476</v>
      </c>
      <c r="N186" s="26">
        <v>0</v>
      </c>
      <c r="O186" s="26">
        <v>0</v>
      </c>
      <c r="P186" s="27">
        <v>476</v>
      </c>
      <c r="Q186" s="3">
        <v>0</v>
      </c>
      <c r="R186" s="3">
        <v>754</v>
      </c>
      <c r="S186" s="4">
        <v>185</v>
      </c>
      <c r="T186" s="4" t="s">
        <v>402</v>
      </c>
      <c r="U186" s="4" t="s">
        <v>403</v>
      </c>
    </row>
    <row r="187" spans="1:21">
      <c r="A187" s="26">
        <v>186</v>
      </c>
      <c r="B187" s="26">
        <v>186</v>
      </c>
      <c r="C187" s="26">
        <v>1</v>
      </c>
      <c r="D187" s="26">
        <v>305</v>
      </c>
      <c r="E187" s="26">
        <v>108</v>
      </c>
      <c r="F187" s="26">
        <v>1</v>
      </c>
      <c r="G187" s="26">
        <v>0</v>
      </c>
      <c r="H187" s="26">
        <v>0</v>
      </c>
      <c r="I187" s="26">
        <v>0</v>
      </c>
      <c r="J187" s="26">
        <v>0</v>
      </c>
      <c r="K187" s="26">
        <v>0</v>
      </c>
      <c r="L187" s="26">
        <v>1</v>
      </c>
      <c r="M187" s="26">
        <v>416</v>
      </c>
      <c r="N187" s="26">
        <v>0</v>
      </c>
      <c r="O187" s="26">
        <v>4</v>
      </c>
      <c r="P187" s="27">
        <v>420</v>
      </c>
      <c r="Q187" s="3">
        <v>0</v>
      </c>
      <c r="R187" s="3">
        <v>596</v>
      </c>
      <c r="S187" s="4">
        <v>186</v>
      </c>
      <c r="T187" s="4" t="s">
        <v>404</v>
      </c>
      <c r="U187" s="4" t="s">
        <v>405</v>
      </c>
    </row>
    <row r="188" spans="1:21">
      <c r="A188" s="26">
        <v>187</v>
      </c>
      <c r="B188" s="26">
        <v>187</v>
      </c>
      <c r="C188" s="26">
        <v>14</v>
      </c>
      <c r="D188" s="26">
        <v>386</v>
      </c>
      <c r="E188" s="26">
        <v>242</v>
      </c>
      <c r="F188" s="26">
        <v>1</v>
      </c>
      <c r="G188" s="26">
        <v>1</v>
      </c>
      <c r="H188" s="26">
        <v>0</v>
      </c>
      <c r="I188" s="26">
        <v>1</v>
      </c>
      <c r="J188" s="26">
        <v>0</v>
      </c>
      <c r="K188" s="26">
        <v>1</v>
      </c>
      <c r="L188" s="26">
        <v>0</v>
      </c>
      <c r="M188" s="26">
        <v>646</v>
      </c>
      <c r="N188" s="26">
        <v>0</v>
      </c>
      <c r="O188" s="26">
        <v>2</v>
      </c>
      <c r="P188" s="27">
        <v>648</v>
      </c>
      <c r="Q188" s="3">
        <v>0</v>
      </c>
      <c r="R188" s="3">
        <v>912</v>
      </c>
      <c r="S188" s="4">
        <v>187</v>
      </c>
      <c r="T188" s="4" t="s">
        <v>406</v>
      </c>
      <c r="U188" s="4" t="s">
        <v>407</v>
      </c>
    </row>
    <row r="189" spans="1:21">
      <c r="A189" s="26">
        <v>188</v>
      </c>
      <c r="B189" s="26">
        <v>188</v>
      </c>
      <c r="C189" s="26">
        <v>8</v>
      </c>
      <c r="D189" s="26">
        <v>383</v>
      </c>
      <c r="E189" s="26">
        <v>256</v>
      </c>
      <c r="F189" s="26">
        <v>1</v>
      </c>
      <c r="G189" s="26">
        <v>0</v>
      </c>
      <c r="H189" s="26">
        <v>0</v>
      </c>
      <c r="I189" s="26">
        <v>0</v>
      </c>
      <c r="J189" s="26">
        <v>1</v>
      </c>
      <c r="K189" s="26">
        <v>0</v>
      </c>
      <c r="L189" s="26">
        <v>0</v>
      </c>
      <c r="M189" s="26">
        <v>649</v>
      </c>
      <c r="N189" s="26">
        <v>0</v>
      </c>
      <c r="O189" s="26">
        <v>7</v>
      </c>
      <c r="P189" s="27">
        <v>656</v>
      </c>
      <c r="Q189" s="3">
        <v>0</v>
      </c>
      <c r="R189" s="3">
        <v>959</v>
      </c>
      <c r="S189" s="4">
        <v>188</v>
      </c>
      <c r="T189" s="4" t="s">
        <v>408</v>
      </c>
      <c r="U189" s="4" t="s">
        <v>409</v>
      </c>
    </row>
    <row r="190" spans="1:21">
      <c r="A190" s="26">
        <v>189</v>
      </c>
      <c r="B190" s="26">
        <v>189</v>
      </c>
      <c r="C190" s="26">
        <v>2</v>
      </c>
      <c r="D190" s="26">
        <v>497</v>
      </c>
      <c r="E190" s="26">
        <v>234</v>
      </c>
      <c r="F190" s="26">
        <v>4</v>
      </c>
      <c r="G190" s="26">
        <v>0</v>
      </c>
      <c r="H190" s="26">
        <v>1</v>
      </c>
      <c r="I190" s="26">
        <v>0</v>
      </c>
      <c r="J190" s="26">
        <v>2</v>
      </c>
      <c r="K190" s="26">
        <v>3</v>
      </c>
      <c r="L190" s="26">
        <v>3</v>
      </c>
      <c r="M190" s="26">
        <v>746</v>
      </c>
      <c r="N190" s="26">
        <v>0</v>
      </c>
      <c r="O190" s="26">
        <v>9</v>
      </c>
      <c r="P190" s="27">
        <v>755</v>
      </c>
      <c r="Q190" s="3">
        <v>0</v>
      </c>
      <c r="R190" s="3">
        <v>974</v>
      </c>
      <c r="S190" s="4">
        <v>189</v>
      </c>
      <c r="T190" s="4" t="s">
        <v>410</v>
      </c>
      <c r="U190" s="4" t="s">
        <v>411</v>
      </c>
    </row>
    <row r="191" spans="1:21">
      <c r="A191" s="26">
        <v>190</v>
      </c>
      <c r="B191" s="26">
        <v>190</v>
      </c>
      <c r="C191" s="26">
        <v>2</v>
      </c>
      <c r="D191" s="26">
        <v>520</v>
      </c>
      <c r="E191" s="26">
        <v>310</v>
      </c>
      <c r="F191" s="26">
        <v>3</v>
      </c>
      <c r="G191" s="26">
        <v>1</v>
      </c>
      <c r="H191" s="26">
        <v>0</v>
      </c>
      <c r="I191" s="26">
        <v>0</v>
      </c>
      <c r="J191" s="26">
        <v>0</v>
      </c>
      <c r="K191" s="26">
        <v>1</v>
      </c>
      <c r="L191" s="26">
        <v>0</v>
      </c>
      <c r="M191" s="26">
        <v>837</v>
      </c>
      <c r="N191" s="26">
        <v>0</v>
      </c>
      <c r="O191" s="26">
        <v>7</v>
      </c>
      <c r="P191" s="27">
        <v>844</v>
      </c>
      <c r="Q191" s="3">
        <v>0</v>
      </c>
      <c r="R191" s="3">
        <v>1150</v>
      </c>
      <c r="S191" s="4">
        <v>190</v>
      </c>
      <c r="T191" s="4" t="s">
        <v>412</v>
      </c>
      <c r="U191" s="4" t="s">
        <v>413</v>
      </c>
    </row>
    <row r="192" spans="1:21">
      <c r="A192" s="26">
        <v>191</v>
      </c>
      <c r="B192" s="26">
        <v>191</v>
      </c>
      <c r="C192" s="26">
        <v>12</v>
      </c>
      <c r="D192" s="26">
        <v>560</v>
      </c>
      <c r="E192" s="26">
        <v>391</v>
      </c>
      <c r="F192" s="26">
        <v>4</v>
      </c>
      <c r="G192" s="26">
        <v>0</v>
      </c>
      <c r="H192" s="26">
        <v>0</v>
      </c>
      <c r="I192" s="26">
        <v>1</v>
      </c>
      <c r="J192" s="26">
        <v>3</v>
      </c>
      <c r="K192" s="26">
        <v>0</v>
      </c>
      <c r="L192" s="26">
        <v>2</v>
      </c>
      <c r="M192" s="26">
        <v>973</v>
      </c>
      <c r="N192" s="26">
        <v>0</v>
      </c>
      <c r="O192" s="26">
        <v>9</v>
      </c>
      <c r="P192" s="27">
        <v>982</v>
      </c>
      <c r="Q192" s="3">
        <v>0</v>
      </c>
      <c r="R192" s="3">
        <v>1267</v>
      </c>
      <c r="S192" s="4">
        <v>191</v>
      </c>
      <c r="T192" s="4" t="s">
        <v>414</v>
      </c>
      <c r="U192" s="4" t="s">
        <v>415</v>
      </c>
    </row>
    <row r="193" spans="1:21">
      <c r="A193" s="26">
        <v>192</v>
      </c>
      <c r="B193" s="26">
        <v>192</v>
      </c>
      <c r="C193" s="26">
        <v>11</v>
      </c>
      <c r="D193" s="26">
        <v>367</v>
      </c>
      <c r="E193" s="26">
        <v>380</v>
      </c>
      <c r="F193" s="26">
        <v>3</v>
      </c>
      <c r="G193" s="26">
        <v>0</v>
      </c>
      <c r="H193" s="26">
        <v>1</v>
      </c>
      <c r="I193" s="26">
        <v>0</v>
      </c>
      <c r="J193" s="26">
        <v>1</v>
      </c>
      <c r="K193" s="26">
        <v>3</v>
      </c>
      <c r="L193" s="26">
        <v>0</v>
      </c>
      <c r="M193" s="26">
        <v>766</v>
      </c>
      <c r="N193" s="26">
        <v>0</v>
      </c>
      <c r="O193" s="26">
        <v>2</v>
      </c>
      <c r="P193" s="27">
        <v>768</v>
      </c>
      <c r="Q193" s="3">
        <v>0</v>
      </c>
      <c r="R193" s="3">
        <v>1021</v>
      </c>
      <c r="S193" s="4">
        <v>192</v>
      </c>
      <c r="T193" s="4" t="s">
        <v>416</v>
      </c>
      <c r="U193" s="4" t="s">
        <v>417</v>
      </c>
    </row>
    <row r="194" spans="1:21">
      <c r="A194" s="26">
        <v>193</v>
      </c>
      <c r="B194" s="26">
        <v>193</v>
      </c>
      <c r="C194" s="26">
        <v>7</v>
      </c>
      <c r="D194" s="26">
        <v>442</v>
      </c>
      <c r="E194" s="26">
        <v>235</v>
      </c>
      <c r="F194" s="26">
        <v>3</v>
      </c>
      <c r="G194" s="26">
        <v>2</v>
      </c>
      <c r="H194" s="26">
        <v>0</v>
      </c>
      <c r="I194" s="26">
        <v>1</v>
      </c>
      <c r="J194" s="26">
        <v>0</v>
      </c>
      <c r="K194" s="26">
        <v>2</v>
      </c>
      <c r="L194" s="26">
        <v>4</v>
      </c>
      <c r="M194" s="26">
        <v>696</v>
      </c>
      <c r="N194" s="26">
        <v>0</v>
      </c>
      <c r="O194" s="26">
        <v>5</v>
      </c>
      <c r="P194" s="27">
        <v>701</v>
      </c>
      <c r="Q194" s="3">
        <v>0</v>
      </c>
      <c r="R194" s="3">
        <v>969</v>
      </c>
      <c r="S194" s="4">
        <v>193</v>
      </c>
      <c r="T194" s="4" t="s">
        <v>418</v>
      </c>
      <c r="U194" s="4" t="s">
        <v>419</v>
      </c>
    </row>
    <row r="195" spans="1:21">
      <c r="A195" s="26">
        <v>194</v>
      </c>
      <c r="B195" s="26">
        <v>194</v>
      </c>
      <c r="C195" s="26">
        <v>2</v>
      </c>
      <c r="D195" s="26">
        <v>382</v>
      </c>
      <c r="E195" s="26">
        <v>285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6">
        <v>1</v>
      </c>
      <c r="L195" s="26">
        <v>0</v>
      </c>
      <c r="M195" s="26">
        <v>670</v>
      </c>
      <c r="N195" s="26">
        <v>0</v>
      </c>
      <c r="O195" s="26">
        <v>14</v>
      </c>
      <c r="P195" s="27">
        <v>684</v>
      </c>
      <c r="Q195" s="3">
        <v>0</v>
      </c>
      <c r="R195" s="3">
        <v>987</v>
      </c>
      <c r="S195" s="4">
        <v>194</v>
      </c>
      <c r="T195" s="4" t="s">
        <v>420</v>
      </c>
      <c r="U195" s="4" t="s">
        <v>421</v>
      </c>
    </row>
    <row r="196" spans="1:21">
      <c r="A196" s="26">
        <v>195</v>
      </c>
      <c r="B196" s="26">
        <v>195</v>
      </c>
      <c r="C196" s="26">
        <v>1</v>
      </c>
      <c r="D196" s="26">
        <v>127</v>
      </c>
      <c r="E196" s="26">
        <v>111</v>
      </c>
      <c r="F196" s="26">
        <v>0</v>
      </c>
      <c r="G196" s="26">
        <v>1</v>
      </c>
      <c r="H196" s="26">
        <v>0</v>
      </c>
      <c r="I196" s="26">
        <v>0</v>
      </c>
      <c r="J196" s="26">
        <v>0</v>
      </c>
      <c r="K196" s="26">
        <v>1</v>
      </c>
      <c r="L196" s="26">
        <v>0</v>
      </c>
      <c r="M196" s="26">
        <v>241</v>
      </c>
      <c r="N196" s="26">
        <v>0</v>
      </c>
      <c r="O196" s="26">
        <v>1</v>
      </c>
      <c r="P196" s="27">
        <v>242</v>
      </c>
      <c r="Q196" s="3">
        <v>0</v>
      </c>
      <c r="R196" s="3">
        <v>442</v>
      </c>
      <c r="S196" s="4">
        <v>195</v>
      </c>
      <c r="T196" s="4" t="s">
        <v>422</v>
      </c>
      <c r="U196" s="4" t="s">
        <v>423</v>
      </c>
    </row>
    <row r="197" spans="1:21" ht="16">
      <c r="A197" s="26">
        <v>196</v>
      </c>
      <c r="B197" s="29" t="s">
        <v>27</v>
      </c>
      <c r="C197" s="26">
        <v>3</v>
      </c>
      <c r="D197" s="26">
        <v>492</v>
      </c>
      <c r="E197" s="26">
        <v>303</v>
      </c>
      <c r="F197" s="26">
        <v>3</v>
      </c>
      <c r="G197" s="26">
        <v>2</v>
      </c>
      <c r="H197" s="26">
        <v>2</v>
      </c>
      <c r="I197" s="26">
        <v>0</v>
      </c>
      <c r="J197" s="26">
        <v>2</v>
      </c>
      <c r="K197" s="26">
        <v>2</v>
      </c>
      <c r="L197" s="26">
        <v>0</v>
      </c>
      <c r="M197" s="26">
        <v>809</v>
      </c>
      <c r="N197" s="26">
        <v>0</v>
      </c>
      <c r="O197" s="26">
        <v>10</v>
      </c>
      <c r="P197" s="27">
        <v>819</v>
      </c>
      <c r="Q197" s="3">
        <v>0</v>
      </c>
      <c r="R197" s="3">
        <v>1226</v>
      </c>
      <c r="S197" s="4">
        <v>196</v>
      </c>
      <c r="T197" s="4" t="s">
        <v>424</v>
      </c>
      <c r="U197" s="4" t="s">
        <v>425</v>
      </c>
    </row>
    <row r="198" spans="1:21">
      <c r="A198" s="26">
        <v>197</v>
      </c>
      <c r="B198" s="26">
        <v>197</v>
      </c>
      <c r="C198" s="26">
        <v>4</v>
      </c>
      <c r="D198" s="26">
        <v>315</v>
      </c>
      <c r="E198" s="26">
        <v>229</v>
      </c>
      <c r="F198" s="26">
        <v>1</v>
      </c>
      <c r="G198" s="26">
        <v>0</v>
      </c>
      <c r="H198" s="26">
        <v>0</v>
      </c>
      <c r="I198" s="26">
        <v>1</v>
      </c>
      <c r="J198" s="26">
        <v>1</v>
      </c>
      <c r="K198" s="26">
        <v>0</v>
      </c>
      <c r="L198" s="26">
        <v>2</v>
      </c>
      <c r="M198" s="26">
        <v>553</v>
      </c>
      <c r="N198" s="26">
        <v>0</v>
      </c>
      <c r="O198" s="26">
        <v>5</v>
      </c>
      <c r="P198" s="27">
        <v>558</v>
      </c>
      <c r="Q198" s="3">
        <v>0</v>
      </c>
      <c r="R198" s="3">
        <v>832</v>
      </c>
      <c r="S198" s="4">
        <v>197</v>
      </c>
      <c r="T198" s="4" t="s">
        <v>426</v>
      </c>
      <c r="U198" s="4" t="s">
        <v>427</v>
      </c>
    </row>
    <row r="199" spans="1:21">
      <c r="A199" s="26">
        <v>198</v>
      </c>
      <c r="B199" s="26">
        <v>198</v>
      </c>
      <c r="C199" s="26">
        <v>1</v>
      </c>
      <c r="D199" s="26">
        <v>332</v>
      </c>
      <c r="E199" s="26">
        <v>218</v>
      </c>
      <c r="F199" s="26">
        <v>2</v>
      </c>
      <c r="G199" s="26">
        <v>1</v>
      </c>
      <c r="H199" s="26">
        <v>0</v>
      </c>
      <c r="I199" s="26">
        <v>1</v>
      </c>
      <c r="J199" s="26">
        <v>1</v>
      </c>
      <c r="K199" s="26">
        <v>6</v>
      </c>
      <c r="L199" s="26">
        <v>0</v>
      </c>
      <c r="M199" s="26">
        <v>562</v>
      </c>
      <c r="N199" s="26">
        <v>0</v>
      </c>
      <c r="O199" s="26">
        <v>9</v>
      </c>
      <c r="P199" s="27">
        <v>571</v>
      </c>
      <c r="Q199" s="3">
        <v>0</v>
      </c>
      <c r="R199" s="3">
        <v>766</v>
      </c>
      <c r="S199" s="4">
        <v>198</v>
      </c>
      <c r="T199" s="4" t="s">
        <v>428</v>
      </c>
      <c r="U199" s="4" t="s">
        <v>429</v>
      </c>
    </row>
    <row r="200" spans="1:21">
      <c r="A200" s="26">
        <v>199</v>
      </c>
      <c r="B200" s="26">
        <v>199</v>
      </c>
      <c r="C200" s="26">
        <v>2</v>
      </c>
      <c r="D200" s="26">
        <v>465</v>
      </c>
      <c r="E200" s="26">
        <v>327</v>
      </c>
      <c r="F200" s="26">
        <v>5</v>
      </c>
      <c r="G200" s="26">
        <v>0</v>
      </c>
      <c r="H200" s="26">
        <v>1</v>
      </c>
      <c r="I200" s="26">
        <v>0</v>
      </c>
      <c r="J200" s="26">
        <v>0</v>
      </c>
      <c r="K200" s="26">
        <v>1</v>
      </c>
      <c r="L200" s="26">
        <v>4</v>
      </c>
      <c r="M200" s="26">
        <v>805</v>
      </c>
      <c r="N200" s="26">
        <v>0</v>
      </c>
      <c r="O200" s="26">
        <v>10</v>
      </c>
      <c r="P200" s="27">
        <v>815</v>
      </c>
      <c r="Q200" s="3">
        <v>0</v>
      </c>
      <c r="R200" s="3">
        <v>1061</v>
      </c>
      <c r="S200" s="4">
        <v>199</v>
      </c>
      <c r="T200" s="4" t="s">
        <v>430</v>
      </c>
      <c r="U200" s="4" t="s">
        <v>431</v>
      </c>
    </row>
    <row r="201" spans="1:21">
      <c r="A201" s="26">
        <v>200</v>
      </c>
      <c r="B201" s="26">
        <v>200</v>
      </c>
      <c r="C201" s="26">
        <v>2</v>
      </c>
      <c r="D201" s="26">
        <v>409</v>
      </c>
      <c r="E201" s="26">
        <v>289</v>
      </c>
      <c r="F201" s="26">
        <v>2</v>
      </c>
      <c r="G201" s="26">
        <v>1</v>
      </c>
      <c r="H201" s="26">
        <v>1</v>
      </c>
      <c r="I201" s="26">
        <v>1</v>
      </c>
      <c r="J201" s="26">
        <v>2</v>
      </c>
      <c r="K201" s="26">
        <v>1</v>
      </c>
      <c r="L201" s="26">
        <v>2</v>
      </c>
      <c r="M201" s="26">
        <v>710</v>
      </c>
      <c r="N201" s="26">
        <v>0</v>
      </c>
      <c r="O201" s="26">
        <v>12</v>
      </c>
      <c r="P201" s="27">
        <v>722</v>
      </c>
      <c r="Q201" s="3">
        <v>0</v>
      </c>
      <c r="R201" s="3">
        <v>1224</v>
      </c>
      <c r="S201" s="4">
        <v>200</v>
      </c>
      <c r="T201" s="4" t="s">
        <v>432</v>
      </c>
      <c r="U201" s="4" t="s">
        <v>433</v>
      </c>
    </row>
    <row r="202" spans="1:21">
      <c r="A202" s="26">
        <v>201</v>
      </c>
      <c r="B202" s="26">
        <v>201</v>
      </c>
      <c r="C202" s="26">
        <v>4</v>
      </c>
      <c r="D202" s="26">
        <v>194</v>
      </c>
      <c r="E202" s="26">
        <v>243</v>
      </c>
      <c r="F202" s="26">
        <v>0</v>
      </c>
      <c r="G202" s="26">
        <v>0</v>
      </c>
      <c r="H202" s="26">
        <v>0</v>
      </c>
      <c r="I202" s="26">
        <v>0</v>
      </c>
      <c r="J202" s="26">
        <v>0</v>
      </c>
      <c r="K202" s="26">
        <v>1</v>
      </c>
      <c r="L202" s="26">
        <v>0</v>
      </c>
      <c r="M202" s="26">
        <v>442</v>
      </c>
      <c r="N202" s="26">
        <v>0</v>
      </c>
      <c r="O202" s="26">
        <v>1</v>
      </c>
      <c r="P202" s="27">
        <v>443</v>
      </c>
      <c r="Q202" s="3">
        <v>0</v>
      </c>
      <c r="R202" s="3">
        <v>716</v>
      </c>
      <c r="S202" s="4">
        <v>201</v>
      </c>
      <c r="T202" s="4" t="s">
        <v>434</v>
      </c>
      <c r="U202" s="4" t="s">
        <v>435</v>
      </c>
    </row>
    <row r="203" spans="1:21">
      <c r="A203" s="26">
        <v>202</v>
      </c>
      <c r="B203" s="26">
        <v>202</v>
      </c>
      <c r="C203" s="26">
        <v>2</v>
      </c>
      <c r="D203" s="26">
        <v>232</v>
      </c>
      <c r="E203" s="26">
        <v>164</v>
      </c>
      <c r="F203" s="26">
        <v>1</v>
      </c>
      <c r="G203" s="26">
        <v>0</v>
      </c>
      <c r="H203" s="26">
        <v>0</v>
      </c>
      <c r="I203" s="26">
        <v>0</v>
      </c>
      <c r="J203" s="26">
        <v>0</v>
      </c>
      <c r="K203" s="26">
        <v>10</v>
      </c>
      <c r="L203" s="26">
        <v>2</v>
      </c>
      <c r="M203" s="26">
        <v>411</v>
      </c>
      <c r="N203" s="26">
        <v>0</v>
      </c>
      <c r="O203" s="26">
        <v>5</v>
      </c>
      <c r="P203" s="27">
        <v>416</v>
      </c>
      <c r="Q203" s="3">
        <v>0</v>
      </c>
      <c r="R203" s="3">
        <v>689</v>
      </c>
      <c r="S203" s="4">
        <v>202</v>
      </c>
      <c r="T203" s="4" t="s">
        <v>436</v>
      </c>
      <c r="U203" s="4" t="s">
        <v>437</v>
      </c>
    </row>
    <row r="204" spans="1:21">
      <c r="A204" s="26">
        <v>203</v>
      </c>
      <c r="B204" s="26">
        <v>203</v>
      </c>
      <c r="C204" s="26">
        <v>3</v>
      </c>
      <c r="D204" s="26">
        <v>506</v>
      </c>
      <c r="E204" s="26">
        <v>264</v>
      </c>
      <c r="F204" s="26">
        <v>6</v>
      </c>
      <c r="G204" s="26">
        <v>0</v>
      </c>
      <c r="H204" s="26">
        <v>1</v>
      </c>
      <c r="I204" s="26">
        <v>1</v>
      </c>
      <c r="J204" s="26">
        <v>0</v>
      </c>
      <c r="K204" s="26">
        <v>4</v>
      </c>
      <c r="L204" s="26">
        <v>3</v>
      </c>
      <c r="M204" s="26">
        <v>788</v>
      </c>
      <c r="N204" s="26">
        <v>0</v>
      </c>
      <c r="O204" s="26">
        <v>5</v>
      </c>
      <c r="P204" s="27">
        <v>793</v>
      </c>
      <c r="Q204" s="3">
        <v>0</v>
      </c>
      <c r="R204" s="3">
        <v>1180</v>
      </c>
      <c r="S204" s="4">
        <v>203</v>
      </c>
      <c r="T204" s="4" t="s">
        <v>438</v>
      </c>
      <c r="U204" s="4" t="s">
        <v>439</v>
      </c>
    </row>
    <row r="205" spans="1:21">
      <c r="A205" s="26">
        <v>204</v>
      </c>
      <c r="B205" s="26">
        <v>204</v>
      </c>
      <c r="C205" s="26">
        <v>5</v>
      </c>
      <c r="D205" s="26">
        <v>621</v>
      </c>
      <c r="E205" s="26">
        <v>427</v>
      </c>
      <c r="F205" s="26">
        <v>1</v>
      </c>
      <c r="G205" s="26">
        <v>1</v>
      </c>
      <c r="H205" s="26">
        <v>0</v>
      </c>
      <c r="I205" s="26">
        <v>1</v>
      </c>
      <c r="J205" s="26">
        <v>1</v>
      </c>
      <c r="K205" s="26">
        <v>1</v>
      </c>
      <c r="L205" s="26">
        <v>0</v>
      </c>
      <c r="M205" s="26">
        <v>1058</v>
      </c>
      <c r="N205" s="26">
        <v>0</v>
      </c>
      <c r="O205" s="26">
        <v>6</v>
      </c>
      <c r="P205" s="27">
        <v>1064</v>
      </c>
      <c r="Q205" s="3">
        <v>0</v>
      </c>
      <c r="R205" s="3">
        <v>1485</v>
      </c>
      <c r="S205" s="4">
        <v>204</v>
      </c>
      <c r="T205" s="4" t="s">
        <v>440</v>
      </c>
      <c r="U205" s="4" t="s">
        <v>441</v>
      </c>
    </row>
    <row r="206" spans="1:21">
      <c r="A206" s="26">
        <v>205</v>
      </c>
      <c r="B206" s="26">
        <v>205</v>
      </c>
      <c r="C206" s="26">
        <v>10</v>
      </c>
      <c r="D206" s="26">
        <v>353</v>
      </c>
      <c r="E206" s="26">
        <v>186</v>
      </c>
      <c r="F206" s="26">
        <v>3</v>
      </c>
      <c r="G206" s="26">
        <v>0</v>
      </c>
      <c r="H206" s="26">
        <v>2</v>
      </c>
      <c r="I206" s="26">
        <v>0</v>
      </c>
      <c r="J206" s="26">
        <v>3</v>
      </c>
      <c r="K206" s="26">
        <v>1</v>
      </c>
      <c r="L206" s="26">
        <v>1</v>
      </c>
      <c r="M206" s="26">
        <v>559</v>
      </c>
      <c r="N206" s="26">
        <v>0</v>
      </c>
      <c r="O206" s="26">
        <v>6</v>
      </c>
      <c r="P206" s="27">
        <v>565</v>
      </c>
      <c r="Q206" s="3">
        <v>0</v>
      </c>
      <c r="R206" s="3">
        <v>821</v>
      </c>
      <c r="S206" s="4">
        <v>205</v>
      </c>
      <c r="T206" s="4" t="s">
        <v>442</v>
      </c>
      <c r="U206" s="4" t="s">
        <v>443</v>
      </c>
    </row>
    <row r="207" spans="1:21">
      <c r="A207" s="26">
        <v>206</v>
      </c>
      <c r="B207" s="26">
        <v>206</v>
      </c>
      <c r="C207" s="26">
        <v>4</v>
      </c>
      <c r="D207" s="26">
        <v>407</v>
      </c>
      <c r="E207" s="26">
        <v>259</v>
      </c>
      <c r="F207" s="26">
        <v>1</v>
      </c>
      <c r="G207" s="26">
        <v>2</v>
      </c>
      <c r="H207" s="26">
        <v>4</v>
      </c>
      <c r="I207" s="26">
        <v>0</v>
      </c>
      <c r="J207" s="26">
        <v>2</v>
      </c>
      <c r="K207" s="26">
        <v>1</v>
      </c>
      <c r="L207" s="26">
        <v>3</v>
      </c>
      <c r="M207" s="26">
        <v>683</v>
      </c>
      <c r="N207" s="26">
        <v>0</v>
      </c>
      <c r="O207" s="26">
        <v>6</v>
      </c>
      <c r="P207" s="27">
        <v>689</v>
      </c>
      <c r="Q207" s="3">
        <v>0</v>
      </c>
      <c r="R207" s="3">
        <v>937</v>
      </c>
      <c r="S207" s="4">
        <v>206</v>
      </c>
      <c r="T207" s="4" t="s">
        <v>444</v>
      </c>
      <c r="U207" s="4" t="s">
        <v>445</v>
      </c>
    </row>
    <row r="208" spans="1:21">
      <c r="A208" s="26">
        <v>207</v>
      </c>
      <c r="B208" s="26">
        <v>207</v>
      </c>
      <c r="C208" s="26">
        <v>2</v>
      </c>
      <c r="D208" s="26">
        <v>480</v>
      </c>
      <c r="E208" s="26">
        <v>260</v>
      </c>
      <c r="F208" s="26">
        <v>2</v>
      </c>
      <c r="G208" s="26">
        <v>1</v>
      </c>
      <c r="H208" s="26">
        <v>1</v>
      </c>
      <c r="I208" s="26">
        <v>0</v>
      </c>
      <c r="J208" s="26">
        <v>3</v>
      </c>
      <c r="K208" s="26">
        <v>1</v>
      </c>
      <c r="L208" s="26">
        <v>1</v>
      </c>
      <c r="M208" s="26">
        <v>751</v>
      </c>
      <c r="N208" s="26">
        <v>0</v>
      </c>
      <c r="O208" s="26">
        <v>8</v>
      </c>
      <c r="P208" s="27">
        <v>759</v>
      </c>
      <c r="Q208" s="3">
        <v>0</v>
      </c>
      <c r="R208" s="3">
        <v>1021</v>
      </c>
      <c r="S208" s="4">
        <v>207</v>
      </c>
      <c r="T208" s="4" t="s">
        <v>446</v>
      </c>
      <c r="U208" s="4" t="s">
        <v>447</v>
      </c>
    </row>
    <row r="209" spans="1:21">
      <c r="A209" s="26">
        <v>208</v>
      </c>
      <c r="B209" s="26">
        <v>208</v>
      </c>
      <c r="C209" s="26">
        <v>5</v>
      </c>
      <c r="D209" s="26">
        <v>490</v>
      </c>
      <c r="E209" s="26">
        <v>231</v>
      </c>
      <c r="F209" s="26">
        <v>1</v>
      </c>
      <c r="G209" s="26">
        <v>0</v>
      </c>
      <c r="H209" s="26">
        <v>0</v>
      </c>
      <c r="I209" s="26">
        <v>0</v>
      </c>
      <c r="J209" s="26">
        <v>0</v>
      </c>
      <c r="K209" s="26">
        <v>1</v>
      </c>
      <c r="L209" s="26">
        <v>0</v>
      </c>
      <c r="M209" s="26">
        <v>728</v>
      </c>
      <c r="N209" s="26">
        <v>0</v>
      </c>
      <c r="O209" s="26">
        <v>5</v>
      </c>
      <c r="P209" s="27">
        <v>733</v>
      </c>
      <c r="Q209" s="3">
        <v>0</v>
      </c>
      <c r="R209" s="3">
        <v>1131</v>
      </c>
      <c r="S209" s="4">
        <v>208</v>
      </c>
      <c r="T209" s="4" t="s">
        <v>448</v>
      </c>
      <c r="U209" s="4" t="s">
        <v>449</v>
      </c>
    </row>
    <row r="210" spans="1:21">
      <c r="A210" s="26">
        <v>209</v>
      </c>
      <c r="B210" s="26">
        <v>209</v>
      </c>
      <c r="C210" s="26">
        <v>3</v>
      </c>
      <c r="D210" s="26">
        <v>437</v>
      </c>
      <c r="E210" s="26">
        <v>298</v>
      </c>
      <c r="F210" s="26">
        <v>4</v>
      </c>
      <c r="G210" s="26">
        <v>0</v>
      </c>
      <c r="H210" s="26">
        <v>1</v>
      </c>
      <c r="I210" s="26">
        <v>0</v>
      </c>
      <c r="J210" s="26">
        <v>3</v>
      </c>
      <c r="K210" s="26">
        <v>2</v>
      </c>
      <c r="L210" s="26">
        <v>1</v>
      </c>
      <c r="M210" s="26">
        <v>749</v>
      </c>
      <c r="N210" s="26">
        <v>0</v>
      </c>
      <c r="O210" s="26">
        <v>8</v>
      </c>
      <c r="P210" s="27">
        <v>757</v>
      </c>
      <c r="Q210" s="3">
        <v>0</v>
      </c>
      <c r="R210" s="3">
        <v>1286</v>
      </c>
      <c r="S210" s="4">
        <v>209</v>
      </c>
      <c r="T210" s="4" t="s">
        <v>450</v>
      </c>
      <c r="U210" s="4" t="s">
        <v>451</v>
      </c>
    </row>
    <row r="211" spans="1:21">
      <c r="A211" s="26">
        <v>210</v>
      </c>
      <c r="B211" s="26">
        <v>210</v>
      </c>
      <c r="C211" s="26">
        <v>5</v>
      </c>
      <c r="D211" s="26">
        <v>419</v>
      </c>
      <c r="E211" s="26">
        <v>295</v>
      </c>
      <c r="F211" s="26">
        <v>4</v>
      </c>
      <c r="G211" s="26">
        <v>0</v>
      </c>
      <c r="H211" s="26">
        <v>2</v>
      </c>
      <c r="I211" s="26">
        <v>0</v>
      </c>
      <c r="J211" s="26">
        <v>1</v>
      </c>
      <c r="K211" s="26">
        <v>1</v>
      </c>
      <c r="L211" s="26">
        <v>0</v>
      </c>
      <c r="M211" s="26">
        <v>727</v>
      </c>
      <c r="N211" s="26">
        <v>0</v>
      </c>
      <c r="O211" s="26">
        <v>4</v>
      </c>
      <c r="P211" s="27">
        <v>731</v>
      </c>
      <c r="Q211" s="3">
        <v>0</v>
      </c>
      <c r="R211" s="3">
        <v>1128</v>
      </c>
      <c r="S211" s="4">
        <v>210</v>
      </c>
      <c r="T211" s="4" t="s">
        <v>452</v>
      </c>
      <c r="U211" s="4" t="s">
        <v>453</v>
      </c>
    </row>
    <row r="212" spans="1:21">
      <c r="A212" s="26">
        <v>211</v>
      </c>
      <c r="B212" s="26">
        <v>211</v>
      </c>
      <c r="C212" s="26">
        <v>10</v>
      </c>
      <c r="D212" s="26">
        <v>313</v>
      </c>
      <c r="E212" s="26">
        <v>169</v>
      </c>
      <c r="F212" s="26">
        <v>0</v>
      </c>
      <c r="G212" s="26">
        <v>0</v>
      </c>
      <c r="H212" s="26">
        <v>0</v>
      </c>
      <c r="I212" s="26">
        <v>0</v>
      </c>
      <c r="J212" s="26">
        <v>0</v>
      </c>
      <c r="K212" s="26">
        <v>1</v>
      </c>
      <c r="L212" s="26">
        <v>1</v>
      </c>
      <c r="M212" s="26">
        <v>494</v>
      </c>
      <c r="N212" s="26">
        <v>0</v>
      </c>
      <c r="O212" s="26">
        <v>9</v>
      </c>
      <c r="P212" s="27">
        <v>503</v>
      </c>
      <c r="Q212" s="3">
        <v>0</v>
      </c>
      <c r="R212" s="3">
        <v>767</v>
      </c>
      <c r="S212" s="4">
        <v>211</v>
      </c>
      <c r="T212" s="4" t="s">
        <v>454</v>
      </c>
      <c r="U212" s="4" t="s">
        <v>455</v>
      </c>
    </row>
    <row r="213" spans="1:21">
      <c r="A213" s="26">
        <v>212</v>
      </c>
      <c r="B213" s="26">
        <v>212</v>
      </c>
      <c r="C213" s="26">
        <v>0</v>
      </c>
      <c r="D213" s="26">
        <v>281</v>
      </c>
      <c r="E213" s="26">
        <v>215</v>
      </c>
      <c r="F213" s="26">
        <v>0</v>
      </c>
      <c r="G213" s="26">
        <v>0</v>
      </c>
      <c r="H213" s="26">
        <v>0</v>
      </c>
      <c r="I213" s="26">
        <v>0</v>
      </c>
      <c r="J213" s="26">
        <v>0</v>
      </c>
      <c r="K213" s="26">
        <v>2</v>
      </c>
      <c r="L213" s="26">
        <v>0</v>
      </c>
      <c r="M213" s="26">
        <v>498</v>
      </c>
      <c r="N213" s="26">
        <v>0</v>
      </c>
      <c r="O213" s="26">
        <v>2</v>
      </c>
      <c r="P213" s="27">
        <v>500</v>
      </c>
      <c r="Q213" s="3">
        <v>0</v>
      </c>
      <c r="R213" s="3">
        <v>807</v>
      </c>
      <c r="S213" s="4">
        <v>212</v>
      </c>
      <c r="T213" s="4" t="s">
        <v>456</v>
      </c>
      <c r="U213" s="4" t="s">
        <v>457</v>
      </c>
    </row>
    <row r="214" spans="1:21">
      <c r="A214" s="26">
        <v>213</v>
      </c>
      <c r="B214" s="26">
        <v>213</v>
      </c>
      <c r="C214" s="26">
        <v>1</v>
      </c>
      <c r="D214" s="26">
        <v>314</v>
      </c>
      <c r="E214" s="26">
        <v>269</v>
      </c>
      <c r="F214" s="26">
        <v>3</v>
      </c>
      <c r="G214" s="26">
        <v>0</v>
      </c>
      <c r="H214" s="26">
        <v>0</v>
      </c>
      <c r="I214" s="26">
        <v>0</v>
      </c>
      <c r="J214" s="26">
        <v>0</v>
      </c>
      <c r="K214" s="26">
        <v>1</v>
      </c>
      <c r="L214" s="26">
        <v>0</v>
      </c>
      <c r="M214" s="26">
        <v>588</v>
      </c>
      <c r="N214" s="26">
        <v>0</v>
      </c>
      <c r="O214" s="26">
        <v>2</v>
      </c>
      <c r="P214" s="27">
        <v>590</v>
      </c>
      <c r="Q214" s="3">
        <v>0</v>
      </c>
      <c r="R214" s="3">
        <v>837</v>
      </c>
      <c r="S214" s="4">
        <v>213</v>
      </c>
      <c r="T214" s="4" t="s">
        <v>458</v>
      </c>
      <c r="U214" s="4" t="s">
        <v>459</v>
      </c>
    </row>
    <row r="215" spans="1:21">
      <c r="A215" s="26">
        <v>214</v>
      </c>
      <c r="B215" s="26">
        <v>214</v>
      </c>
      <c r="C215" s="26">
        <v>0</v>
      </c>
      <c r="D215" s="26">
        <v>319</v>
      </c>
      <c r="E215" s="26">
        <v>380</v>
      </c>
      <c r="F215" s="26">
        <v>1</v>
      </c>
      <c r="G215" s="26">
        <v>0</v>
      </c>
      <c r="H215" s="26">
        <v>0</v>
      </c>
      <c r="I215" s="26">
        <v>0</v>
      </c>
      <c r="J215" s="26">
        <v>3</v>
      </c>
      <c r="K215" s="26">
        <v>2</v>
      </c>
      <c r="L215" s="26">
        <v>0</v>
      </c>
      <c r="M215" s="26">
        <v>705</v>
      </c>
      <c r="N215" s="26">
        <v>0</v>
      </c>
      <c r="O215" s="26">
        <v>3</v>
      </c>
      <c r="P215" s="27">
        <v>708</v>
      </c>
      <c r="Q215" s="3">
        <v>0</v>
      </c>
      <c r="R215" s="3">
        <v>964</v>
      </c>
      <c r="S215" s="4">
        <v>214</v>
      </c>
      <c r="T215" s="4" t="s">
        <v>460</v>
      </c>
      <c r="U215" s="4" t="s">
        <v>461</v>
      </c>
    </row>
    <row r="216" spans="1:21">
      <c r="A216" s="26">
        <v>215</v>
      </c>
      <c r="B216" s="26">
        <v>215</v>
      </c>
      <c r="C216" s="26">
        <v>2</v>
      </c>
      <c r="D216" s="26">
        <v>279</v>
      </c>
      <c r="E216" s="26">
        <v>258</v>
      </c>
      <c r="F216" s="26">
        <v>0</v>
      </c>
      <c r="G216" s="26">
        <v>0</v>
      </c>
      <c r="H216" s="26">
        <v>1</v>
      </c>
      <c r="I216" s="26">
        <v>0</v>
      </c>
      <c r="J216" s="26">
        <v>0</v>
      </c>
      <c r="K216" s="26">
        <v>0</v>
      </c>
      <c r="L216" s="26">
        <v>0</v>
      </c>
      <c r="M216" s="26">
        <v>540</v>
      </c>
      <c r="N216" s="26">
        <v>0</v>
      </c>
      <c r="O216" s="26">
        <v>15</v>
      </c>
      <c r="P216" s="27">
        <v>555</v>
      </c>
      <c r="Q216" s="3">
        <v>0</v>
      </c>
      <c r="R216" s="3">
        <v>769</v>
      </c>
      <c r="S216" s="4">
        <v>215</v>
      </c>
      <c r="T216" s="4" t="s">
        <v>462</v>
      </c>
      <c r="U216" s="4" t="s">
        <v>463</v>
      </c>
    </row>
    <row r="217" spans="1:21">
      <c r="A217" s="26">
        <v>216</v>
      </c>
      <c r="B217" s="26">
        <v>216</v>
      </c>
      <c r="C217" s="26">
        <v>1</v>
      </c>
      <c r="D217" s="26">
        <v>278</v>
      </c>
      <c r="E217" s="26">
        <v>169</v>
      </c>
      <c r="F217" s="26">
        <v>0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448</v>
      </c>
      <c r="N217" s="26">
        <v>0</v>
      </c>
      <c r="O217" s="26">
        <v>5</v>
      </c>
      <c r="P217" s="27">
        <v>453</v>
      </c>
      <c r="Q217" s="3">
        <v>0</v>
      </c>
      <c r="R217" s="3">
        <v>646</v>
      </c>
      <c r="S217" s="4">
        <v>216</v>
      </c>
      <c r="T217" s="4" t="s">
        <v>464</v>
      </c>
      <c r="U217" s="4" t="s">
        <v>465</v>
      </c>
    </row>
    <row r="218" spans="1:21">
      <c r="A218" s="26">
        <v>217</v>
      </c>
      <c r="B218" s="26">
        <v>217</v>
      </c>
      <c r="C218" s="26">
        <v>2</v>
      </c>
      <c r="D218" s="26">
        <v>290</v>
      </c>
      <c r="E218" s="26">
        <v>247</v>
      </c>
      <c r="F218" s="26">
        <v>1</v>
      </c>
      <c r="G218" s="26">
        <v>0</v>
      </c>
      <c r="H218" s="26">
        <v>1</v>
      </c>
      <c r="I218" s="26">
        <v>0</v>
      </c>
      <c r="J218" s="26">
        <v>0</v>
      </c>
      <c r="K218" s="26">
        <v>0</v>
      </c>
      <c r="L218" s="26">
        <v>0</v>
      </c>
      <c r="M218" s="26">
        <v>541</v>
      </c>
      <c r="N218" s="26">
        <v>0</v>
      </c>
      <c r="O218" s="26">
        <v>8</v>
      </c>
      <c r="P218" s="27">
        <v>549</v>
      </c>
      <c r="Q218" s="3">
        <v>0</v>
      </c>
      <c r="R218" s="3">
        <v>780</v>
      </c>
      <c r="S218" s="4">
        <v>217</v>
      </c>
      <c r="T218" s="4" t="s">
        <v>466</v>
      </c>
      <c r="U218" s="4" t="s">
        <v>467</v>
      </c>
    </row>
    <row r="219" spans="1:21">
      <c r="A219" s="26">
        <v>218</v>
      </c>
      <c r="B219" s="26">
        <v>218</v>
      </c>
      <c r="C219" s="26">
        <v>3</v>
      </c>
      <c r="D219" s="26">
        <v>235</v>
      </c>
      <c r="E219" s="26">
        <v>125</v>
      </c>
      <c r="F219" s="26">
        <v>1</v>
      </c>
      <c r="G219" s="26">
        <v>0</v>
      </c>
      <c r="H219" s="26">
        <v>0</v>
      </c>
      <c r="I219" s="26">
        <v>0</v>
      </c>
      <c r="J219" s="26">
        <v>0</v>
      </c>
      <c r="K219" s="26">
        <v>2</v>
      </c>
      <c r="L219" s="26">
        <v>0</v>
      </c>
      <c r="M219" s="26">
        <v>366</v>
      </c>
      <c r="N219" s="26">
        <v>0</v>
      </c>
      <c r="O219" s="26">
        <v>4</v>
      </c>
      <c r="P219" s="27">
        <v>370</v>
      </c>
      <c r="Q219" s="3">
        <v>0</v>
      </c>
      <c r="R219" s="3">
        <v>533</v>
      </c>
      <c r="S219" s="4">
        <v>218</v>
      </c>
      <c r="T219" s="4" t="s">
        <v>468</v>
      </c>
      <c r="U219" s="4" t="s">
        <v>469</v>
      </c>
    </row>
    <row r="220" spans="1:21">
      <c r="A220" s="26">
        <v>219</v>
      </c>
      <c r="B220" s="26">
        <v>219</v>
      </c>
      <c r="C220" s="26">
        <v>6</v>
      </c>
      <c r="D220" s="26">
        <v>378</v>
      </c>
      <c r="E220" s="26">
        <v>309</v>
      </c>
      <c r="F220" s="26">
        <v>1</v>
      </c>
      <c r="G220" s="26">
        <v>0</v>
      </c>
      <c r="H220" s="26">
        <v>0</v>
      </c>
      <c r="I220" s="26">
        <v>0</v>
      </c>
      <c r="J220" s="26">
        <v>0</v>
      </c>
      <c r="K220" s="26">
        <v>0</v>
      </c>
      <c r="L220" s="26">
        <v>1</v>
      </c>
      <c r="M220" s="26">
        <v>695</v>
      </c>
      <c r="N220" s="26">
        <v>0</v>
      </c>
      <c r="O220" s="26">
        <v>14</v>
      </c>
      <c r="P220" s="27">
        <v>709</v>
      </c>
      <c r="Q220" s="3">
        <v>0</v>
      </c>
      <c r="R220" s="3">
        <v>1114</v>
      </c>
      <c r="S220" s="4">
        <v>219</v>
      </c>
      <c r="T220" s="4" t="s">
        <v>470</v>
      </c>
      <c r="U220" s="4" t="s">
        <v>471</v>
      </c>
    </row>
    <row r="221" spans="1:21">
      <c r="A221" s="26">
        <v>220</v>
      </c>
      <c r="B221" s="26">
        <v>220</v>
      </c>
      <c r="C221" s="26">
        <v>5</v>
      </c>
      <c r="D221" s="26">
        <v>320</v>
      </c>
      <c r="E221" s="26">
        <v>287</v>
      </c>
      <c r="F221" s="26">
        <v>1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0</v>
      </c>
      <c r="M221" s="26">
        <v>613</v>
      </c>
      <c r="N221" s="26">
        <v>0</v>
      </c>
      <c r="O221" s="26">
        <v>13</v>
      </c>
      <c r="P221" s="27">
        <v>626</v>
      </c>
      <c r="Q221" s="3">
        <v>0</v>
      </c>
      <c r="R221" s="3">
        <v>891</v>
      </c>
      <c r="S221" s="4">
        <v>220</v>
      </c>
      <c r="T221" s="4" t="s">
        <v>472</v>
      </c>
      <c r="U221" s="4" t="s">
        <v>473</v>
      </c>
    </row>
    <row r="222" spans="1:21">
      <c r="A222" s="26">
        <v>221</v>
      </c>
      <c r="B222" s="26">
        <v>221</v>
      </c>
      <c r="C222" s="26">
        <v>5</v>
      </c>
      <c r="D222" s="26">
        <v>445</v>
      </c>
      <c r="E222" s="26">
        <v>255</v>
      </c>
      <c r="F222" s="26">
        <v>4</v>
      </c>
      <c r="G222" s="26">
        <v>0</v>
      </c>
      <c r="H222" s="26">
        <v>0</v>
      </c>
      <c r="I222" s="26">
        <v>0</v>
      </c>
      <c r="J222" s="26">
        <v>1</v>
      </c>
      <c r="K222" s="26">
        <v>0</v>
      </c>
      <c r="L222" s="26">
        <v>1</v>
      </c>
      <c r="M222" s="26">
        <v>711</v>
      </c>
      <c r="N222" s="26">
        <v>0</v>
      </c>
      <c r="O222" s="26">
        <v>10</v>
      </c>
      <c r="P222" s="27">
        <v>721</v>
      </c>
      <c r="Q222" s="3">
        <v>0</v>
      </c>
      <c r="R222" s="3">
        <v>975</v>
      </c>
      <c r="S222" s="4">
        <v>221</v>
      </c>
      <c r="T222" s="4" t="s">
        <v>474</v>
      </c>
      <c r="U222" s="4" t="s">
        <v>475</v>
      </c>
    </row>
    <row r="223" spans="1:21">
      <c r="A223" s="26">
        <v>222</v>
      </c>
      <c r="B223" s="26">
        <v>222</v>
      </c>
      <c r="C223" s="26">
        <v>1</v>
      </c>
      <c r="D223" s="26">
        <v>239</v>
      </c>
      <c r="E223" s="26">
        <v>236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2</v>
      </c>
      <c r="M223" s="26">
        <v>478</v>
      </c>
      <c r="N223" s="26">
        <v>0</v>
      </c>
      <c r="O223" s="26">
        <v>8</v>
      </c>
      <c r="P223" s="27">
        <v>486</v>
      </c>
      <c r="Q223" s="3">
        <v>0</v>
      </c>
      <c r="R223" s="3">
        <v>683</v>
      </c>
      <c r="S223" s="4">
        <v>222</v>
      </c>
      <c r="T223" s="4" t="s">
        <v>476</v>
      </c>
      <c r="U223" s="4" t="s">
        <v>477</v>
      </c>
    </row>
    <row r="224" spans="1:21">
      <c r="A224" s="26">
        <v>223</v>
      </c>
      <c r="B224" s="26">
        <v>223</v>
      </c>
      <c r="C224" s="26">
        <v>3</v>
      </c>
      <c r="D224" s="26">
        <v>496</v>
      </c>
      <c r="E224" s="26">
        <v>292</v>
      </c>
      <c r="F224" s="26">
        <v>2</v>
      </c>
      <c r="G224" s="26">
        <v>0</v>
      </c>
      <c r="H224" s="26">
        <v>1</v>
      </c>
      <c r="I224" s="26">
        <v>1</v>
      </c>
      <c r="J224" s="26">
        <v>2</v>
      </c>
      <c r="K224" s="26">
        <v>0</v>
      </c>
      <c r="L224" s="26">
        <v>0</v>
      </c>
      <c r="M224" s="26">
        <v>797</v>
      </c>
      <c r="N224" s="26">
        <v>0</v>
      </c>
      <c r="O224" s="26">
        <v>9</v>
      </c>
      <c r="P224" s="27">
        <v>806</v>
      </c>
      <c r="Q224" s="3">
        <v>0</v>
      </c>
      <c r="R224" s="3">
        <v>1258</v>
      </c>
      <c r="S224" s="4">
        <v>223</v>
      </c>
      <c r="T224" s="4" t="s">
        <v>478</v>
      </c>
      <c r="U224" s="4" t="s">
        <v>479</v>
      </c>
    </row>
    <row r="225" spans="1:21">
      <c r="A225" s="26">
        <v>224</v>
      </c>
      <c r="B225" s="26">
        <v>224</v>
      </c>
      <c r="C225" s="26">
        <v>4</v>
      </c>
      <c r="D225" s="26">
        <v>106</v>
      </c>
      <c r="E225" s="26">
        <v>180</v>
      </c>
      <c r="F225" s="26">
        <v>0</v>
      </c>
      <c r="G225" s="26">
        <v>2</v>
      </c>
      <c r="H225" s="26">
        <v>0</v>
      </c>
      <c r="I225" s="26">
        <v>0</v>
      </c>
      <c r="J225" s="26">
        <v>0</v>
      </c>
      <c r="K225" s="26">
        <v>0</v>
      </c>
      <c r="L225" s="26">
        <v>0</v>
      </c>
      <c r="M225" s="26">
        <v>292</v>
      </c>
      <c r="N225" s="26">
        <v>0</v>
      </c>
      <c r="O225" s="26">
        <v>3</v>
      </c>
      <c r="P225" s="27">
        <v>295</v>
      </c>
      <c r="Q225" s="3">
        <v>0</v>
      </c>
      <c r="R225" s="3">
        <v>758</v>
      </c>
      <c r="S225" s="4">
        <v>224</v>
      </c>
      <c r="T225" s="4" t="s">
        <v>480</v>
      </c>
      <c r="U225" s="4" t="s">
        <v>481</v>
      </c>
    </row>
    <row r="226" spans="1:21">
      <c r="A226" s="26">
        <v>225</v>
      </c>
      <c r="B226" s="26">
        <v>225</v>
      </c>
      <c r="C226" s="26">
        <v>3</v>
      </c>
      <c r="D226" s="26">
        <v>476</v>
      </c>
      <c r="E226" s="26">
        <v>254</v>
      </c>
      <c r="F226" s="26">
        <v>1</v>
      </c>
      <c r="G226" s="26">
        <v>0</v>
      </c>
      <c r="H226" s="26">
        <v>0</v>
      </c>
      <c r="I226" s="26">
        <v>0</v>
      </c>
      <c r="J226" s="26">
        <v>1</v>
      </c>
      <c r="K226" s="26">
        <v>1</v>
      </c>
      <c r="L226" s="26">
        <v>0</v>
      </c>
      <c r="M226" s="26">
        <v>736</v>
      </c>
      <c r="N226" s="26">
        <v>0</v>
      </c>
      <c r="O226" s="26">
        <v>6</v>
      </c>
      <c r="P226" s="27">
        <v>742</v>
      </c>
      <c r="Q226" s="3">
        <v>0</v>
      </c>
      <c r="R226" s="3">
        <v>947</v>
      </c>
      <c r="S226" s="4">
        <v>225</v>
      </c>
      <c r="T226" s="4" t="s">
        <v>482</v>
      </c>
      <c r="U226" s="4" t="s">
        <v>483</v>
      </c>
    </row>
    <row r="227" spans="1:21">
      <c r="A227" s="26">
        <v>226</v>
      </c>
      <c r="B227" s="26">
        <v>226</v>
      </c>
      <c r="C227" s="26">
        <v>2</v>
      </c>
      <c r="D227" s="26">
        <v>503</v>
      </c>
      <c r="E227" s="26">
        <v>310</v>
      </c>
      <c r="F227" s="26">
        <v>1</v>
      </c>
      <c r="G227" s="26">
        <v>0</v>
      </c>
      <c r="H227" s="26">
        <v>0</v>
      </c>
      <c r="I227" s="26">
        <v>1</v>
      </c>
      <c r="J227" s="26">
        <v>3</v>
      </c>
      <c r="K227" s="26">
        <v>4</v>
      </c>
      <c r="L227" s="26">
        <v>2</v>
      </c>
      <c r="M227" s="26">
        <v>826</v>
      </c>
      <c r="N227" s="26">
        <v>0</v>
      </c>
      <c r="O227" s="26">
        <v>6</v>
      </c>
      <c r="P227" s="27">
        <v>832</v>
      </c>
      <c r="Q227" s="3">
        <v>0</v>
      </c>
      <c r="R227" s="3">
        <v>1290</v>
      </c>
      <c r="S227" s="4">
        <v>226</v>
      </c>
      <c r="T227" s="4" t="s">
        <v>484</v>
      </c>
      <c r="U227" s="4" t="s">
        <v>485</v>
      </c>
    </row>
    <row r="228" spans="1:21">
      <c r="A228" s="26">
        <v>227</v>
      </c>
      <c r="B228" s="26">
        <v>227</v>
      </c>
      <c r="C228" s="26">
        <v>6</v>
      </c>
      <c r="D228" s="26">
        <v>502</v>
      </c>
      <c r="E228" s="26">
        <v>297</v>
      </c>
      <c r="F228" s="26">
        <v>0</v>
      </c>
      <c r="G228" s="26">
        <v>0</v>
      </c>
      <c r="H228" s="26">
        <v>0</v>
      </c>
      <c r="I228" s="26">
        <v>0</v>
      </c>
      <c r="J228" s="26">
        <v>1</v>
      </c>
      <c r="K228" s="26">
        <v>3</v>
      </c>
      <c r="L228" s="26">
        <v>2</v>
      </c>
      <c r="M228" s="26">
        <v>811</v>
      </c>
      <c r="N228" s="26">
        <v>0</v>
      </c>
      <c r="O228" s="26">
        <v>15</v>
      </c>
      <c r="P228" s="27">
        <v>826</v>
      </c>
      <c r="Q228" s="3">
        <v>0</v>
      </c>
      <c r="R228" s="3">
        <v>1229</v>
      </c>
      <c r="S228" s="4">
        <v>227</v>
      </c>
      <c r="T228" s="4" t="s">
        <v>486</v>
      </c>
      <c r="U228" s="4" t="s">
        <v>487</v>
      </c>
    </row>
    <row r="229" spans="1:21">
      <c r="A229" s="26">
        <v>228</v>
      </c>
      <c r="B229" s="26">
        <v>228</v>
      </c>
      <c r="C229" s="26">
        <v>5</v>
      </c>
      <c r="D229" s="26">
        <v>106</v>
      </c>
      <c r="E229" s="26">
        <v>187</v>
      </c>
      <c r="F229" s="26">
        <v>4</v>
      </c>
      <c r="G229" s="26">
        <v>0</v>
      </c>
      <c r="H229" s="26">
        <v>0</v>
      </c>
      <c r="I229" s="26">
        <v>0</v>
      </c>
      <c r="J229" s="26">
        <v>0</v>
      </c>
      <c r="K229" s="26">
        <v>0</v>
      </c>
      <c r="L229" s="26">
        <v>0</v>
      </c>
      <c r="M229" s="26">
        <v>302</v>
      </c>
      <c r="N229" s="26">
        <v>0</v>
      </c>
      <c r="O229" s="26">
        <v>1</v>
      </c>
      <c r="P229" s="27">
        <v>303</v>
      </c>
      <c r="Q229" s="3">
        <v>0</v>
      </c>
      <c r="R229" s="3">
        <v>354</v>
      </c>
      <c r="S229" s="4">
        <v>228</v>
      </c>
      <c r="T229" s="4" t="s">
        <v>488</v>
      </c>
      <c r="U229" s="4" t="s">
        <v>489</v>
      </c>
    </row>
    <row r="230" spans="1:21">
      <c r="A230" s="26">
        <v>229</v>
      </c>
      <c r="B230" s="26">
        <v>229</v>
      </c>
      <c r="C230" s="26">
        <v>3</v>
      </c>
      <c r="D230" s="26">
        <v>279</v>
      </c>
      <c r="E230" s="26">
        <v>433</v>
      </c>
      <c r="F230" s="26">
        <v>3</v>
      </c>
      <c r="G230" s="26">
        <v>0</v>
      </c>
      <c r="H230" s="26">
        <v>0</v>
      </c>
      <c r="I230" s="26">
        <v>1</v>
      </c>
      <c r="J230" s="26">
        <v>2</v>
      </c>
      <c r="K230" s="26">
        <v>2</v>
      </c>
      <c r="L230" s="26">
        <v>1</v>
      </c>
      <c r="M230" s="26">
        <v>724</v>
      </c>
      <c r="N230" s="26">
        <v>0</v>
      </c>
      <c r="O230" s="26">
        <v>1</v>
      </c>
      <c r="P230" s="27">
        <v>725</v>
      </c>
      <c r="Q230" s="3">
        <v>0</v>
      </c>
      <c r="R230" s="3">
        <v>900</v>
      </c>
      <c r="S230" s="5">
        <v>229</v>
      </c>
      <c r="T230" s="5" t="s">
        <v>490</v>
      </c>
      <c r="U230" s="5" t="s">
        <v>491</v>
      </c>
    </row>
    <row r="231" spans="1:21">
      <c r="A231" s="26">
        <v>230</v>
      </c>
      <c r="B231" s="26">
        <v>230</v>
      </c>
      <c r="C231" s="26">
        <v>2</v>
      </c>
      <c r="D231" s="26">
        <v>255</v>
      </c>
      <c r="E231" s="26">
        <v>165</v>
      </c>
      <c r="F231" s="26">
        <v>1</v>
      </c>
      <c r="G231" s="26">
        <v>1</v>
      </c>
      <c r="H231" s="26">
        <v>0</v>
      </c>
      <c r="I231" s="26">
        <v>0</v>
      </c>
      <c r="J231" s="26">
        <v>0</v>
      </c>
      <c r="K231" s="26">
        <v>1</v>
      </c>
      <c r="L231" s="26">
        <v>1</v>
      </c>
      <c r="M231" s="26">
        <v>426</v>
      </c>
      <c r="N231" s="26">
        <v>0</v>
      </c>
      <c r="O231" s="26">
        <v>1</v>
      </c>
      <c r="P231" s="27">
        <v>427</v>
      </c>
      <c r="Q231" s="3">
        <v>0</v>
      </c>
      <c r="R231" s="3">
        <v>543</v>
      </c>
      <c r="S231" s="5">
        <v>230</v>
      </c>
      <c r="T231" s="5" t="s">
        <v>492</v>
      </c>
      <c r="U231" s="5" t="s">
        <v>493</v>
      </c>
    </row>
    <row r="232" spans="1:21">
      <c r="A232" s="26">
        <v>231</v>
      </c>
      <c r="B232" s="26">
        <v>231</v>
      </c>
      <c r="C232" s="26">
        <v>5</v>
      </c>
      <c r="D232" s="26">
        <v>289</v>
      </c>
      <c r="E232" s="26">
        <v>193</v>
      </c>
      <c r="F232" s="26">
        <v>3</v>
      </c>
      <c r="G232" s="26">
        <v>0</v>
      </c>
      <c r="H232" s="26">
        <v>1</v>
      </c>
      <c r="I232" s="26">
        <v>0</v>
      </c>
      <c r="J232" s="26">
        <v>5</v>
      </c>
      <c r="K232" s="26">
        <v>3</v>
      </c>
      <c r="L232" s="26">
        <v>3</v>
      </c>
      <c r="M232" s="26">
        <v>502</v>
      </c>
      <c r="N232" s="26">
        <v>0</v>
      </c>
      <c r="O232" s="26">
        <v>3</v>
      </c>
      <c r="P232" s="27">
        <v>505</v>
      </c>
      <c r="Q232" s="3">
        <v>0</v>
      </c>
      <c r="R232" s="3">
        <v>616</v>
      </c>
      <c r="S232" s="5">
        <v>231</v>
      </c>
      <c r="T232" s="5" t="s">
        <v>494</v>
      </c>
      <c r="U232" s="5" t="s">
        <v>495</v>
      </c>
    </row>
    <row r="233" spans="1:21">
      <c r="A233" s="26">
        <v>232</v>
      </c>
      <c r="B233" s="26">
        <v>232</v>
      </c>
      <c r="C233" s="26">
        <v>6</v>
      </c>
      <c r="D233" s="26">
        <v>217</v>
      </c>
      <c r="E233" s="26">
        <v>167</v>
      </c>
      <c r="F233" s="26">
        <v>0</v>
      </c>
      <c r="G233" s="26">
        <v>0</v>
      </c>
      <c r="H233" s="26">
        <v>0</v>
      </c>
      <c r="I233" s="26">
        <v>0</v>
      </c>
      <c r="J233" s="26">
        <v>0</v>
      </c>
      <c r="K233" s="26">
        <v>1</v>
      </c>
      <c r="L233" s="26">
        <v>2</v>
      </c>
      <c r="M233" s="26">
        <v>393</v>
      </c>
      <c r="N233" s="26">
        <v>0</v>
      </c>
      <c r="O233" s="26">
        <v>0</v>
      </c>
      <c r="P233" s="27">
        <v>393</v>
      </c>
      <c r="Q233" s="3">
        <v>0</v>
      </c>
      <c r="R233" s="3">
        <v>452</v>
      </c>
      <c r="S233" s="4">
        <v>232</v>
      </c>
      <c r="T233" s="4" t="s">
        <v>496</v>
      </c>
      <c r="U233" s="4" t="s">
        <v>497</v>
      </c>
    </row>
    <row r="234" spans="1:21">
      <c r="A234" s="26">
        <v>233</v>
      </c>
      <c r="B234" s="26">
        <v>233</v>
      </c>
      <c r="C234" s="26">
        <v>4</v>
      </c>
      <c r="D234" s="26">
        <v>306</v>
      </c>
      <c r="E234" s="26">
        <v>305</v>
      </c>
      <c r="F234" s="26">
        <v>2</v>
      </c>
      <c r="G234" s="26">
        <v>0</v>
      </c>
      <c r="H234" s="26">
        <v>1</v>
      </c>
      <c r="I234" s="26">
        <v>0</v>
      </c>
      <c r="J234" s="26">
        <v>0</v>
      </c>
      <c r="K234" s="26">
        <v>2</v>
      </c>
      <c r="L234" s="26">
        <v>0</v>
      </c>
      <c r="M234" s="26">
        <v>620</v>
      </c>
      <c r="N234" s="26">
        <v>0</v>
      </c>
      <c r="O234" s="26">
        <v>1</v>
      </c>
      <c r="P234" s="27">
        <v>621</v>
      </c>
      <c r="Q234" s="3">
        <v>0</v>
      </c>
      <c r="R234" s="3">
        <v>832</v>
      </c>
      <c r="S234" s="4">
        <v>233</v>
      </c>
      <c r="T234" s="4" t="s">
        <v>498</v>
      </c>
      <c r="U234" s="4" t="s">
        <v>499</v>
      </c>
    </row>
    <row r="235" spans="1:21">
      <c r="A235" s="26">
        <v>234</v>
      </c>
      <c r="B235" s="26">
        <v>234</v>
      </c>
      <c r="C235" s="26">
        <v>9</v>
      </c>
      <c r="D235" s="26">
        <v>529</v>
      </c>
      <c r="E235" s="26">
        <v>275</v>
      </c>
      <c r="F235" s="26">
        <v>3</v>
      </c>
      <c r="G235" s="26">
        <v>1</v>
      </c>
      <c r="H235" s="26">
        <v>0</v>
      </c>
      <c r="I235" s="26">
        <v>0</v>
      </c>
      <c r="J235" s="26">
        <v>0</v>
      </c>
      <c r="K235" s="26">
        <v>1</v>
      </c>
      <c r="L235" s="26">
        <v>2</v>
      </c>
      <c r="M235" s="26">
        <v>820</v>
      </c>
      <c r="N235" s="26">
        <v>0</v>
      </c>
      <c r="O235" s="26">
        <v>6</v>
      </c>
      <c r="P235" s="27">
        <v>826</v>
      </c>
      <c r="Q235" s="3">
        <v>0</v>
      </c>
      <c r="R235" s="3">
        <v>1196</v>
      </c>
      <c r="S235" s="4">
        <v>234</v>
      </c>
      <c r="T235" s="4" t="s">
        <v>500</v>
      </c>
      <c r="U235" s="4" t="s">
        <v>501</v>
      </c>
    </row>
    <row r="236" spans="1:21">
      <c r="A236" s="26">
        <v>235</v>
      </c>
      <c r="B236" s="26">
        <v>235</v>
      </c>
      <c r="C236" s="26">
        <v>4</v>
      </c>
      <c r="D236" s="26">
        <v>726</v>
      </c>
      <c r="E236" s="26">
        <v>275</v>
      </c>
      <c r="F236" s="26">
        <v>1</v>
      </c>
      <c r="G236" s="26">
        <v>0</v>
      </c>
      <c r="H236" s="26">
        <v>0</v>
      </c>
      <c r="I236" s="26">
        <v>0</v>
      </c>
      <c r="J236" s="26">
        <v>2</v>
      </c>
      <c r="K236" s="26">
        <v>1</v>
      </c>
      <c r="L236" s="26">
        <v>1</v>
      </c>
      <c r="M236" s="26">
        <v>1010</v>
      </c>
      <c r="N236" s="26">
        <v>0</v>
      </c>
      <c r="O236" s="26">
        <v>7</v>
      </c>
      <c r="P236" s="27">
        <v>1017</v>
      </c>
      <c r="Q236" s="3">
        <v>0</v>
      </c>
      <c r="R236" s="3">
        <v>1467</v>
      </c>
      <c r="S236" s="4">
        <v>235</v>
      </c>
      <c r="T236" s="4" t="s">
        <v>502</v>
      </c>
      <c r="U236" s="4" t="s">
        <v>503</v>
      </c>
    </row>
    <row r="237" spans="1:21">
      <c r="A237" s="26">
        <v>236</v>
      </c>
      <c r="B237" s="26">
        <v>236</v>
      </c>
      <c r="C237" s="26">
        <v>3</v>
      </c>
      <c r="D237" s="26">
        <v>292</v>
      </c>
      <c r="E237" s="26">
        <v>337</v>
      </c>
      <c r="F237" s="26">
        <v>2</v>
      </c>
      <c r="G237" s="26">
        <v>1</v>
      </c>
      <c r="H237" s="26">
        <v>2</v>
      </c>
      <c r="I237" s="26">
        <v>1</v>
      </c>
      <c r="J237" s="26">
        <v>0</v>
      </c>
      <c r="K237" s="26">
        <v>0</v>
      </c>
      <c r="L237" s="26">
        <v>2</v>
      </c>
      <c r="M237" s="26">
        <v>640</v>
      </c>
      <c r="N237" s="26">
        <v>0</v>
      </c>
      <c r="O237" s="26">
        <v>4</v>
      </c>
      <c r="P237" s="27">
        <v>644</v>
      </c>
      <c r="Q237" s="3">
        <v>0</v>
      </c>
      <c r="R237" s="3">
        <v>748</v>
      </c>
      <c r="S237" s="4">
        <v>236</v>
      </c>
      <c r="T237" s="4" t="s">
        <v>504</v>
      </c>
      <c r="U237" s="4" t="s">
        <v>505</v>
      </c>
    </row>
    <row r="238" spans="1:21">
      <c r="A238" s="26">
        <v>237</v>
      </c>
      <c r="B238" s="26">
        <v>237</v>
      </c>
      <c r="C238" s="26">
        <v>2</v>
      </c>
      <c r="D238" s="26">
        <v>386</v>
      </c>
      <c r="E238" s="26">
        <v>222</v>
      </c>
      <c r="F238" s="26">
        <v>2</v>
      </c>
      <c r="G238" s="26">
        <v>1</v>
      </c>
      <c r="H238" s="26">
        <v>0</v>
      </c>
      <c r="I238" s="26">
        <v>0</v>
      </c>
      <c r="J238" s="26">
        <v>0</v>
      </c>
      <c r="K238" s="26">
        <v>2</v>
      </c>
      <c r="L238" s="26">
        <v>0</v>
      </c>
      <c r="M238" s="26">
        <v>615</v>
      </c>
      <c r="N238" s="26">
        <v>0</v>
      </c>
      <c r="O238" s="26">
        <v>1</v>
      </c>
      <c r="P238" s="27">
        <v>616</v>
      </c>
      <c r="Q238" s="3">
        <v>0</v>
      </c>
      <c r="R238" s="3">
        <v>706</v>
      </c>
      <c r="S238" s="4">
        <v>237</v>
      </c>
      <c r="T238" s="4" t="s">
        <v>506</v>
      </c>
      <c r="U238" s="4" t="s">
        <v>507</v>
      </c>
    </row>
    <row r="239" spans="1:21">
      <c r="A239" s="26">
        <v>238</v>
      </c>
      <c r="B239" s="26">
        <v>238</v>
      </c>
      <c r="C239" s="26">
        <v>2</v>
      </c>
      <c r="D239" s="26">
        <v>630</v>
      </c>
      <c r="E239" s="26">
        <v>314</v>
      </c>
      <c r="F239" s="26">
        <v>4</v>
      </c>
      <c r="G239" s="26">
        <v>1</v>
      </c>
      <c r="H239" s="26">
        <v>1</v>
      </c>
      <c r="I239" s="26">
        <v>0</v>
      </c>
      <c r="J239" s="26">
        <v>0</v>
      </c>
      <c r="K239" s="26">
        <v>1</v>
      </c>
      <c r="L239" s="26">
        <v>1</v>
      </c>
      <c r="M239" s="26">
        <v>954</v>
      </c>
      <c r="N239" s="26">
        <v>0</v>
      </c>
      <c r="O239" s="26">
        <v>6</v>
      </c>
      <c r="P239" s="27">
        <v>960</v>
      </c>
      <c r="Q239" s="3">
        <v>0</v>
      </c>
      <c r="R239" s="3">
        <v>1367</v>
      </c>
      <c r="S239" s="4">
        <v>238</v>
      </c>
      <c r="T239" s="4" t="s">
        <v>508</v>
      </c>
      <c r="U239" s="4" t="s">
        <v>509</v>
      </c>
    </row>
    <row r="240" spans="1:21">
      <c r="A240" s="26">
        <v>239</v>
      </c>
      <c r="B240" s="26">
        <v>239</v>
      </c>
      <c r="C240" s="26">
        <v>2</v>
      </c>
      <c r="D240" s="26">
        <v>573</v>
      </c>
      <c r="E240" s="26">
        <v>300</v>
      </c>
      <c r="F240" s="26">
        <v>3</v>
      </c>
      <c r="G240" s="26">
        <v>0</v>
      </c>
      <c r="H240" s="26">
        <v>2</v>
      </c>
      <c r="I240" s="26">
        <v>0</v>
      </c>
      <c r="J240" s="26">
        <v>0</v>
      </c>
      <c r="K240" s="26">
        <v>1</v>
      </c>
      <c r="L240" s="26">
        <v>0</v>
      </c>
      <c r="M240" s="26">
        <v>881</v>
      </c>
      <c r="N240" s="26">
        <v>0</v>
      </c>
      <c r="O240" s="26">
        <v>16</v>
      </c>
      <c r="P240" s="27">
        <v>897</v>
      </c>
      <c r="Q240" s="3">
        <v>0</v>
      </c>
      <c r="R240" s="3">
        <v>1236</v>
      </c>
      <c r="S240" s="4">
        <v>239</v>
      </c>
      <c r="T240" s="4" t="s">
        <v>510</v>
      </c>
      <c r="U240" s="4" t="s">
        <v>511</v>
      </c>
    </row>
    <row r="241" spans="1:21">
      <c r="A241" s="26">
        <v>240</v>
      </c>
      <c r="B241" s="26">
        <v>240</v>
      </c>
      <c r="C241" s="26">
        <v>4</v>
      </c>
      <c r="D241" s="26">
        <v>581</v>
      </c>
      <c r="E241" s="26">
        <v>349</v>
      </c>
      <c r="F241" s="26">
        <v>0</v>
      </c>
      <c r="G241" s="26">
        <v>0</v>
      </c>
      <c r="H241" s="26">
        <v>0</v>
      </c>
      <c r="I241" s="26">
        <v>0</v>
      </c>
      <c r="J241" s="26">
        <v>2</v>
      </c>
      <c r="K241" s="26">
        <v>1</v>
      </c>
      <c r="L241" s="26">
        <v>2</v>
      </c>
      <c r="M241" s="26">
        <v>939</v>
      </c>
      <c r="N241" s="26">
        <v>0</v>
      </c>
      <c r="O241" s="26">
        <v>7</v>
      </c>
      <c r="P241" s="27">
        <v>946</v>
      </c>
      <c r="Q241" s="3">
        <v>0</v>
      </c>
      <c r="R241" s="3">
        <v>1445</v>
      </c>
      <c r="S241" s="4">
        <v>240</v>
      </c>
      <c r="T241" s="4" t="s">
        <v>512</v>
      </c>
      <c r="U241" s="4" t="s">
        <v>513</v>
      </c>
    </row>
    <row r="242" spans="1:21">
      <c r="A242" s="26">
        <v>241</v>
      </c>
      <c r="B242" s="26">
        <v>241</v>
      </c>
      <c r="C242" s="26">
        <v>12</v>
      </c>
      <c r="D242" s="26">
        <v>609</v>
      </c>
      <c r="E242" s="26">
        <v>425</v>
      </c>
      <c r="F242" s="26">
        <v>2</v>
      </c>
      <c r="G242" s="26">
        <v>0</v>
      </c>
      <c r="H242" s="26">
        <v>1</v>
      </c>
      <c r="I242" s="26">
        <v>2</v>
      </c>
      <c r="J242" s="26">
        <v>2</v>
      </c>
      <c r="K242" s="26">
        <v>4</v>
      </c>
      <c r="L242" s="26">
        <v>1</v>
      </c>
      <c r="M242" s="26">
        <v>1058</v>
      </c>
      <c r="N242" s="26">
        <v>0</v>
      </c>
      <c r="O242" s="26">
        <v>10</v>
      </c>
      <c r="P242" s="27">
        <v>1068</v>
      </c>
      <c r="Q242" s="3">
        <v>0</v>
      </c>
      <c r="R242" s="3">
        <v>1486</v>
      </c>
      <c r="S242" s="4">
        <v>241</v>
      </c>
      <c r="T242" s="4" t="s">
        <v>514</v>
      </c>
      <c r="U242" s="4" t="s">
        <v>515</v>
      </c>
    </row>
    <row r="243" spans="1:21">
      <c r="A243" s="26">
        <v>242</v>
      </c>
      <c r="B243" s="26">
        <v>242</v>
      </c>
      <c r="C243" s="26">
        <v>7</v>
      </c>
      <c r="D243" s="26">
        <v>516</v>
      </c>
      <c r="E243" s="26">
        <v>308</v>
      </c>
      <c r="F243" s="26">
        <v>5</v>
      </c>
      <c r="G243" s="26">
        <v>3</v>
      </c>
      <c r="H243" s="26">
        <v>0</v>
      </c>
      <c r="I243" s="26">
        <v>4</v>
      </c>
      <c r="J243" s="26">
        <v>3</v>
      </c>
      <c r="K243" s="26">
        <v>0</v>
      </c>
      <c r="L243" s="26">
        <v>2</v>
      </c>
      <c r="M243" s="26">
        <v>848</v>
      </c>
      <c r="N243" s="26">
        <v>0</v>
      </c>
      <c r="O243" s="26">
        <v>8</v>
      </c>
      <c r="P243" s="27">
        <v>856</v>
      </c>
      <c r="Q243" s="3">
        <v>0</v>
      </c>
      <c r="R243" s="3">
        <v>1019</v>
      </c>
      <c r="S243" s="4">
        <v>242</v>
      </c>
      <c r="T243" s="4" t="s">
        <v>516</v>
      </c>
      <c r="U243" s="4" t="s">
        <v>517</v>
      </c>
    </row>
    <row r="244" spans="1:21">
      <c r="A244" s="26">
        <v>243</v>
      </c>
      <c r="B244" s="26">
        <v>243</v>
      </c>
      <c r="C244" s="26">
        <v>7</v>
      </c>
      <c r="D244" s="26">
        <v>462</v>
      </c>
      <c r="E244" s="26">
        <v>286</v>
      </c>
      <c r="F244" s="26">
        <v>4</v>
      </c>
      <c r="G244" s="26">
        <v>3</v>
      </c>
      <c r="H244" s="26">
        <v>0</v>
      </c>
      <c r="I244" s="26">
        <v>2</v>
      </c>
      <c r="J244" s="26">
        <v>0</v>
      </c>
      <c r="K244" s="26">
        <v>1</v>
      </c>
      <c r="L244" s="26">
        <v>1</v>
      </c>
      <c r="M244" s="26">
        <v>766</v>
      </c>
      <c r="N244" s="26">
        <v>0</v>
      </c>
      <c r="O244" s="26">
        <v>11</v>
      </c>
      <c r="P244" s="27">
        <v>777</v>
      </c>
      <c r="Q244" s="3">
        <v>0</v>
      </c>
      <c r="R244" s="3">
        <v>1046</v>
      </c>
      <c r="S244" s="4">
        <v>243</v>
      </c>
      <c r="T244" s="4" t="s">
        <v>518</v>
      </c>
      <c r="U244" s="4" t="s">
        <v>519</v>
      </c>
    </row>
    <row r="245" spans="1:21">
      <c r="A245" s="26">
        <v>244</v>
      </c>
      <c r="B245" s="26">
        <v>244</v>
      </c>
      <c r="C245" s="26">
        <v>2</v>
      </c>
      <c r="D245" s="26">
        <v>340</v>
      </c>
      <c r="E245" s="26">
        <v>232</v>
      </c>
      <c r="F245" s="26">
        <v>1</v>
      </c>
      <c r="G245" s="26">
        <v>0</v>
      </c>
      <c r="H245" s="26">
        <v>0</v>
      </c>
      <c r="I245" s="26">
        <v>1</v>
      </c>
      <c r="J245" s="26">
        <v>0</v>
      </c>
      <c r="K245" s="26">
        <v>0</v>
      </c>
      <c r="L245" s="26">
        <v>1</v>
      </c>
      <c r="M245" s="26">
        <v>577</v>
      </c>
      <c r="N245" s="26">
        <v>0</v>
      </c>
      <c r="O245" s="26">
        <v>1</v>
      </c>
      <c r="P245" s="27">
        <v>578</v>
      </c>
      <c r="Q245" s="3">
        <v>0</v>
      </c>
      <c r="R245" s="3">
        <v>696</v>
      </c>
      <c r="S245" s="4">
        <v>244</v>
      </c>
      <c r="T245" s="4" t="s">
        <v>520</v>
      </c>
      <c r="U245" s="4" t="s">
        <v>521</v>
      </c>
    </row>
    <row r="246" spans="1:21">
      <c r="A246" s="26">
        <v>245</v>
      </c>
      <c r="B246" s="26">
        <v>245</v>
      </c>
      <c r="C246" s="26">
        <v>1</v>
      </c>
      <c r="D246" s="26">
        <v>295</v>
      </c>
      <c r="E246" s="26">
        <v>235</v>
      </c>
      <c r="F246" s="26">
        <v>3</v>
      </c>
      <c r="G246" s="26">
        <v>0</v>
      </c>
      <c r="H246" s="26">
        <v>0</v>
      </c>
      <c r="I246" s="26">
        <v>0</v>
      </c>
      <c r="J246" s="26">
        <v>0</v>
      </c>
      <c r="K246" s="26">
        <v>0</v>
      </c>
      <c r="L246" s="26">
        <v>3</v>
      </c>
      <c r="M246" s="26">
        <v>537</v>
      </c>
      <c r="N246" s="26">
        <v>0</v>
      </c>
      <c r="O246" s="26">
        <v>3</v>
      </c>
      <c r="P246" s="27">
        <v>540</v>
      </c>
      <c r="Q246" s="3">
        <v>0</v>
      </c>
      <c r="R246" s="3">
        <v>629</v>
      </c>
      <c r="S246" s="4">
        <v>245</v>
      </c>
      <c r="T246" s="4" t="s">
        <v>522</v>
      </c>
      <c r="U246" s="4" t="s">
        <v>523</v>
      </c>
    </row>
    <row r="247" spans="1:21">
      <c r="A247" s="26">
        <v>246</v>
      </c>
      <c r="B247" s="26">
        <v>246</v>
      </c>
      <c r="C247" s="26">
        <v>2</v>
      </c>
      <c r="D247" s="26">
        <v>311</v>
      </c>
      <c r="E247" s="26">
        <v>191</v>
      </c>
      <c r="F247" s="26">
        <v>1</v>
      </c>
      <c r="G247" s="26">
        <v>1</v>
      </c>
      <c r="H247" s="26">
        <v>0</v>
      </c>
      <c r="I247" s="26">
        <v>0</v>
      </c>
      <c r="J247" s="26">
        <v>1</v>
      </c>
      <c r="K247" s="26">
        <v>0</v>
      </c>
      <c r="L247" s="26">
        <v>0</v>
      </c>
      <c r="M247" s="26">
        <v>507</v>
      </c>
      <c r="N247" s="26">
        <v>0</v>
      </c>
      <c r="O247" s="26">
        <v>2</v>
      </c>
      <c r="P247" s="27">
        <v>509</v>
      </c>
      <c r="Q247" s="3">
        <v>0</v>
      </c>
      <c r="R247" s="3">
        <v>630</v>
      </c>
      <c r="S247" s="4">
        <v>246</v>
      </c>
      <c r="T247" s="4" t="s">
        <v>524</v>
      </c>
      <c r="U247" s="4" t="s">
        <v>525</v>
      </c>
    </row>
    <row r="248" spans="1:21">
      <c r="A248" s="26">
        <v>247</v>
      </c>
      <c r="B248" s="26">
        <v>247</v>
      </c>
      <c r="C248" s="26">
        <v>2</v>
      </c>
      <c r="D248" s="26">
        <v>338</v>
      </c>
      <c r="E248" s="26">
        <v>260</v>
      </c>
      <c r="F248" s="26">
        <v>2</v>
      </c>
      <c r="G248" s="26">
        <v>0</v>
      </c>
      <c r="H248" s="26">
        <v>0</v>
      </c>
      <c r="I248" s="26">
        <v>1</v>
      </c>
      <c r="J248" s="26">
        <v>2</v>
      </c>
      <c r="K248" s="26">
        <v>3</v>
      </c>
      <c r="L248" s="26">
        <v>0</v>
      </c>
      <c r="M248" s="26">
        <v>608</v>
      </c>
      <c r="N248" s="26">
        <v>0</v>
      </c>
      <c r="O248" s="26">
        <v>3</v>
      </c>
      <c r="P248" s="27">
        <v>611</v>
      </c>
      <c r="Q248" s="3">
        <v>0</v>
      </c>
      <c r="R248" s="3">
        <v>763</v>
      </c>
      <c r="S248" s="4">
        <v>247</v>
      </c>
      <c r="T248" s="4" t="s">
        <v>526</v>
      </c>
      <c r="U248" s="4" t="s">
        <v>527</v>
      </c>
    </row>
    <row r="249" spans="1:21">
      <c r="A249" s="26">
        <v>248</v>
      </c>
      <c r="B249" s="26">
        <v>248</v>
      </c>
      <c r="C249" s="26">
        <v>5</v>
      </c>
      <c r="D249" s="26">
        <v>366</v>
      </c>
      <c r="E249" s="26">
        <v>149</v>
      </c>
      <c r="F249" s="26">
        <v>4</v>
      </c>
      <c r="G249" s="26">
        <v>1</v>
      </c>
      <c r="H249" s="26">
        <v>0</v>
      </c>
      <c r="I249" s="26">
        <v>0</v>
      </c>
      <c r="J249" s="26">
        <v>1</v>
      </c>
      <c r="K249" s="26">
        <v>2</v>
      </c>
      <c r="L249" s="26">
        <v>2</v>
      </c>
      <c r="M249" s="26">
        <v>530</v>
      </c>
      <c r="N249" s="26">
        <v>0</v>
      </c>
      <c r="O249" s="26">
        <v>1</v>
      </c>
      <c r="P249" s="27">
        <v>531</v>
      </c>
      <c r="Q249" s="3">
        <v>0</v>
      </c>
      <c r="R249" s="3">
        <v>636</v>
      </c>
      <c r="S249" s="4">
        <v>248</v>
      </c>
      <c r="T249" s="4" t="s">
        <v>528</v>
      </c>
      <c r="U249" s="4" t="s">
        <v>529</v>
      </c>
    </row>
    <row r="250" spans="1:21">
      <c r="A250" s="26">
        <v>249</v>
      </c>
      <c r="B250" s="26">
        <v>249</v>
      </c>
      <c r="C250" s="26">
        <v>4</v>
      </c>
      <c r="D250" s="26">
        <v>263</v>
      </c>
      <c r="E250" s="26">
        <v>259</v>
      </c>
      <c r="F250" s="26">
        <v>6</v>
      </c>
      <c r="G250" s="26">
        <v>2</v>
      </c>
      <c r="H250" s="26">
        <v>0</v>
      </c>
      <c r="I250" s="26">
        <v>0</v>
      </c>
      <c r="J250" s="26">
        <v>0</v>
      </c>
      <c r="K250" s="26">
        <v>4</v>
      </c>
      <c r="L250" s="26">
        <v>2</v>
      </c>
      <c r="M250" s="26">
        <v>540</v>
      </c>
      <c r="N250" s="26">
        <v>0</v>
      </c>
      <c r="O250" s="26">
        <v>7</v>
      </c>
      <c r="P250" s="27">
        <v>547</v>
      </c>
      <c r="Q250" s="3">
        <v>0</v>
      </c>
      <c r="R250" s="3">
        <v>741</v>
      </c>
      <c r="S250" s="4">
        <v>249</v>
      </c>
      <c r="T250" s="4" t="s">
        <v>530</v>
      </c>
      <c r="U250" s="4" t="s">
        <v>531</v>
      </c>
    </row>
    <row r="251" spans="1:21">
      <c r="A251" s="26">
        <v>250</v>
      </c>
      <c r="B251" s="26">
        <v>250</v>
      </c>
      <c r="C251" s="26">
        <v>3</v>
      </c>
      <c r="D251" s="26">
        <v>299</v>
      </c>
      <c r="E251" s="26">
        <v>123</v>
      </c>
      <c r="F251" s="26">
        <v>1</v>
      </c>
      <c r="G251" s="26">
        <v>0</v>
      </c>
      <c r="H251" s="26">
        <v>0</v>
      </c>
      <c r="I251" s="26">
        <v>0</v>
      </c>
      <c r="J251" s="26">
        <v>2</v>
      </c>
      <c r="K251" s="26">
        <v>5</v>
      </c>
      <c r="L251" s="26">
        <v>3</v>
      </c>
      <c r="M251" s="26">
        <v>436</v>
      </c>
      <c r="N251" s="26">
        <v>0</v>
      </c>
      <c r="O251" s="26">
        <v>3</v>
      </c>
      <c r="P251" s="27">
        <v>439</v>
      </c>
      <c r="Q251" s="3">
        <v>0</v>
      </c>
      <c r="R251" s="3">
        <v>550</v>
      </c>
      <c r="S251" s="4">
        <v>250</v>
      </c>
      <c r="T251" s="4" t="s">
        <v>532</v>
      </c>
      <c r="U251" s="4" t="s">
        <v>533</v>
      </c>
    </row>
    <row r="252" spans="1:21">
      <c r="A252" s="26">
        <v>251</v>
      </c>
      <c r="B252" s="26">
        <v>251</v>
      </c>
      <c r="C252" s="26">
        <v>2</v>
      </c>
      <c r="D252" s="26">
        <v>401</v>
      </c>
      <c r="E252" s="26">
        <v>355</v>
      </c>
      <c r="F252" s="26">
        <v>2</v>
      </c>
      <c r="G252" s="26">
        <v>1</v>
      </c>
      <c r="H252" s="26">
        <v>0</v>
      </c>
      <c r="I252" s="26">
        <v>0</v>
      </c>
      <c r="J252" s="26">
        <v>0</v>
      </c>
      <c r="K252" s="26">
        <v>1</v>
      </c>
      <c r="L252" s="26">
        <v>2</v>
      </c>
      <c r="M252" s="26">
        <v>764</v>
      </c>
      <c r="N252" s="26">
        <v>0</v>
      </c>
      <c r="O252" s="26">
        <v>3</v>
      </c>
      <c r="P252" s="27">
        <v>767</v>
      </c>
      <c r="Q252" s="3">
        <v>0</v>
      </c>
      <c r="R252" s="3">
        <v>1012</v>
      </c>
      <c r="S252" s="4">
        <v>251</v>
      </c>
      <c r="T252" s="4" t="s">
        <v>534</v>
      </c>
      <c r="U252" s="4" t="s">
        <v>535</v>
      </c>
    </row>
    <row r="253" spans="1:21">
      <c r="A253" s="26">
        <v>252</v>
      </c>
      <c r="B253" s="26">
        <v>252</v>
      </c>
      <c r="C253" s="26">
        <v>2</v>
      </c>
      <c r="D253" s="26">
        <v>396</v>
      </c>
      <c r="E253" s="26">
        <v>355</v>
      </c>
      <c r="F253" s="26">
        <v>1</v>
      </c>
      <c r="G253" s="26">
        <v>0</v>
      </c>
      <c r="H253" s="26">
        <v>0</v>
      </c>
      <c r="I253" s="26">
        <v>1</v>
      </c>
      <c r="J253" s="26">
        <v>0</v>
      </c>
      <c r="K253" s="26">
        <v>1</v>
      </c>
      <c r="L253" s="26">
        <v>4</v>
      </c>
      <c r="M253" s="26">
        <v>760</v>
      </c>
      <c r="N253" s="26">
        <v>0</v>
      </c>
      <c r="O253" s="26">
        <v>6</v>
      </c>
      <c r="P253" s="27">
        <v>766</v>
      </c>
      <c r="Q253" s="3">
        <v>0</v>
      </c>
      <c r="R253" s="3">
        <v>1006</v>
      </c>
      <c r="S253" s="4">
        <v>252</v>
      </c>
      <c r="T253" s="4" t="s">
        <v>536</v>
      </c>
      <c r="U253" s="4" t="s">
        <v>537</v>
      </c>
    </row>
    <row r="254" spans="1:21">
      <c r="A254" s="26">
        <v>253</v>
      </c>
      <c r="B254" s="26">
        <v>253</v>
      </c>
      <c r="C254" s="26">
        <v>1</v>
      </c>
      <c r="D254" s="26">
        <v>458</v>
      </c>
      <c r="E254" s="26">
        <v>258</v>
      </c>
      <c r="F254" s="26">
        <v>3</v>
      </c>
      <c r="G254" s="26">
        <v>0</v>
      </c>
      <c r="H254" s="26">
        <v>0</v>
      </c>
      <c r="I254" s="26">
        <v>0</v>
      </c>
      <c r="J254" s="26">
        <v>4</v>
      </c>
      <c r="K254" s="26">
        <v>4</v>
      </c>
      <c r="L254" s="26">
        <v>2</v>
      </c>
      <c r="M254" s="26">
        <v>730</v>
      </c>
      <c r="N254" s="26">
        <v>0</v>
      </c>
      <c r="O254" s="26">
        <v>4</v>
      </c>
      <c r="P254" s="27">
        <v>734</v>
      </c>
      <c r="Q254" s="3">
        <v>0</v>
      </c>
      <c r="R254" s="3">
        <v>920</v>
      </c>
      <c r="S254" s="4">
        <v>253</v>
      </c>
      <c r="T254" s="4" t="s">
        <v>538</v>
      </c>
      <c r="U254" s="4" t="s">
        <v>539</v>
      </c>
    </row>
    <row r="255" spans="1:21">
      <c r="A255" s="26">
        <v>254</v>
      </c>
      <c r="B255" s="26">
        <v>254</v>
      </c>
      <c r="C255" s="26">
        <v>6</v>
      </c>
      <c r="D255" s="26">
        <v>317</v>
      </c>
      <c r="E255" s="26">
        <v>259</v>
      </c>
      <c r="F255" s="26">
        <v>2</v>
      </c>
      <c r="G255" s="26">
        <v>0</v>
      </c>
      <c r="H255" s="26">
        <v>0</v>
      </c>
      <c r="I255" s="26">
        <v>0</v>
      </c>
      <c r="J255" s="26">
        <v>0</v>
      </c>
      <c r="K255" s="26">
        <v>0</v>
      </c>
      <c r="L255" s="26">
        <v>2</v>
      </c>
      <c r="M255" s="26">
        <v>586</v>
      </c>
      <c r="N255" s="26">
        <v>0</v>
      </c>
      <c r="O255" s="26">
        <v>5</v>
      </c>
      <c r="P255" s="27">
        <v>591</v>
      </c>
      <c r="Q255" s="3">
        <v>0</v>
      </c>
      <c r="R255" s="3">
        <v>674</v>
      </c>
      <c r="S255" s="4">
        <v>254</v>
      </c>
      <c r="T255" s="4" t="s">
        <v>540</v>
      </c>
      <c r="U255" s="4" t="s">
        <v>541</v>
      </c>
    </row>
    <row r="256" spans="1:21">
      <c r="A256" s="26">
        <v>255</v>
      </c>
      <c r="B256" s="26">
        <v>255</v>
      </c>
      <c r="C256" s="26">
        <v>12</v>
      </c>
      <c r="D256" s="26">
        <v>392</v>
      </c>
      <c r="E256" s="26">
        <v>361</v>
      </c>
      <c r="F256" s="26">
        <v>7</v>
      </c>
      <c r="G256" s="26">
        <v>0</v>
      </c>
      <c r="H256" s="26">
        <v>1</v>
      </c>
      <c r="I256" s="26">
        <v>3</v>
      </c>
      <c r="J256" s="26">
        <v>3</v>
      </c>
      <c r="K256" s="26">
        <v>4</v>
      </c>
      <c r="L256" s="26">
        <v>4</v>
      </c>
      <c r="M256" s="26">
        <v>787</v>
      </c>
      <c r="N256" s="26">
        <v>0</v>
      </c>
      <c r="O256" s="26">
        <v>7</v>
      </c>
      <c r="P256" s="27">
        <v>794</v>
      </c>
      <c r="Q256" s="3">
        <v>0</v>
      </c>
      <c r="R256" s="3">
        <v>1033</v>
      </c>
      <c r="S256" s="4">
        <v>255</v>
      </c>
      <c r="T256" s="4" t="s">
        <v>542</v>
      </c>
      <c r="U256" s="4" t="s">
        <v>543</v>
      </c>
    </row>
    <row r="257" spans="1:21">
      <c r="A257" s="26">
        <v>256</v>
      </c>
      <c r="B257" s="26">
        <v>256</v>
      </c>
      <c r="C257" s="26">
        <v>13</v>
      </c>
      <c r="D257" s="26">
        <v>274</v>
      </c>
      <c r="E257" s="26">
        <v>212</v>
      </c>
      <c r="F257" s="26">
        <v>1</v>
      </c>
      <c r="G257" s="26">
        <v>0</v>
      </c>
      <c r="H257" s="26">
        <v>1</v>
      </c>
      <c r="I257" s="26">
        <v>0</v>
      </c>
      <c r="J257" s="26">
        <v>1</v>
      </c>
      <c r="K257" s="26">
        <v>3</v>
      </c>
      <c r="L257" s="26">
        <v>3</v>
      </c>
      <c r="M257" s="26">
        <v>508</v>
      </c>
      <c r="N257" s="26">
        <v>0</v>
      </c>
      <c r="O257" s="26">
        <v>9</v>
      </c>
      <c r="P257" s="27">
        <v>517</v>
      </c>
      <c r="Q257" s="3">
        <v>0</v>
      </c>
      <c r="R257" s="3">
        <v>618</v>
      </c>
      <c r="S257" s="4">
        <v>256</v>
      </c>
      <c r="T257" s="4" t="s">
        <v>544</v>
      </c>
      <c r="U257" s="4" t="s">
        <v>545</v>
      </c>
    </row>
    <row r="258" spans="1:21">
      <c r="A258" s="26">
        <v>257</v>
      </c>
      <c r="B258" s="26">
        <v>257</v>
      </c>
      <c r="C258" s="26">
        <v>6</v>
      </c>
      <c r="D258" s="26">
        <v>313</v>
      </c>
      <c r="E258" s="26">
        <v>191</v>
      </c>
      <c r="F258" s="26">
        <v>0</v>
      </c>
      <c r="G258" s="26">
        <v>0</v>
      </c>
      <c r="H258" s="26">
        <v>0</v>
      </c>
      <c r="I258" s="26">
        <v>1</v>
      </c>
      <c r="J258" s="26">
        <v>1</v>
      </c>
      <c r="K258" s="26">
        <v>0</v>
      </c>
      <c r="L258" s="26">
        <v>0</v>
      </c>
      <c r="M258" s="26">
        <v>512</v>
      </c>
      <c r="N258" s="26">
        <v>0</v>
      </c>
      <c r="O258" s="26">
        <v>3</v>
      </c>
      <c r="P258" s="27">
        <v>515</v>
      </c>
      <c r="Q258" s="3">
        <v>0</v>
      </c>
      <c r="R258" s="3">
        <v>622</v>
      </c>
      <c r="S258" s="4">
        <v>257</v>
      </c>
      <c r="T258" s="4" t="s">
        <v>546</v>
      </c>
      <c r="U258" s="4" t="s">
        <v>547</v>
      </c>
    </row>
    <row r="259" spans="1:21">
      <c r="A259" s="26">
        <v>258</v>
      </c>
      <c r="B259" s="26">
        <v>258</v>
      </c>
      <c r="C259" s="26">
        <v>9</v>
      </c>
      <c r="D259" s="26">
        <v>194</v>
      </c>
      <c r="E259" s="26">
        <v>504</v>
      </c>
      <c r="F259" s="26">
        <v>7</v>
      </c>
      <c r="G259" s="26">
        <v>0</v>
      </c>
      <c r="H259" s="26">
        <v>0</v>
      </c>
      <c r="I259" s="26">
        <v>0</v>
      </c>
      <c r="J259" s="26">
        <v>2</v>
      </c>
      <c r="K259" s="26">
        <v>4</v>
      </c>
      <c r="L259" s="26">
        <v>1</v>
      </c>
      <c r="M259" s="26">
        <v>721</v>
      </c>
      <c r="N259" s="26">
        <v>0</v>
      </c>
      <c r="O259" s="26">
        <v>2</v>
      </c>
      <c r="P259" s="27">
        <v>723</v>
      </c>
      <c r="Q259" s="3">
        <v>0</v>
      </c>
      <c r="R259" s="3">
        <v>1052</v>
      </c>
      <c r="S259" s="4">
        <v>258</v>
      </c>
      <c r="T259" s="4" t="s">
        <v>548</v>
      </c>
      <c r="U259" s="4" t="s">
        <v>549</v>
      </c>
    </row>
    <row r="260" spans="1:21">
      <c r="A260" s="26">
        <v>259</v>
      </c>
      <c r="B260" s="26">
        <v>259</v>
      </c>
      <c r="C260" s="26">
        <v>11</v>
      </c>
      <c r="D260" s="26">
        <v>204</v>
      </c>
      <c r="E260" s="26">
        <v>310</v>
      </c>
      <c r="F260" s="26">
        <v>6</v>
      </c>
      <c r="G260" s="26">
        <v>1</v>
      </c>
      <c r="H260" s="26">
        <v>0</v>
      </c>
      <c r="I260" s="26">
        <v>0</v>
      </c>
      <c r="J260" s="26">
        <v>3</v>
      </c>
      <c r="K260" s="26">
        <v>0</v>
      </c>
      <c r="L260" s="26">
        <v>1</v>
      </c>
      <c r="M260" s="26">
        <v>536</v>
      </c>
      <c r="N260" s="26">
        <v>0</v>
      </c>
      <c r="O260" s="26">
        <v>2</v>
      </c>
      <c r="P260" s="27">
        <v>538</v>
      </c>
      <c r="Q260" s="3">
        <v>0</v>
      </c>
      <c r="R260" s="3">
        <v>667</v>
      </c>
      <c r="S260" s="4">
        <v>259</v>
      </c>
      <c r="T260" s="4" t="s">
        <v>550</v>
      </c>
      <c r="U260" s="4" t="s">
        <v>551</v>
      </c>
    </row>
    <row r="261" spans="1:21">
      <c r="A261" s="26">
        <v>260</v>
      </c>
      <c r="B261" s="26">
        <v>260</v>
      </c>
      <c r="C261" s="26">
        <v>13</v>
      </c>
      <c r="D261" s="26">
        <v>233</v>
      </c>
      <c r="E261" s="26">
        <v>249</v>
      </c>
      <c r="F261" s="26">
        <v>3</v>
      </c>
      <c r="G261" s="26">
        <v>0</v>
      </c>
      <c r="H261" s="26">
        <v>0</v>
      </c>
      <c r="I261" s="26">
        <v>0</v>
      </c>
      <c r="J261" s="26">
        <v>0</v>
      </c>
      <c r="K261" s="26">
        <v>1</v>
      </c>
      <c r="L261" s="26">
        <v>0</v>
      </c>
      <c r="M261" s="26">
        <v>499</v>
      </c>
      <c r="N261" s="26">
        <v>0</v>
      </c>
      <c r="O261" s="26">
        <v>1</v>
      </c>
      <c r="P261" s="27">
        <v>500</v>
      </c>
      <c r="Q261" s="3">
        <v>0</v>
      </c>
      <c r="R261" s="3">
        <v>584</v>
      </c>
      <c r="S261" s="4">
        <v>260</v>
      </c>
      <c r="T261" s="4" t="s">
        <v>552</v>
      </c>
      <c r="U261" s="4" t="s">
        <v>553</v>
      </c>
    </row>
    <row r="262" spans="1:21">
      <c r="A262" s="26">
        <v>261</v>
      </c>
      <c r="B262" s="26">
        <v>261</v>
      </c>
      <c r="C262" s="26">
        <v>3</v>
      </c>
      <c r="D262" s="26">
        <v>432</v>
      </c>
      <c r="E262" s="26">
        <v>255</v>
      </c>
      <c r="F262" s="26">
        <v>3</v>
      </c>
      <c r="G262" s="26">
        <v>0</v>
      </c>
      <c r="H262" s="26">
        <v>0</v>
      </c>
      <c r="I262" s="26">
        <v>1</v>
      </c>
      <c r="J262" s="26">
        <v>2</v>
      </c>
      <c r="K262" s="26">
        <v>1</v>
      </c>
      <c r="L262" s="26">
        <v>1</v>
      </c>
      <c r="M262" s="26">
        <v>698</v>
      </c>
      <c r="N262" s="26">
        <v>0</v>
      </c>
      <c r="O262" s="26">
        <v>2</v>
      </c>
      <c r="P262" s="27">
        <v>700</v>
      </c>
      <c r="Q262" s="3">
        <v>0</v>
      </c>
      <c r="R262" s="3">
        <v>803</v>
      </c>
      <c r="S262" s="4">
        <v>261</v>
      </c>
      <c r="T262" s="4" t="s">
        <v>554</v>
      </c>
      <c r="U262" s="4" t="s">
        <v>555</v>
      </c>
    </row>
    <row r="263" spans="1:21">
      <c r="A263" s="26">
        <v>262</v>
      </c>
      <c r="B263" s="26">
        <v>262</v>
      </c>
      <c r="C263" s="26">
        <v>4</v>
      </c>
      <c r="D263" s="26">
        <v>301</v>
      </c>
      <c r="E263" s="26">
        <v>284</v>
      </c>
      <c r="F263" s="26">
        <v>5</v>
      </c>
      <c r="G263" s="26">
        <v>0</v>
      </c>
      <c r="H263" s="26">
        <v>0</v>
      </c>
      <c r="I263" s="26">
        <v>1</v>
      </c>
      <c r="J263" s="26">
        <v>3</v>
      </c>
      <c r="K263" s="26">
        <v>4</v>
      </c>
      <c r="L263" s="26">
        <v>3</v>
      </c>
      <c r="M263" s="26">
        <v>605</v>
      </c>
      <c r="N263" s="26">
        <v>0</v>
      </c>
      <c r="O263" s="26">
        <v>1</v>
      </c>
      <c r="P263" s="27">
        <v>606</v>
      </c>
      <c r="Q263" s="3">
        <v>0</v>
      </c>
      <c r="R263" s="3">
        <v>744</v>
      </c>
      <c r="S263" s="4">
        <v>262</v>
      </c>
      <c r="T263" s="4" t="s">
        <v>556</v>
      </c>
      <c r="U263" s="4" t="s">
        <v>557</v>
      </c>
    </row>
    <row r="264" spans="1:21">
      <c r="A264" s="26">
        <v>263</v>
      </c>
      <c r="B264" s="26">
        <v>263</v>
      </c>
      <c r="C264" s="26">
        <v>6</v>
      </c>
      <c r="D264" s="26">
        <v>253</v>
      </c>
      <c r="E264" s="26">
        <v>354</v>
      </c>
      <c r="F264" s="26">
        <v>1</v>
      </c>
      <c r="G264" s="26">
        <v>1</v>
      </c>
      <c r="H264" s="26">
        <v>0</v>
      </c>
      <c r="I264" s="26">
        <v>0</v>
      </c>
      <c r="J264" s="26">
        <v>0</v>
      </c>
      <c r="K264" s="26">
        <v>5</v>
      </c>
      <c r="L264" s="26">
        <v>1</v>
      </c>
      <c r="M264" s="26">
        <v>621</v>
      </c>
      <c r="N264" s="26">
        <v>0</v>
      </c>
      <c r="O264" s="26">
        <v>1</v>
      </c>
      <c r="P264" s="27">
        <v>622</v>
      </c>
      <c r="Q264" s="3">
        <v>0</v>
      </c>
      <c r="R264" s="3">
        <v>704</v>
      </c>
      <c r="S264" s="4">
        <v>263</v>
      </c>
      <c r="T264" s="4" t="s">
        <v>558</v>
      </c>
      <c r="U264" s="4" t="s">
        <v>559</v>
      </c>
    </row>
    <row r="265" spans="1:21">
      <c r="A265" s="26">
        <v>264</v>
      </c>
      <c r="B265" s="26">
        <v>264</v>
      </c>
      <c r="C265" s="26">
        <v>5</v>
      </c>
      <c r="D265" s="26">
        <v>815</v>
      </c>
      <c r="E265" s="26">
        <v>227</v>
      </c>
      <c r="F265" s="26">
        <v>1</v>
      </c>
      <c r="G265" s="26">
        <v>1</v>
      </c>
      <c r="H265" s="26">
        <v>2</v>
      </c>
      <c r="I265" s="26">
        <v>4</v>
      </c>
      <c r="J265" s="26">
        <v>3</v>
      </c>
      <c r="K265" s="26">
        <v>1</v>
      </c>
      <c r="L265" s="26">
        <v>1</v>
      </c>
      <c r="M265" s="26">
        <v>1060</v>
      </c>
      <c r="N265" s="26">
        <v>0</v>
      </c>
      <c r="O265" s="26">
        <v>7</v>
      </c>
      <c r="P265" s="27">
        <v>1067</v>
      </c>
      <c r="Q265" s="3">
        <v>0</v>
      </c>
      <c r="R265" s="3">
        <v>1306</v>
      </c>
      <c r="S265" s="4">
        <v>264</v>
      </c>
      <c r="T265" s="4" t="s">
        <v>560</v>
      </c>
      <c r="U265" s="4" t="s">
        <v>561</v>
      </c>
    </row>
    <row r="266" spans="1:21">
      <c r="A266" s="26">
        <v>265</v>
      </c>
      <c r="B266" s="26">
        <v>265</v>
      </c>
      <c r="C266" s="26">
        <v>9</v>
      </c>
      <c r="D266" s="26">
        <v>704</v>
      </c>
      <c r="E266" s="26">
        <v>296</v>
      </c>
      <c r="F266" s="26">
        <v>3</v>
      </c>
      <c r="G266" s="26">
        <v>3</v>
      </c>
      <c r="H266" s="26">
        <v>4</v>
      </c>
      <c r="I266" s="26">
        <v>0</v>
      </c>
      <c r="J266" s="26">
        <v>5</v>
      </c>
      <c r="K266" s="26">
        <v>0</v>
      </c>
      <c r="L266" s="26">
        <v>3</v>
      </c>
      <c r="M266" s="26">
        <v>1027</v>
      </c>
      <c r="N266" s="26">
        <v>0</v>
      </c>
      <c r="O266" s="26">
        <v>8</v>
      </c>
      <c r="P266" s="27">
        <v>1035</v>
      </c>
      <c r="Q266" s="3">
        <v>0</v>
      </c>
      <c r="R266" s="3">
        <v>1360</v>
      </c>
      <c r="S266" s="4">
        <v>265</v>
      </c>
      <c r="T266" s="4" t="s">
        <v>562</v>
      </c>
      <c r="U266" s="4" t="s">
        <v>563</v>
      </c>
    </row>
    <row r="267" spans="1:21">
      <c r="A267" s="26">
        <v>266</v>
      </c>
      <c r="B267" s="26">
        <v>266</v>
      </c>
      <c r="C267" s="26">
        <v>2</v>
      </c>
      <c r="D267" s="26">
        <v>365</v>
      </c>
      <c r="E267" s="26">
        <v>253</v>
      </c>
      <c r="F267" s="26">
        <v>3</v>
      </c>
      <c r="G267" s="26">
        <v>1</v>
      </c>
      <c r="H267" s="26">
        <v>0</v>
      </c>
      <c r="I267" s="26">
        <v>0</v>
      </c>
      <c r="J267" s="26">
        <v>2</v>
      </c>
      <c r="K267" s="26">
        <v>0</v>
      </c>
      <c r="L267" s="26">
        <v>1</v>
      </c>
      <c r="M267" s="26">
        <v>627</v>
      </c>
      <c r="N267" s="26">
        <v>0</v>
      </c>
      <c r="O267" s="26">
        <v>1</v>
      </c>
      <c r="P267" s="27">
        <v>628</v>
      </c>
      <c r="Q267" s="3">
        <v>0</v>
      </c>
      <c r="R267" s="3">
        <v>746</v>
      </c>
      <c r="S267" s="4">
        <v>266</v>
      </c>
      <c r="T267" s="4" t="s">
        <v>564</v>
      </c>
      <c r="U267" s="4" t="s">
        <v>565</v>
      </c>
    </row>
    <row r="268" spans="1:21">
      <c r="A268" s="26">
        <v>267</v>
      </c>
      <c r="B268" s="26">
        <v>267</v>
      </c>
      <c r="C268" s="26">
        <v>2</v>
      </c>
      <c r="D268" s="26">
        <v>275</v>
      </c>
      <c r="E268" s="26">
        <v>105</v>
      </c>
      <c r="F268" s="26">
        <v>0</v>
      </c>
      <c r="G268" s="26">
        <v>0</v>
      </c>
      <c r="H268" s="26">
        <v>0</v>
      </c>
      <c r="I268" s="26">
        <v>0</v>
      </c>
      <c r="J268" s="26">
        <v>1</v>
      </c>
      <c r="K268" s="26">
        <v>0</v>
      </c>
      <c r="L268" s="26">
        <v>2</v>
      </c>
      <c r="M268" s="26">
        <v>385</v>
      </c>
      <c r="N268" s="26">
        <v>0</v>
      </c>
      <c r="O268" s="26">
        <v>4</v>
      </c>
      <c r="P268" s="27">
        <v>389</v>
      </c>
      <c r="Q268" s="3">
        <v>0</v>
      </c>
      <c r="R268" s="3">
        <v>526</v>
      </c>
      <c r="S268" s="4">
        <v>267</v>
      </c>
      <c r="T268" s="4" t="s">
        <v>566</v>
      </c>
      <c r="U268" s="4" t="s">
        <v>567</v>
      </c>
    </row>
    <row r="269" spans="1:21">
      <c r="A269" s="26">
        <v>268</v>
      </c>
      <c r="B269" s="26">
        <v>268</v>
      </c>
      <c r="C269" s="26">
        <v>14</v>
      </c>
      <c r="D269" s="26">
        <v>476</v>
      </c>
      <c r="E269" s="26">
        <v>291</v>
      </c>
      <c r="F269" s="26">
        <v>5</v>
      </c>
      <c r="G269" s="26">
        <v>2</v>
      </c>
      <c r="H269" s="26">
        <v>0</v>
      </c>
      <c r="I269" s="26">
        <v>0</v>
      </c>
      <c r="J269" s="26">
        <v>1</v>
      </c>
      <c r="K269" s="26">
        <v>3</v>
      </c>
      <c r="L269" s="26">
        <v>2</v>
      </c>
      <c r="M269" s="26">
        <v>794</v>
      </c>
      <c r="N269" s="26">
        <v>0</v>
      </c>
      <c r="O269" s="26">
        <v>2</v>
      </c>
      <c r="P269" s="27">
        <v>796</v>
      </c>
      <c r="Q269" s="3">
        <v>0</v>
      </c>
      <c r="R269" s="3">
        <v>1075</v>
      </c>
      <c r="S269" s="4">
        <v>268</v>
      </c>
      <c r="T269" s="4" t="s">
        <v>568</v>
      </c>
      <c r="U269" s="4" t="s">
        <v>569</v>
      </c>
    </row>
    <row r="270" spans="1:21">
      <c r="A270" s="26">
        <v>269</v>
      </c>
      <c r="B270" s="26">
        <v>269</v>
      </c>
      <c r="C270" s="26">
        <v>7</v>
      </c>
      <c r="D270" s="26">
        <v>497</v>
      </c>
      <c r="E270" s="26">
        <v>254</v>
      </c>
      <c r="F270" s="26">
        <v>3</v>
      </c>
      <c r="G270" s="26">
        <v>2</v>
      </c>
      <c r="H270" s="26">
        <v>1</v>
      </c>
      <c r="I270" s="26">
        <v>0</v>
      </c>
      <c r="J270" s="26">
        <v>1</v>
      </c>
      <c r="K270" s="26">
        <v>4</v>
      </c>
      <c r="L270" s="26">
        <v>3</v>
      </c>
      <c r="M270" s="26">
        <v>772</v>
      </c>
      <c r="N270" s="26">
        <v>0</v>
      </c>
      <c r="O270" s="26">
        <v>7</v>
      </c>
      <c r="P270" s="27">
        <v>779</v>
      </c>
      <c r="Q270" s="3">
        <v>0</v>
      </c>
      <c r="R270" s="3">
        <v>1065</v>
      </c>
      <c r="S270" s="4">
        <v>269</v>
      </c>
      <c r="T270" s="4" t="s">
        <v>570</v>
      </c>
      <c r="U270" s="4" t="s">
        <v>571</v>
      </c>
    </row>
    <row r="271" spans="1:21">
      <c r="A271" s="26">
        <v>270</v>
      </c>
      <c r="B271" s="26">
        <v>270</v>
      </c>
      <c r="C271" s="26">
        <v>0</v>
      </c>
      <c r="D271" s="26">
        <v>114</v>
      </c>
      <c r="E271" s="26">
        <v>64</v>
      </c>
      <c r="F271" s="26">
        <v>0</v>
      </c>
      <c r="G271" s="26">
        <v>0</v>
      </c>
      <c r="H271" s="26">
        <v>0</v>
      </c>
      <c r="I271" s="26">
        <v>0</v>
      </c>
      <c r="J271" s="26">
        <v>0</v>
      </c>
      <c r="K271" s="26">
        <v>0</v>
      </c>
      <c r="L271" s="26">
        <v>0</v>
      </c>
      <c r="M271" s="26">
        <v>178</v>
      </c>
      <c r="N271" s="26">
        <v>0</v>
      </c>
      <c r="O271" s="26">
        <v>0</v>
      </c>
      <c r="P271" s="27">
        <v>178</v>
      </c>
      <c r="Q271" s="3">
        <v>0</v>
      </c>
      <c r="R271" s="3">
        <v>222</v>
      </c>
      <c r="S271" s="4">
        <v>270</v>
      </c>
      <c r="T271" s="4" t="s">
        <v>572</v>
      </c>
      <c r="U271" s="4" t="s">
        <v>573</v>
      </c>
    </row>
    <row r="272" spans="1:21">
      <c r="A272" s="26">
        <v>271</v>
      </c>
      <c r="B272" s="26">
        <v>271</v>
      </c>
      <c r="C272" s="26">
        <v>5</v>
      </c>
      <c r="D272" s="26">
        <v>160</v>
      </c>
      <c r="E272" s="26">
        <v>161</v>
      </c>
      <c r="F272" s="26">
        <v>3</v>
      </c>
      <c r="G272" s="26">
        <v>0</v>
      </c>
      <c r="H272" s="26">
        <v>0</v>
      </c>
      <c r="I272" s="26">
        <v>1</v>
      </c>
      <c r="J272" s="26">
        <v>0</v>
      </c>
      <c r="K272" s="26">
        <v>0</v>
      </c>
      <c r="L272" s="26">
        <v>1</v>
      </c>
      <c r="M272" s="26">
        <v>331</v>
      </c>
      <c r="N272" s="26">
        <v>0</v>
      </c>
      <c r="O272" s="26">
        <v>2</v>
      </c>
      <c r="P272" s="27">
        <v>333</v>
      </c>
      <c r="Q272" s="3">
        <v>0</v>
      </c>
      <c r="R272" s="3">
        <v>397</v>
      </c>
      <c r="S272" s="4">
        <v>271</v>
      </c>
      <c r="T272" s="4" t="s">
        <v>574</v>
      </c>
      <c r="U272" s="4" t="s">
        <v>575</v>
      </c>
    </row>
    <row r="273" spans="1:21">
      <c r="A273" s="26">
        <v>272</v>
      </c>
      <c r="B273" s="26">
        <v>272</v>
      </c>
      <c r="C273" s="26">
        <v>0</v>
      </c>
      <c r="D273" s="26">
        <v>105</v>
      </c>
      <c r="E273" s="26">
        <v>145</v>
      </c>
      <c r="F273" s="26">
        <v>1</v>
      </c>
      <c r="G273" s="26">
        <v>2</v>
      </c>
      <c r="H273" s="26">
        <v>0</v>
      </c>
      <c r="I273" s="26">
        <v>0</v>
      </c>
      <c r="J273" s="26">
        <v>2</v>
      </c>
      <c r="K273" s="26">
        <v>0</v>
      </c>
      <c r="L273" s="26">
        <v>0</v>
      </c>
      <c r="M273" s="26">
        <v>255</v>
      </c>
      <c r="N273" s="26">
        <v>0</v>
      </c>
      <c r="O273" s="26">
        <v>2</v>
      </c>
      <c r="P273" s="27">
        <v>257</v>
      </c>
      <c r="Q273" s="3">
        <v>0</v>
      </c>
      <c r="R273" s="3">
        <v>364</v>
      </c>
      <c r="S273" s="4">
        <v>272</v>
      </c>
      <c r="T273" s="4" t="s">
        <v>576</v>
      </c>
      <c r="U273" s="4" t="s">
        <v>577</v>
      </c>
    </row>
    <row r="274" spans="1:21">
      <c r="A274" s="26">
        <v>273</v>
      </c>
      <c r="B274" s="26">
        <v>273</v>
      </c>
      <c r="C274" s="26">
        <v>7</v>
      </c>
      <c r="D274" s="26">
        <v>479</v>
      </c>
      <c r="E274" s="26">
        <v>334</v>
      </c>
      <c r="F274" s="26">
        <v>6</v>
      </c>
      <c r="G274" s="26">
        <v>0</v>
      </c>
      <c r="H274" s="26">
        <v>0</v>
      </c>
      <c r="I274" s="26">
        <v>0</v>
      </c>
      <c r="J274" s="26">
        <v>3</v>
      </c>
      <c r="K274" s="26">
        <v>6</v>
      </c>
      <c r="L274" s="26">
        <v>0</v>
      </c>
      <c r="M274" s="26">
        <v>835</v>
      </c>
      <c r="N274" s="26">
        <v>0</v>
      </c>
      <c r="O274" s="26">
        <v>5</v>
      </c>
      <c r="P274" s="27">
        <v>840</v>
      </c>
      <c r="Q274" s="3">
        <v>0</v>
      </c>
      <c r="R274" s="3">
        <v>1121</v>
      </c>
      <c r="S274" s="4">
        <v>273</v>
      </c>
      <c r="T274" s="4" t="s">
        <v>578</v>
      </c>
      <c r="U274" s="4" t="s">
        <v>579</v>
      </c>
    </row>
    <row r="275" spans="1:21">
      <c r="A275" s="26">
        <v>274</v>
      </c>
      <c r="B275" s="26">
        <v>274</v>
      </c>
      <c r="C275" s="26">
        <v>6</v>
      </c>
      <c r="D275" s="26">
        <v>118</v>
      </c>
      <c r="E275" s="26">
        <v>422</v>
      </c>
      <c r="F275" s="26">
        <v>4</v>
      </c>
      <c r="G275" s="26">
        <v>0</v>
      </c>
      <c r="H275" s="26">
        <v>0</v>
      </c>
      <c r="I275" s="26">
        <v>0</v>
      </c>
      <c r="J275" s="26">
        <v>0</v>
      </c>
      <c r="K275" s="26">
        <v>0</v>
      </c>
      <c r="L275" s="26">
        <v>2</v>
      </c>
      <c r="M275" s="26">
        <v>552</v>
      </c>
      <c r="N275" s="26">
        <v>0</v>
      </c>
      <c r="O275" s="26">
        <v>3</v>
      </c>
      <c r="P275" s="27">
        <v>555</v>
      </c>
      <c r="Q275" s="3">
        <v>0</v>
      </c>
      <c r="R275" s="3">
        <v>721</v>
      </c>
      <c r="S275" s="4">
        <v>274</v>
      </c>
      <c r="T275" s="4" t="s">
        <v>580</v>
      </c>
      <c r="U275" s="4" t="s">
        <v>581</v>
      </c>
    </row>
    <row r="276" spans="1:21">
      <c r="A276" s="26">
        <v>275</v>
      </c>
      <c r="B276" s="26">
        <v>275</v>
      </c>
      <c r="C276" s="26">
        <v>4</v>
      </c>
      <c r="D276" s="26">
        <v>197</v>
      </c>
      <c r="E276" s="26">
        <v>407</v>
      </c>
      <c r="F276" s="26">
        <v>7</v>
      </c>
      <c r="G276" s="26">
        <v>2</v>
      </c>
      <c r="H276" s="26">
        <v>0</v>
      </c>
      <c r="I276" s="26">
        <v>0</v>
      </c>
      <c r="J276" s="26">
        <v>2</v>
      </c>
      <c r="K276" s="26">
        <v>1</v>
      </c>
      <c r="L276" s="26">
        <v>0</v>
      </c>
      <c r="M276" s="26">
        <v>620</v>
      </c>
      <c r="N276" s="26">
        <v>0</v>
      </c>
      <c r="O276" s="26">
        <v>3</v>
      </c>
      <c r="P276" s="27">
        <v>623</v>
      </c>
      <c r="Q276" s="3">
        <v>0</v>
      </c>
      <c r="R276" s="3">
        <v>764</v>
      </c>
      <c r="S276" s="4">
        <v>275</v>
      </c>
      <c r="T276" s="4" t="s">
        <v>582</v>
      </c>
      <c r="U276" s="4" t="s">
        <v>583</v>
      </c>
    </row>
    <row r="277" spans="1:21">
      <c r="A277" s="33" t="s">
        <v>22</v>
      </c>
      <c r="B277" s="34"/>
      <c r="C277" s="30">
        <v>1148</v>
      </c>
      <c r="D277" s="30">
        <v>98460</v>
      </c>
      <c r="E277" s="30">
        <v>70788</v>
      </c>
      <c r="F277" s="30">
        <v>663</v>
      </c>
      <c r="G277" s="30">
        <v>113</v>
      </c>
      <c r="H277" s="30">
        <v>106</v>
      </c>
      <c r="I277" s="30">
        <v>115</v>
      </c>
      <c r="J277" s="30">
        <v>269</v>
      </c>
      <c r="K277" s="30">
        <v>405</v>
      </c>
      <c r="L277" s="30">
        <v>396</v>
      </c>
      <c r="M277" s="30">
        <v>172463</v>
      </c>
      <c r="N277" s="30">
        <v>0</v>
      </c>
      <c r="O277" s="30">
        <v>1288</v>
      </c>
      <c r="P277" s="31">
        <v>173751</v>
      </c>
      <c r="Q277" s="6">
        <v>0</v>
      </c>
      <c r="R277" s="6">
        <v>764</v>
      </c>
      <c r="S277" s="4">
        <v>275</v>
      </c>
      <c r="T277" s="4" t="s">
        <v>582</v>
      </c>
      <c r="U277" s="4" t="s">
        <v>583</v>
      </c>
    </row>
    <row r="278" spans="1:21" ht="46">
      <c r="A278" s="32" t="s">
        <v>23</v>
      </c>
      <c r="B278" s="26"/>
      <c r="C278" s="26">
        <v>22</v>
      </c>
      <c r="D278" s="26">
        <v>786</v>
      </c>
      <c r="E278" s="26">
        <v>1648</v>
      </c>
      <c r="F278" s="26">
        <v>1</v>
      </c>
      <c r="G278" s="26">
        <v>1</v>
      </c>
      <c r="H278" s="26">
        <v>1</v>
      </c>
      <c r="I278" s="26">
        <v>1</v>
      </c>
      <c r="J278" s="26">
        <v>2</v>
      </c>
      <c r="K278" s="26">
        <v>0</v>
      </c>
      <c r="L278" s="26">
        <v>2</v>
      </c>
      <c r="M278" s="26">
        <v>2464</v>
      </c>
      <c r="N278" s="26">
        <v>119</v>
      </c>
      <c r="O278" s="26">
        <v>35</v>
      </c>
      <c r="P278" s="27">
        <v>2618</v>
      </c>
      <c r="Q278" s="3">
        <v>0</v>
      </c>
      <c r="R278" s="3"/>
      <c r="S278" s="4"/>
      <c r="T278" s="4"/>
      <c r="U278" s="4"/>
    </row>
    <row r="279" spans="1:21" ht="34.5">
      <c r="A279" s="32" t="s">
        <v>24</v>
      </c>
      <c r="B279" s="30"/>
      <c r="C279" s="30">
        <v>1170</v>
      </c>
      <c r="D279" s="30">
        <v>99246</v>
      </c>
      <c r="E279" s="30">
        <v>72436</v>
      </c>
      <c r="F279" s="30">
        <v>664</v>
      </c>
      <c r="G279" s="30">
        <v>114</v>
      </c>
      <c r="H279" s="30">
        <v>107</v>
      </c>
      <c r="I279" s="30">
        <v>116</v>
      </c>
      <c r="J279" s="30">
        <v>271</v>
      </c>
      <c r="K279" s="30">
        <v>405</v>
      </c>
      <c r="L279" s="30">
        <v>398</v>
      </c>
      <c r="M279" s="30">
        <v>174927</v>
      </c>
      <c r="N279" s="30">
        <v>119</v>
      </c>
      <c r="O279" s="30">
        <v>1323</v>
      </c>
      <c r="P279" s="31">
        <v>176369</v>
      </c>
      <c r="Q279" s="6">
        <v>0</v>
      </c>
      <c r="R279" s="6"/>
      <c r="S279" s="4"/>
      <c r="T279" s="4"/>
      <c r="U279" s="4"/>
    </row>
  </sheetData>
  <mergeCells count="1">
    <mergeCell ref="A277:B2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E3C1-5A01-48F1-AA80-E145432B27DF}">
  <dimension ref="A1:U280"/>
  <sheetViews>
    <sheetView workbookViewId="0">
      <selection sqref="A1:T2"/>
    </sheetView>
  </sheetViews>
  <sheetFormatPr defaultRowHeight="14"/>
  <cols>
    <col min="1" max="18" width="9.1640625" style="10"/>
    <col min="19" max="19" width="15" style="14" customWidth="1"/>
    <col min="20" max="20" width="17.1640625" style="14" customWidth="1"/>
    <col min="21" max="21" width="9.1640625" style="10"/>
  </cols>
  <sheetData>
    <row r="1" spans="1:21" ht="46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4" t="s">
        <v>18</v>
      </c>
      <c r="T1" s="14" t="s">
        <v>19</v>
      </c>
      <c r="U1" s="2"/>
    </row>
    <row r="2" spans="1:21" ht="34.5">
      <c r="A2" s="1"/>
      <c r="B2" s="1"/>
      <c r="C2" s="5"/>
      <c r="D2" s="1" t="s">
        <v>20</v>
      </c>
      <c r="E2" s="1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U2" s="2"/>
    </row>
    <row r="3" spans="1:21">
      <c r="A3" s="8">
        <v>1</v>
      </c>
      <c r="B3" s="8">
        <v>1</v>
      </c>
      <c r="C3" s="8">
        <v>2</v>
      </c>
      <c r="D3" s="8">
        <v>220</v>
      </c>
      <c r="E3" s="8">
        <v>160</v>
      </c>
      <c r="F3" s="8">
        <v>1</v>
      </c>
      <c r="G3" s="8">
        <v>0</v>
      </c>
      <c r="H3" s="8">
        <v>0</v>
      </c>
      <c r="I3" s="8">
        <v>1</v>
      </c>
      <c r="J3" s="8">
        <v>1</v>
      </c>
      <c r="K3" s="8">
        <v>1</v>
      </c>
      <c r="L3" s="8">
        <v>0</v>
      </c>
      <c r="M3" s="8">
        <v>386</v>
      </c>
      <c r="N3" s="8">
        <v>0</v>
      </c>
      <c r="O3" s="8">
        <v>1</v>
      </c>
      <c r="P3" s="8">
        <v>387</v>
      </c>
      <c r="Q3" s="8">
        <v>0</v>
      </c>
      <c r="R3" s="8">
        <v>432</v>
      </c>
      <c r="S3" s="15">
        <f t="shared" ref="S3:S66" si="0">MAX(D3,E3)-MIN(D3,E3)</f>
        <v>60</v>
      </c>
      <c r="T3" s="15">
        <f>(P3/R3)*100</f>
        <v>89.583333333333343</v>
      </c>
      <c r="U3" s="4"/>
    </row>
    <row r="4" spans="1:21">
      <c r="A4" s="8">
        <v>2</v>
      </c>
      <c r="B4" s="8">
        <v>2</v>
      </c>
      <c r="C4" s="8">
        <v>8</v>
      </c>
      <c r="D4" s="8">
        <v>454</v>
      </c>
      <c r="E4" s="8">
        <v>222</v>
      </c>
      <c r="F4" s="8">
        <v>2</v>
      </c>
      <c r="G4" s="8">
        <v>0</v>
      </c>
      <c r="H4" s="8">
        <v>1</v>
      </c>
      <c r="I4" s="8">
        <v>0</v>
      </c>
      <c r="J4" s="8">
        <v>2</v>
      </c>
      <c r="K4" s="8">
        <v>1</v>
      </c>
      <c r="L4" s="8">
        <v>1</v>
      </c>
      <c r="M4" s="8">
        <v>691</v>
      </c>
      <c r="N4" s="8">
        <v>0</v>
      </c>
      <c r="O4" s="8">
        <v>7</v>
      </c>
      <c r="P4" s="8">
        <v>698</v>
      </c>
      <c r="Q4" s="8">
        <v>0</v>
      </c>
      <c r="R4" s="8">
        <v>967</v>
      </c>
      <c r="S4" s="15">
        <f t="shared" si="0"/>
        <v>232</v>
      </c>
      <c r="T4" s="15">
        <f t="shared" ref="T4:T67" si="1">(P4/R4)*100</f>
        <v>72.182006204756973</v>
      </c>
      <c r="U4" s="4"/>
    </row>
    <row r="5" spans="1:21">
      <c r="A5" s="8">
        <v>3</v>
      </c>
      <c r="B5" s="8">
        <v>3</v>
      </c>
      <c r="C5" s="8">
        <v>6</v>
      </c>
      <c r="D5" s="8">
        <v>360</v>
      </c>
      <c r="E5" s="8">
        <v>290</v>
      </c>
      <c r="F5" s="8">
        <v>5</v>
      </c>
      <c r="G5" s="8">
        <v>2</v>
      </c>
      <c r="H5" s="8">
        <v>0</v>
      </c>
      <c r="I5" s="8">
        <v>2</v>
      </c>
      <c r="J5" s="8">
        <v>0</v>
      </c>
      <c r="K5" s="8">
        <v>1</v>
      </c>
      <c r="L5" s="8">
        <v>3</v>
      </c>
      <c r="M5" s="8">
        <v>669</v>
      </c>
      <c r="N5" s="8">
        <v>0</v>
      </c>
      <c r="O5" s="8">
        <v>6</v>
      </c>
      <c r="P5" s="8">
        <v>675</v>
      </c>
      <c r="Q5" s="8">
        <v>0</v>
      </c>
      <c r="R5" s="8">
        <v>852</v>
      </c>
      <c r="S5" s="15">
        <f t="shared" si="0"/>
        <v>70</v>
      </c>
      <c r="T5" s="15">
        <f t="shared" si="1"/>
        <v>79.225352112676063</v>
      </c>
      <c r="U5" s="4"/>
    </row>
    <row r="6" spans="1:21" ht="14.25" customHeight="1">
      <c r="A6" s="8">
        <v>4</v>
      </c>
      <c r="B6" s="8">
        <v>4</v>
      </c>
      <c r="C6" s="8">
        <v>3</v>
      </c>
      <c r="D6" s="8">
        <v>428</v>
      </c>
      <c r="E6" s="8">
        <v>234</v>
      </c>
      <c r="F6" s="8">
        <v>2</v>
      </c>
      <c r="G6" s="8">
        <v>0</v>
      </c>
      <c r="H6" s="8">
        <v>1</v>
      </c>
      <c r="I6" s="8">
        <v>0</v>
      </c>
      <c r="J6" s="8">
        <v>1</v>
      </c>
      <c r="K6" s="8">
        <v>7</v>
      </c>
      <c r="L6" s="8">
        <v>3</v>
      </c>
      <c r="M6" s="8">
        <v>679</v>
      </c>
      <c r="N6" s="8">
        <v>0</v>
      </c>
      <c r="O6" s="8">
        <v>5</v>
      </c>
      <c r="P6" s="8">
        <v>684</v>
      </c>
      <c r="Q6" s="8">
        <v>0</v>
      </c>
      <c r="R6" s="8">
        <v>865</v>
      </c>
      <c r="S6" s="15">
        <f t="shared" si="0"/>
        <v>194</v>
      </c>
      <c r="T6" s="15">
        <f t="shared" si="1"/>
        <v>79.075144508670519</v>
      </c>
      <c r="U6" s="4"/>
    </row>
    <row r="7" spans="1:21">
      <c r="A7" s="8">
        <v>5</v>
      </c>
      <c r="B7" s="8">
        <v>5</v>
      </c>
      <c r="C7" s="8">
        <v>5</v>
      </c>
      <c r="D7" s="8">
        <v>222</v>
      </c>
      <c r="E7" s="8">
        <v>184</v>
      </c>
      <c r="F7" s="8">
        <v>2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</v>
      </c>
      <c r="M7" s="8">
        <v>414</v>
      </c>
      <c r="N7" s="8">
        <v>0</v>
      </c>
      <c r="O7" s="8">
        <v>0</v>
      </c>
      <c r="P7" s="8">
        <v>414</v>
      </c>
      <c r="Q7" s="8">
        <v>0</v>
      </c>
      <c r="R7" s="8">
        <v>497</v>
      </c>
      <c r="S7" s="15">
        <f t="shared" si="0"/>
        <v>38</v>
      </c>
      <c r="T7" s="15">
        <f t="shared" si="1"/>
        <v>83.299798792756548</v>
      </c>
      <c r="U7" s="4"/>
    </row>
    <row r="8" spans="1:21">
      <c r="A8" s="8">
        <v>6</v>
      </c>
      <c r="B8" s="8">
        <v>6</v>
      </c>
      <c r="C8" s="8">
        <v>6</v>
      </c>
      <c r="D8" s="8">
        <v>411</v>
      </c>
      <c r="E8" s="8">
        <v>270</v>
      </c>
      <c r="F8" s="8">
        <v>5</v>
      </c>
      <c r="G8" s="8">
        <v>0</v>
      </c>
      <c r="H8" s="8">
        <v>1</v>
      </c>
      <c r="I8" s="8">
        <v>2</v>
      </c>
      <c r="J8" s="8">
        <v>3</v>
      </c>
      <c r="K8" s="8">
        <v>1</v>
      </c>
      <c r="L8" s="8">
        <v>3</v>
      </c>
      <c r="M8" s="8">
        <v>702</v>
      </c>
      <c r="N8" s="8">
        <v>0</v>
      </c>
      <c r="O8" s="8">
        <v>3</v>
      </c>
      <c r="P8" s="8">
        <v>705</v>
      </c>
      <c r="Q8" s="8">
        <v>0</v>
      </c>
      <c r="R8" s="8">
        <v>986</v>
      </c>
      <c r="S8" s="15">
        <f t="shared" si="0"/>
        <v>141</v>
      </c>
      <c r="T8" s="15">
        <f t="shared" si="1"/>
        <v>71.501014198782968</v>
      </c>
      <c r="U8" s="4"/>
    </row>
    <row r="9" spans="1:21">
      <c r="A9" s="9">
        <v>7</v>
      </c>
      <c r="B9" s="9">
        <v>7</v>
      </c>
      <c r="C9" s="9">
        <v>4</v>
      </c>
      <c r="D9" s="9">
        <v>198</v>
      </c>
      <c r="E9" s="9">
        <v>204</v>
      </c>
      <c r="F9" s="9">
        <v>1</v>
      </c>
      <c r="G9" s="9">
        <v>1</v>
      </c>
      <c r="H9" s="9">
        <v>0</v>
      </c>
      <c r="I9" s="9">
        <v>1</v>
      </c>
      <c r="J9" s="9">
        <v>0</v>
      </c>
      <c r="K9" s="9">
        <v>5</v>
      </c>
      <c r="L9" s="9">
        <v>2</v>
      </c>
      <c r="M9" s="9">
        <v>416</v>
      </c>
      <c r="N9" s="9">
        <v>0</v>
      </c>
      <c r="O9" s="9">
        <v>2</v>
      </c>
      <c r="P9" s="9">
        <v>418</v>
      </c>
      <c r="Q9" s="9">
        <v>0</v>
      </c>
      <c r="R9" s="9">
        <v>492</v>
      </c>
      <c r="S9" s="16">
        <f t="shared" si="0"/>
        <v>6</v>
      </c>
      <c r="T9" s="16">
        <f t="shared" si="1"/>
        <v>84.959349593495944</v>
      </c>
      <c r="U9" s="4"/>
    </row>
    <row r="10" spans="1:21">
      <c r="A10" s="8">
        <v>8</v>
      </c>
      <c r="B10" s="8">
        <v>8</v>
      </c>
      <c r="C10" s="8">
        <v>3</v>
      </c>
      <c r="D10" s="8">
        <v>308</v>
      </c>
      <c r="E10" s="8">
        <v>171</v>
      </c>
      <c r="F10" s="8">
        <v>2</v>
      </c>
      <c r="G10" s="8">
        <v>0</v>
      </c>
      <c r="H10" s="8">
        <v>2</v>
      </c>
      <c r="I10" s="8">
        <v>0</v>
      </c>
      <c r="J10" s="8">
        <v>1</v>
      </c>
      <c r="K10" s="8">
        <v>2</v>
      </c>
      <c r="L10" s="8">
        <v>0</v>
      </c>
      <c r="M10" s="8">
        <v>489</v>
      </c>
      <c r="N10" s="8">
        <v>0</v>
      </c>
      <c r="O10" s="8">
        <v>2</v>
      </c>
      <c r="P10" s="8">
        <v>491</v>
      </c>
      <c r="Q10" s="8">
        <v>0</v>
      </c>
      <c r="R10" s="8">
        <v>615</v>
      </c>
      <c r="S10" s="15">
        <f t="shared" si="0"/>
        <v>137</v>
      </c>
      <c r="T10" s="15">
        <f t="shared" si="1"/>
        <v>79.837398373983731</v>
      </c>
      <c r="U10" s="4"/>
    </row>
    <row r="11" spans="1:21">
      <c r="A11" s="8">
        <v>9</v>
      </c>
      <c r="B11" s="8">
        <v>9</v>
      </c>
      <c r="C11" s="8">
        <v>2</v>
      </c>
      <c r="D11" s="8">
        <v>214</v>
      </c>
      <c r="E11" s="8">
        <v>138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v>1</v>
      </c>
      <c r="L11" s="8">
        <v>0</v>
      </c>
      <c r="M11" s="8">
        <v>356</v>
      </c>
      <c r="N11" s="8">
        <v>0</v>
      </c>
      <c r="O11" s="8">
        <v>0</v>
      </c>
      <c r="P11" s="8">
        <v>356</v>
      </c>
      <c r="Q11" s="8">
        <v>0</v>
      </c>
      <c r="R11" s="8">
        <v>434</v>
      </c>
      <c r="S11" s="15">
        <f t="shared" si="0"/>
        <v>76</v>
      </c>
      <c r="T11" s="15">
        <f t="shared" si="1"/>
        <v>82.027649769585253</v>
      </c>
      <c r="U11" s="4"/>
    </row>
    <row r="12" spans="1:21">
      <c r="A12" s="8">
        <v>10</v>
      </c>
      <c r="B12" s="8">
        <v>10</v>
      </c>
      <c r="C12" s="8">
        <v>8</v>
      </c>
      <c r="D12" s="8">
        <v>228</v>
      </c>
      <c r="E12" s="8">
        <v>170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</v>
      </c>
      <c r="M12" s="8">
        <v>408</v>
      </c>
      <c r="N12" s="8">
        <v>0</v>
      </c>
      <c r="O12" s="8">
        <v>0</v>
      </c>
      <c r="P12" s="8">
        <v>408</v>
      </c>
      <c r="Q12" s="8">
        <v>0</v>
      </c>
      <c r="R12" s="8">
        <v>527</v>
      </c>
      <c r="S12" s="15">
        <f t="shared" si="0"/>
        <v>58</v>
      </c>
      <c r="T12" s="15">
        <f t="shared" si="1"/>
        <v>77.41935483870968</v>
      </c>
      <c r="U12" s="4"/>
    </row>
    <row r="13" spans="1:21">
      <c r="A13" s="8">
        <v>11</v>
      </c>
      <c r="B13" s="8">
        <v>11</v>
      </c>
      <c r="C13" s="8">
        <v>2</v>
      </c>
      <c r="D13" s="8">
        <v>412</v>
      </c>
      <c r="E13" s="8">
        <v>247</v>
      </c>
      <c r="F13" s="8">
        <v>7</v>
      </c>
      <c r="G13" s="8">
        <v>1</v>
      </c>
      <c r="H13" s="8">
        <v>0</v>
      </c>
      <c r="I13" s="8">
        <v>1</v>
      </c>
      <c r="J13" s="8">
        <v>1</v>
      </c>
      <c r="K13" s="8">
        <v>1</v>
      </c>
      <c r="L13" s="8">
        <v>1</v>
      </c>
      <c r="M13" s="8">
        <v>673</v>
      </c>
      <c r="N13" s="8">
        <v>0</v>
      </c>
      <c r="O13" s="8">
        <v>0</v>
      </c>
      <c r="P13" s="8">
        <v>673</v>
      </c>
      <c r="Q13" s="8">
        <v>0</v>
      </c>
      <c r="R13" s="8">
        <v>766</v>
      </c>
      <c r="S13" s="15">
        <f t="shared" si="0"/>
        <v>165</v>
      </c>
      <c r="T13" s="15">
        <f t="shared" si="1"/>
        <v>87.859007832898172</v>
      </c>
      <c r="U13" s="4"/>
    </row>
    <row r="14" spans="1:21">
      <c r="A14" s="8">
        <v>12</v>
      </c>
      <c r="B14" s="8">
        <v>12</v>
      </c>
      <c r="C14" s="8">
        <v>3</v>
      </c>
      <c r="D14" s="8">
        <v>265</v>
      </c>
      <c r="E14" s="8">
        <v>90</v>
      </c>
      <c r="F14" s="8">
        <v>1</v>
      </c>
      <c r="G14" s="8">
        <v>0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364</v>
      </c>
      <c r="N14" s="8">
        <v>0</v>
      </c>
      <c r="O14" s="8">
        <v>2</v>
      </c>
      <c r="P14" s="8">
        <v>366</v>
      </c>
      <c r="Q14" s="8">
        <v>0</v>
      </c>
      <c r="R14" s="8">
        <v>437</v>
      </c>
      <c r="S14" s="15">
        <f t="shared" si="0"/>
        <v>175</v>
      </c>
      <c r="T14" s="15">
        <f t="shared" si="1"/>
        <v>83.752860411899306</v>
      </c>
      <c r="U14" s="4"/>
    </row>
    <row r="15" spans="1:21">
      <c r="A15" s="8">
        <v>13</v>
      </c>
      <c r="B15" s="8">
        <v>13</v>
      </c>
      <c r="C15" s="8">
        <v>4</v>
      </c>
      <c r="D15" s="8">
        <v>272</v>
      </c>
      <c r="E15" s="8">
        <v>157</v>
      </c>
      <c r="F15" s="8">
        <v>4</v>
      </c>
      <c r="G15" s="8">
        <v>0</v>
      </c>
      <c r="H15" s="8">
        <v>1</v>
      </c>
      <c r="I15" s="8">
        <v>1</v>
      </c>
      <c r="J15" s="8">
        <v>2</v>
      </c>
      <c r="K15" s="8">
        <v>2</v>
      </c>
      <c r="L15" s="8">
        <v>2</v>
      </c>
      <c r="M15" s="8">
        <v>445</v>
      </c>
      <c r="N15" s="8">
        <v>0</v>
      </c>
      <c r="O15" s="8">
        <v>1</v>
      </c>
      <c r="P15" s="8">
        <v>446</v>
      </c>
      <c r="Q15" s="8">
        <v>0</v>
      </c>
      <c r="R15" s="8">
        <v>570</v>
      </c>
      <c r="S15" s="15">
        <f t="shared" si="0"/>
        <v>115</v>
      </c>
      <c r="T15" s="15">
        <f t="shared" si="1"/>
        <v>78.245614035087712</v>
      </c>
      <c r="U15" s="4"/>
    </row>
    <row r="16" spans="1:21">
      <c r="A16" s="9">
        <v>14</v>
      </c>
      <c r="B16" s="9">
        <v>14</v>
      </c>
      <c r="C16" s="9">
        <v>0</v>
      </c>
      <c r="D16" s="9">
        <v>317</v>
      </c>
      <c r="E16" s="9">
        <v>333</v>
      </c>
      <c r="F16" s="9">
        <v>0</v>
      </c>
      <c r="G16" s="9">
        <v>2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653</v>
      </c>
      <c r="N16" s="9">
        <v>0</v>
      </c>
      <c r="O16" s="9">
        <v>6</v>
      </c>
      <c r="P16" s="9">
        <v>659</v>
      </c>
      <c r="Q16" s="9">
        <v>0</v>
      </c>
      <c r="R16" s="9">
        <v>873</v>
      </c>
      <c r="S16" s="16">
        <f t="shared" si="0"/>
        <v>16</v>
      </c>
      <c r="T16" s="16">
        <f t="shared" si="1"/>
        <v>75.486827033218788</v>
      </c>
      <c r="U16" s="4"/>
    </row>
    <row r="17" spans="1:21">
      <c r="A17" s="8">
        <v>15</v>
      </c>
      <c r="B17" s="8">
        <v>15</v>
      </c>
      <c r="C17" s="8">
        <v>9</v>
      </c>
      <c r="D17" s="8">
        <v>488</v>
      </c>
      <c r="E17" s="8">
        <v>255</v>
      </c>
      <c r="F17" s="8">
        <v>2</v>
      </c>
      <c r="G17" s="8">
        <v>1</v>
      </c>
      <c r="H17" s="8">
        <v>0</v>
      </c>
      <c r="I17" s="8">
        <v>0</v>
      </c>
      <c r="J17" s="8">
        <v>1</v>
      </c>
      <c r="K17" s="8">
        <v>0</v>
      </c>
      <c r="L17" s="8">
        <v>3</v>
      </c>
      <c r="M17" s="8">
        <v>759</v>
      </c>
      <c r="N17" s="8">
        <v>0</v>
      </c>
      <c r="O17" s="8">
        <v>2</v>
      </c>
      <c r="P17" s="8">
        <v>761</v>
      </c>
      <c r="Q17" s="8">
        <v>0</v>
      </c>
      <c r="R17" s="8">
        <v>1063</v>
      </c>
      <c r="S17" s="15">
        <f t="shared" si="0"/>
        <v>233</v>
      </c>
      <c r="T17" s="15">
        <f t="shared" si="1"/>
        <v>71.589840075258707</v>
      </c>
      <c r="U17" s="4"/>
    </row>
    <row r="18" spans="1:21">
      <c r="A18" s="8">
        <v>16</v>
      </c>
      <c r="B18" s="8">
        <v>16</v>
      </c>
      <c r="C18" s="8">
        <v>3</v>
      </c>
      <c r="D18" s="8">
        <v>530</v>
      </c>
      <c r="E18" s="8">
        <v>319</v>
      </c>
      <c r="F18" s="8">
        <v>4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8">
        <v>3</v>
      </c>
      <c r="M18" s="8">
        <v>860</v>
      </c>
      <c r="N18" s="8">
        <v>0</v>
      </c>
      <c r="O18" s="8">
        <v>4</v>
      </c>
      <c r="P18" s="8">
        <v>864</v>
      </c>
      <c r="Q18" s="8">
        <v>0</v>
      </c>
      <c r="R18" s="8">
        <v>1108</v>
      </c>
      <c r="S18" s="15">
        <f t="shared" si="0"/>
        <v>211</v>
      </c>
      <c r="T18" s="15">
        <f t="shared" si="1"/>
        <v>77.978339350180505</v>
      </c>
      <c r="U18" s="4"/>
    </row>
    <row r="19" spans="1:21">
      <c r="A19" s="8">
        <v>17</v>
      </c>
      <c r="B19" s="8">
        <v>17</v>
      </c>
      <c r="C19" s="8">
        <v>4</v>
      </c>
      <c r="D19" s="8">
        <v>507</v>
      </c>
      <c r="E19" s="8">
        <v>228</v>
      </c>
      <c r="F19" s="8">
        <v>3</v>
      </c>
      <c r="G19" s="8">
        <v>0</v>
      </c>
      <c r="H19" s="8">
        <v>0</v>
      </c>
      <c r="I19" s="8">
        <v>0</v>
      </c>
      <c r="J19" s="8">
        <v>2</v>
      </c>
      <c r="K19" s="8">
        <v>2</v>
      </c>
      <c r="L19" s="8">
        <v>2</v>
      </c>
      <c r="M19" s="8">
        <v>748</v>
      </c>
      <c r="N19" s="8">
        <v>0</v>
      </c>
      <c r="O19" s="8">
        <v>0</v>
      </c>
      <c r="P19" s="8">
        <v>748</v>
      </c>
      <c r="Q19" s="8">
        <v>0</v>
      </c>
      <c r="R19" s="8">
        <v>890</v>
      </c>
      <c r="S19" s="15">
        <f t="shared" si="0"/>
        <v>279</v>
      </c>
      <c r="T19" s="15">
        <f t="shared" si="1"/>
        <v>84.044943820224717</v>
      </c>
      <c r="U19" s="4"/>
    </row>
    <row r="20" spans="1:21">
      <c r="A20" s="8">
        <v>18</v>
      </c>
      <c r="B20" s="8">
        <v>18</v>
      </c>
      <c r="C20" s="8">
        <v>3</v>
      </c>
      <c r="D20" s="8">
        <v>360</v>
      </c>
      <c r="E20" s="8">
        <v>269</v>
      </c>
      <c r="F20" s="8">
        <v>8</v>
      </c>
      <c r="G20" s="8">
        <v>0</v>
      </c>
      <c r="H20" s="8">
        <v>0</v>
      </c>
      <c r="I20" s="8">
        <v>0</v>
      </c>
      <c r="J20" s="8">
        <v>1</v>
      </c>
      <c r="K20" s="8">
        <v>0</v>
      </c>
      <c r="L20" s="8">
        <v>1</v>
      </c>
      <c r="M20" s="8">
        <v>642</v>
      </c>
      <c r="N20" s="8">
        <v>0</v>
      </c>
      <c r="O20" s="8">
        <v>3</v>
      </c>
      <c r="P20" s="8">
        <v>645</v>
      </c>
      <c r="Q20" s="8">
        <v>0</v>
      </c>
      <c r="R20" s="8">
        <v>781</v>
      </c>
      <c r="S20" s="15">
        <f t="shared" si="0"/>
        <v>91</v>
      </c>
      <c r="T20" s="15">
        <f t="shared" si="1"/>
        <v>82.586427656850191</v>
      </c>
      <c r="U20" s="4"/>
    </row>
    <row r="21" spans="1:21">
      <c r="A21" s="8">
        <v>19</v>
      </c>
      <c r="B21" s="8">
        <v>19</v>
      </c>
      <c r="C21" s="8">
        <v>5</v>
      </c>
      <c r="D21" s="8">
        <v>523</v>
      </c>
      <c r="E21" s="8">
        <v>236</v>
      </c>
      <c r="F21" s="8">
        <v>2</v>
      </c>
      <c r="G21" s="8">
        <v>0</v>
      </c>
      <c r="H21" s="8">
        <v>0</v>
      </c>
      <c r="I21" s="8">
        <v>0</v>
      </c>
      <c r="J21" s="8">
        <v>1</v>
      </c>
      <c r="K21" s="8">
        <v>1</v>
      </c>
      <c r="L21" s="8">
        <v>3</v>
      </c>
      <c r="M21" s="8">
        <v>771</v>
      </c>
      <c r="N21" s="8">
        <v>0</v>
      </c>
      <c r="O21" s="8">
        <v>6</v>
      </c>
      <c r="P21" s="8">
        <v>777</v>
      </c>
      <c r="Q21" s="8">
        <v>0</v>
      </c>
      <c r="R21" s="8">
        <v>937</v>
      </c>
      <c r="S21" s="15">
        <f t="shared" si="0"/>
        <v>287</v>
      </c>
      <c r="T21" s="15">
        <f t="shared" si="1"/>
        <v>82.924226254002136</v>
      </c>
      <c r="U21" s="4"/>
    </row>
    <row r="22" spans="1:21">
      <c r="A22" s="8">
        <v>20</v>
      </c>
      <c r="B22" s="8">
        <v>20</v>
      </c>
      <c r="C22" s="8">
        <v>4</v>
      </c>
      <c r="D22" s="8">
        <v>357</v>
      </c>
      <c r="E22" s="8">
        <v>284</v>
      </c>
      <c r="F22" s="8">
        <v>4</v>
      </c>
      <c r="G22" s="8">
        <v>0</v>
      </c>
      <c r="H22" s="8">
        <v>0</v>
      </c>
      <c r="I22" s="8">
        <v>1</v>
      </c>
      <c r="J22" s="8">
        <v>0</v>
      </c>
      <c r="K22" s="8">
        <v>1</v>
      </c>
      <c r="L22" s="8">
        <v>2</v>
      </c>
      <c r="M22" s="8">
        <v>653</v>
      </c>
      <c r="N22" s="8">
        <v>0</v>
      </c>
      <c r="O22" s="8">
        <v>1</v>
      </c>
      <c r="P22" s="8">
        <v>654</v>
      </c>
      <c r="Q22" s="8">
        <v>0</v>
      </c>
      <c r="R22" s="8">
        <v>757</v>
      </c>
      <c r="S22" s="15">
        <f t="shared" si="0"/>
        <v>73</v>
      </c>
      <c r="T22" s="15">
        <f t="shared" si="1"/>
        <v>86.393659180977551</v>
      </c>
      <c r="U22" s="4"/>
    </row>
    <row r="23" spans="1:21">
      <c r="A23" s="8">
        <v>21</v>
      </c>
      <c r="B23" s="8">
        <v>21</v>
      </c>
      <c r="C23" s="8">
        <v>2</v>
      </c>
      <c r="D23" s="8">
        <v>327</v>
      </c>
      <c r="E23" s="8">
        <v>183</v>
      </c>
      <c r="F23" s="8">
        <v>0</v>
      </c>
      <c r="G23" s="8">
        <v>0</v>
      </c>
      <c r="H23" s="8">
        <v>1</v>
      </c>
      <c r="I23" s="8">
        <v>0</v>
      </c>
      <c r="J23" s="8">
        <v>0</v>
      </c>
      <c r="K23" s="8">
        <v>1</v>
      </c>
      <c r="L23" s="8">
        <v>2</v>
      </c>
      <c r="M23" s="8">
        <v>516</v>
      </c>
      <c r="N23" s="8">
        <v>0</v>
      </c>
      <c r="O23" s="8">
        <v>1</v>
      </c>
      <c r="P23" s="8">
        <v>517</v>
      </c>
      <c r="Q23" s="8">
        <v>0</v>
      </c>
      <c r="R23" s="8">
        <v>623</v>
      </c>
      <c r="S23" s="15">
        <f t="shared" si="0"/>
        <v>144</v>
      </c>
      <c r="T23" s="15">
        <f t="shared" si="1"/>
        <v>82.985553772070631</v>
      </c>
      <c r="U23" s="4"/>
    </row>
    <row r="24" spans="1:21">
      <c r="A24" s="9">
        <v>22</v>
      </c>
      <c r="B24" s="9">
        <v>22</v>
      </c>
      <c r="C24" s="9">
        <v>1</v>
      </c>
      <c r="D24" s="9">
        <v>214</v>
      </c>
      <c r="E24" s="9">
        <v>237</v>
      </c>
      <c r="F24" s="9">
        <v>3</v>
      </c>
      <c r="G24" s="9">
        <v>0</v>
      </c>
      <c r="H24" s="9">
        <v>0</v>
      </c>
      <c r="I24" s="9">
        <v>0</v>
      </c>
      <c r="J24" s="9">
        <v>1</v>
      </c>
      <c r="K24" s="9">
        <v>1</v>
      </c>
      <c r="L24" s="9">
        <v>4</v>
      </c>
      <c r="M24" s="9">
        <v>461</v>
      </c>
      <c r="N24" s="9">
        <v>0</v>
      </c>
      <c r="O24" s="9">
        <v>1</v>
      </c>
      <c r="P24" s="9">
        <v>462</v>
      </c>
      <c r="Q24" s="9">
        <v>0</v>
      </c>
      <c r="R24" s="9">
        <v>556</v>
      </c>
      <c r="S24" s="16">
        <f t="shared" si="0"/>
        <v>23</v>
      </c>
      <c r="T24" s="16">
        <f t="shared" si="1"/>
        <v>83.093525179856115</v>
      </c>
      <c r="U24" s="4"/>
    </row>
    <row r="25" spans="1:21">
      <c r="A25" s="8">
        <v>23</v>
      </c>
      <c r="B25" s="8">
        <v>23</v>
      </c>
      <c r="C25" s="8">
        <v>5</v>
      </c>
      <c r="D25" s="8">
        <v>398</v>
      </c>
      <c r="E25" s="8">
        <v>263</v>
      </c>
      <c r="F25" s="8">
        <v>1</v>
      </c>
      <c r="G25" s="8">
        <v>1</v>
      </c>
      <c r="H25" s="8">
        <v>0</v>
      </c>
      <c r="I25" s="8">
        <v>0</v>
      </c>
      <c r="J25" s="8">
        <v>1</v>
      </c>
      <c r="K25" s="8">
        <v>1</v>
      </c>
      <c r="L25" s="8">
        <v>0</v>
      </c>
      <c r="M25" s="8">
        <v>670</v>
      </c>
      <c r="N25" s="8">
        <v>0</v>
      </c>
      <c r="O25" s="8">
        <v>5</v>
      </c>
      <c r="P25" s="8">
        <v>675</v>
      </c>
      <c r="Q25" s="8">
        <v>0</v>
      </c>
      <c r="R25" s="8">
        <v>831</v>
      </c>
      <c r="S25" s="15">
        <f t="shared" si="0"/>
        <v>135</v>
      </c>
      <c r="T25" s="15">
        <f t="shared" si="1"/>
        <v>81.227436823104696</v>
      </c>
      <c r="U25" s="4"/>
    </row>
    <row r="26" spans="1:21">
      <c r="A26" s="8">
        <v>24</v>
      </c>
      <c r="B26" s="8">
        <v>24</v>
      </c>
      <c r="C26" s="8">
        <v>2</v>
      </c>
      <c r="D26" s="8">
        <v>289</v>
      </c>
      <c r="E26" s="8">
        <v>141</v>
      </c>
      <c r="F26" s="8">
        <v>1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</v>
      </c>
      <c r="M26" s="8">
        <v>435</v>
      </c>
      <c r="N26" s="8">
        <v>0</v>
      </c>
      <c r="O26" s="8">
        <v>7</v>
      </c>
      <c r="P26" s="8">
        <v>442</v>
      </c>
      <c r="Q26" s="8">
        <v>0</v>
      </c>
      <c r="R26" s="8">
        <v>542</v>
      </c>
      <c r="S26" s="15">
        <f t="shared" si="0"/>
        <v>148</v>
      </c>
      <c r="T26" s="15">
        <f t="shared" si="1"/>
        <v>81.54981549815497</v>
      </c>
      <c r="U26" s="4"/>
    </row>
    <row r="27" spans="1:21">
      <c r="A27" s="8">
        <v>25</v>
      </c>
      <c r="B27" s="8">
        <v>25</v>
      </c>
      <c r="C27" s="8">
        <v>3</v>
      </c>
      <c r="D27" s="8">
        <v>441</v>
      </c>
      <c r="E27" s="8">
        <v>194</v>
      </c>
      <c r="F27" s="8">
        <v>1</v>
      </c>
      <c r="G27" s="8">
        <v>2</v>
      </c>
      <c r="H27" s="8">
        <v>1</v>
      </c>
      <c r="I27" s="8">
        <v>0</v>
      </c>
      <c r="J27" s="8">
        <v>0</v>
      </c>
      <c r="K27" s="8">
        <v>1</v>
      </c>
      <c r="L27" s="8">
        <v>1</v>
      </c>
      <c r="M27" s="8">
        <v>644</v>
      </c>
      <c r="N27" s="8">
        <v>0</v>
      </c>
      <c r="O27" s="8">
        <v>3</v>
      </c>
      <c r="P27" s="8">
        <v>647</v>
      </c>
      <c r="Q27" s="8">
        <v>0</v>
      </c>
      <c r="R27" s="8">
        <v>896</v>
      </c>
      <c r="S27" s="15">
        <f t="shared" si="0"/>
        <v>247</v>
      </c>
      <c r="T27" s="15">
        <f t="shared" si="1"/>
        <v>72.209821428571431</v>
      </c>
      <c r="U27" s="4"/>
    </row>
    <row r="28" spans="1:21">
      <c r="A28" s="8">
        <v>26</v>
      </c>
      <c r="B28" s="8">
        <v>26</v>
      </c>
      <c r="C28" s="8">
        <v>2</v>
      </c>
      <c r="D28" s="8">
        <v>373</v>
      </c>
      <c r="E28" s="8">
        <v>277</v>
      </c>
      <c r="F28" s="8">
        <v>2</v>
      </c>
      <c r="G28" s="8">
        <v>0</v>
      </c>
      <c r="H28" s="8">
        <v>0</v>
      </c>
      <c r="I28" s="8">
        <v>1</v>
      </c>
      <c r="J28" s="8">
        <v>1</v>
      </c>
      <c r="K28" s="8">
        <v>0</v>
      </c>
      <c r="L28" s="8">
        <v>5</v>
      </c>
      <c r="M28" s="8">
        <v>661</v>
      </c>
      <c r="N28" s="8">
        <v>0</v>
      </c>
      <c r="O28" s="8">
        <v>7</v>
      </c>
      <c r="P28" s="8">
        <v>668</v>
      </c>
      <c r="Q28" s="8">
        <v>0</v>
      </c>
      <c r="R28" s="8">
        <v>801</v>
      </c>
      <c r="S28" s="15">
        <f t="shared" si="0"/>
        <v>96</v>
      </c>
      <c r="T28" s="15">
        <f t="shared" si="1"/>
        <v>83.395755305867667</v>
      </c>
      <c r="U28" s="4"/>
    </row>
    <row r="29" spans="1:21">
      <c r="A29" s="8">
        <v>27</v>
      </c>
      <c r="B29" s="8">
        <v>27</v>
      </c>
      <c r="C29" s="8">
        <v>3</v>
      </c>
      <c r="D29" s="8">
        <v>417</v>
      </c>
      <c r="E29" s="8">
        <v>260</v>
      </c>
      <c r="F29" s="8">
        <v>3</v>
      </c>
      <c r="G29" s="8">
        <v>0</v>
      </c>
      <c r="H29" s="8">
        <v>1</v>
      </c>
      <c r="I29" s="8">
        <v>2</v>
      </c>
      <c r="J29" s="8">
        <v>1</v>
      </c>
      <c r="K29" s="8">
        <v>3</v>
      </c>
      <c r="L29" s="8">
        <v>5</v>
      </c>
      <c r="M29" s="8">
        <v>695</v>
      </c>
      <c r="N29" s="8">
        <v>0</v>
      </c>
      <c r="O29" s="8">
        <v>6</v>
      </c>
      <c r="P29" s="8">
        <v>701</v>
      </c>
      <c r="Q29" s="8">
        <v>0</v>
      </c>
      <c r="R29" s="8">
        <v>959</v>
      </c>
      <c r="S29" s="15">
        <f t="shared" si="0"/>
        <v>157</v>
      </c>
      <c r="T29" s="15">
        <f t="shared" si="1"/>
        <v>73.096976016684039</v>
      </c>
      <c r="U29" s="4"/>
    </row>
    <row r="30" spans="1:21">
      <c r="A30" s="11">
        <v>28</v>
      </c>
      <c r="B30" s="11">
        <v>28</v>
      </c>
      <c r="C30" s="8">
        <v>5</v>
      </c>
      <c r="D30" s="8">
        <v>259</v>
      </c>
      <c r="E30" s="8">
        <v>207</v>
      </c>
      <c r="F30" s="8">
        <v>4</v>
      </c>
      <c r="G30" s="8">
        <v>0</v>
      </c>
      <c r="H30" s="8">
        <v>0</v>
      </c>
      <c r="I30" s="8">
        <v>0</v>
      </c>
      <c r="J30" s="8">
        <v>1</v>
      </c>
      <c r="K30" s="8">
        <v>3</v>
      </c>
      <c r="L30" s="8">
        <v>2</v>
      </c>
      <c r="M30" s="8">
        <v>481</v>
      </c>
      <c r="N30" s="8">
        <v>0</v>
      </c>
      <c r="O30" s="8">
        <v>3</v>
      </c>
      <c r="P30" s="8">
        <v>484</v>
      </c>
      <c r="Q30" s="8">
        <v>0</v>
      </c>
      <c r="R30" s="8">
        <v>587</v>
      </c>
      <c r="S30" s="15">
        <f t="shared" si="0"/>
        <v>52</v>
      </c>
      <c r="T30" s="15">
        <f t="shared" si="1"/>
        <v>82.453151618398635</v>
      </c>
      <c r="U30" s="4"/>
    </row>
    <row r="31" spans="1:21">
      <c r="A31" s="8">
        <v>29</v>
      </c>
      <c r="B31" s="8">
        <v>29</v>
      </c>
      <c r="C31" s="8">
        <v>3</v>
      </c>
      <c r="D31" s="8">
        <v>389</v>
      </c>
      <c r="E31" s="8">
        <v>180</v>
      </c>
      <c r="F31" s="8">
        <v>4</v>
      </c>
      <c r="G31" s="8">
        <v>0</v>
      </c>
      <c r="H31" s="8">
        <v>0</v>
      </c>
      <c r="I31" s="8">
        <v>0</v>
      </c>
      <c r="J31" s="8">
        <v>3</v>
      </c>
      <c r="K31" s="8">
        <v>5</v>
      </c>
      <c r="L31" s="8">
        <v>3</v>
      </c>
      <c r="M31" s="8">
        <v>587</v>
      </c>
      <c r="N31" s="8">
        <v>0</v>
      </c>
      <c r="O31" s="8">
        <v>3</v>
      </c>
      <c r="P31" s="8">
        <v>590</v>
      </c>
      <c r="Q31" s="8">
        <v>0</v>
      </c>
      <c r="R31" s="8">
        <v>731</v>
      </c>
      <c r="S31" s="15">
        <f t="shared" si="0"/>
        <v>209</v>
      </c>
      <c r="T31" s="15">
        <f t="shared" si="1"/>
        <v>80.711354309165529</v>
      </c>
      <c r="U31" s="4"/>
    </row>
    <row r="32" spans="1:21">
      <c r="A32" s="8">
        <v>30</v>
      </c>
      <c r="B32" s="8">
        <v>30</v>
      </c>
      <c r="C32" s="8">
        <v>7</v>
      </c>
      <c r="D32" s="8">
        <v>587</v>
      </c>
      <c r="E32" s="8">
        <v>378</v>
      </c>
      <c r="F32" s="8">
        <v>5</v>
      </c>
      <c r="G32" s="8">
        <v>0</v>
      </c>
      <c r="H32" s="8">
        <v>1</v>
      </c>
      <c r="I32" s="8">
        <v>1</v>
      </c>
      <c r="J32" s="8">
        <v>0</v>
      </c>
      <c r="K32" s="8">
        <v>1</v>
      </c>
      <c r="L32" s="8">
        <v>3</v>
      </c>
      <c r="M32" s="8">
        <v>983</v>
      </c>
      <c r="N32" s="8">
        <v>0</v>
      </c>
      <c r="O32" s="8">
        <v>3</v>
      </c>
      <c r="P32" s="8">
        <v>986</v>
      </c>
      <c r="Q32" s="8">
        <v>0</v>
      </c>
      <c r="R32" s="8">
        <v>1192</v>
      </c>
      <c r="S32" s="15">
        <f t="shared" si="0"/>
        <v>209</v>
      </c>
      <c r="T32" s="15">
        <f t="shared" si="1"/>
        <v>82.718120805369139</v>
      </c>
      <c r="U32" s="4"/>
    </row>
    <row r="33" spans="1:21">
      <c r="A33" s="9">
        <v>31</v>
      </c>
      <c r="B33" s="9">
        <v>31</v>
      </c>
      <c r="C33" s="9">
        <v>4</v>
      </c>
      <c r="D33" s="9">
        <v>216</v>
      </c>
      <c r="E33" s="9">
        <v>275</v>
      </c>
      <c r="F33" s="9">
        <v>2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497</v>
      </c>
      <c r="N33" s="9">
        <v>0</v>
      </c>
      <c r="O33" s="9">
        <v>0</v>
      </c>
      <c r="P33" s="9">
        <v>497</v>
      </c>
      <c r="Q33" s="9">
        <v>0</v>
      </c>
      <c r="R33" s="9">
        <v>603</v>
      </c>
      <c r="S33" s="16">
        <f t="shared" si="0"/>
        <v>59</v>
      </c>
      <c r="T33" s="14">
        <f t="shared" si="1"/>
        <v>82.421227197346596</v>
      </c>
      <c r="U33" s="4"/>
    </row>
    <row r="34" spans="1:21">
      <c r="A34" s="9">
        <v>32</v>
      </c>
      <c r="B34" s="9">
        <v>32</v>
      </c>
      <c r="C34" s="9">
        <v>4</v>
      </c>
      <c r="D34" s="9">
        <v>169</v>
      </c>
      <c r="E34" s="9">
        <v>172</v>
      </c>
      <c r="F34" s="9">
        <v>3</v>
      </c>
      <c r="G34" s="9">
        <v>1</v>
      </c>
      <c r="H34" s="9">
        <v>0</v>
      </c>
      <c r="I34" s="9">
        <v>0</v>
      </c>
      <c r="J34" s="9">
        <v>1</v>
      </c>
      <c r="K34" s="9">
        <v>0</v>
      </c>
      <c r="L34" s="9">
        <v>1</v>
      </c>
      <c r="M34" s="9">
        <v>351</v>
      </c>
      <c r="N34" s="9">
        <v>0</v>
      </c>
      <c r="O34" s="9">
        <v>1</v>
      </c>
      <c r="P34" s="9">
        <v>352</v>
      </c>
      <c r="Q34" s="9">
        <v>0</v>
      </c>
      <c r="R34" s="9">
        <v>423</v>
      </c>
      <c r="S34" s="16">
        <f t="shared" si="0"/>
        <v>3</v>
      </c>
      <c r="T34" s="14">
        <f t="shared" si="1"/>
        <v>83.215130023640654</v>
      </c>
      <c r="U34" s="4"/>
    </row>
    <row r="35" spans="1:21">
      <c r="A35" s="9">
        <v>33</v>
      </c>
      <c r="B35" s="9">
        <v>33</v>
      </c>
      <c r="C35" s="9">
        <v>2</v>
      </c>
      <c r="D35" s="9">
        <v>360</v>
      </c>
      <c r="E35" s="9">
        <v>387</v>
      </c>
      <c r="F35" s="9">
        <v>1</v>
      </c>
      <c r="G35" s="9">
        <v>0</v>
      </c>
      <c r="H35" s="9">
        <v>0</v>
      </c>
      <c r="I35" s="9">
        <v>1</v>
      </c>
      <c r="J35" s="9">
        <v>0</v>
      </c>
      <c r="K35" s="9">
        <v>0</v>
      </c>
      <c r="L35" s="9">
        <v>2</v>
      </c>
      <c r="M35" s="9">
        <v>753</v>
      </c>
      <c r="N35" s="9">
        <v>0</v>
      </c>
      <c r="O35" s="9">
        <v>2</v>
      </c>
      <c r="P35" s="9">
        <v>755</v>
      </c>
      <c r="Q35" s="9">
        <v>0</v>
      </c>
      <c r="R35" s="9">
        <v>908</v>
      </c>
      <c r="S35" s="16">
        <f t="shared" si="0"/>
        <v>27</v>
      </c>
      <c r="T35" s="14">
        <f t="shared" si="1"/>
        <v>83.149779735682813</v>
      </c>
      <c r="U35" s="4"/>
    </row>
    <row r="36" spans="1:21">
      <c r="A36" s="8">
        <v>34</v>
      </c>
      <c r="B36" s="8">
        <v>34</v>
      </c>
      <c r="C36" s="8">
        <v>2</v>
      </c>
      <c r="D36" s="8">
        <v>191</v>
      </c>
      <c r="E36" s="8">
        <v>87</v>
      </c>
      <c r="F36" s="8">
        <v>3</v>
      </c>
      <c r="G36" s="8">
        <v>0</v>
      </c>
      <c r="H36" s="8">
        <v>1</v>
      </c>
      <c r="I36" s="8">
        <v>0</v>
      </c>
      <c r="J36" s="8">
        <v>0</v>
      </c>
      <c r="K36" s="8">
        <v>0</v>
      </c>
      <c r="L36" s="8">
        <v>1</v>
      </c>
      <c r="M36" s="8">
        <v>285</v>
      </c>
      <c r="N36" s="8">
        <v>0</v>
      </c>
      <c r="O36" s="8">
        <v>2</v>
      </c>
      <c r="P36" s="8">
        <v>287</v>
      </c>
      <c r="Q36" s="8">
        <v>0</v>
      </c>
      <c r="R36" s="8">
        <v>334</v>
      </c>
      <c r="S36" s="15">
        <f t="shared" si="0"/>
        <v>104</v>
      </c>
      <c r="T36" s="15">
        <f t="shared" si="1"/>
        <v>85.928143712574851</v>
      </c>
      <c r="U36" s="4"/>
    </row>
    <row r="37" spans="1:21">
      <c r="A37" s="8">
        <v>35</v>
      </c>
      <c r="B37" s="8">
        <v>35</v>
      </c>
      <c r="C37" s="8">
        <v>1</v>
      </c>
      <c r="D37" s="8">
        <v>152</v>
      </c>
      <c r="E37" s="8">
        <v>72</v>
      </c>
      <c r="F37" s="8">
        <v>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226</v>
      </c>
      <c r="N37" s="8">
        <v>0</v>
      </c>
      <c r="O37" s="8">
        <v>0</v>
      </c>
      <c r="P37" s="8">
        <v>226</v>
      </c>
      <c r="Q37" s="8">
        <v>0</v>
      </c>
      <c r="R37" s="8">
        <v>279</v>
      </c>
      <c r="S37" s="15">
        <f t="shared" si="0"/>
        <v>80</v>
      </c>
      <c r="T37" s="15">
        <f t="shared" si="1"/>
        <v>81.003584229390682</v>
      </c>
      <c r="U37" s="4"/>
    </row>
    <row r="38" spans="1:21">
      <c r="A38" s="8">
        <v>36</v>
      </c>
      <c r="B38" s="8">
        <v>36</v>
      </c>
      <c r="C38" s="8">
        <v>6</v>
      </c>
      <c r="D38" s="8">
        <v>246</v>
      </c>
      <c r="E38" s="8">
        <v>241</v>
      </c>
      <c r="F38" s="8">
        <v>2</v>
      </c>
      <c r="G38" s="8">
        <v>0</v>
      </c>
      <c r="H38" s="8">
        <v>0</v>
      </c>
      <c r="I38" s="8">
        <v>0</v>
      </c>
      <c r="J38" s="8">
        <v>1</v>
      </c>
      <c r="K38" s="8">
        <v>2</v>
      </c>
      <c r="L38" s="8">
        <v>2</v>
      </c>
      <c r="M38" s="8">
        <v>500</v>
      </c>
      <c r="N38" s="8">
        <v>0</v>
      </c>
      <c r="O38" s="8">
        <v>1</v>
      </c>
      <c r="P38" s="8">
        <v>501</v>
      </c>
      <c r="Q38" s="8">
        <v>0</v>
      </c>
      <c r="R38" s="8">
        <v>707</v>
      </c>
      <c r="S38" s="15">
        <f t="shared" si="0"/>
        <v>5</v>
      </c>
      <c r="T38" s="15">
        <f t="shared" si="1"/>
        <v>70.862800565770868</v>
      </c>
      <c r="U38" s="4"/>
    </row>
    <row r="39" spans="1:21">
      <c r="A39" s="8">
        <v>37</v>
      </c>
      <c r="B39" s="8">
        <v>37</v>
      </c>
      <c r="C39" s="8">
        <v>3</v>
      </c>
      <c r="D39" s="8">
        <v>198</v>
      </c>
      <c r="E39" s="8">
        <v>185</v>
      </c>
      <c r="F39" s="8">
        <v>2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2</v>
      </c>
      <c r="M39" s="8">
        <v>390</v>
      </c>
      <c r="N39" s="8">
        <v>0</v>
      </c>
      <c r="O39" s="8">
        <v>2</v>
      </c>
      <c r="P39" s="8">
        <v>392</v>
      </c>
      <c r="Q39" s="8">
        <v>0</v>
      </c>
      <c r="R39" s="8">
        <v>449</v>
      </c>
      <c r="S39" s="15">
        <f t="shared" si="0"/>
        <v>13</v>
      </c>
      <c r="T39" s="15">
        <f t="shared" si="1"/>
        <v>87.305122494432069</v>
      </c>
      <c r="U39" s="4"/>
    </row>
    <row r="40" spans="1:21">
      <c r="A40" s="9">
        <v>38</v>
      </c>
      <c r="B40" s="9">
        <v>38</v>
      </c>
      <c r="C40" s="9">
        <v>1</v>
      </c>
      <c r="D40" s="9">
        <v>219</v>
      </c>
      <c r="E40" s="9">
        <v>304</v>
      </c>
      <c r="F40" s="9">
        <v>5</v>
      </c>
      <c r="G40" s="9">
        <v>0</v>
      </c>
      <c r="H40" s="9">
        <v>0</v>
      </c>
      <c r="I40" s="9">
        <v>0</v>
      </c>
      <c r="J40" s="9">
        <v>0</v>
      </c>
      <c r="K40" s="9">
        <v>2</v>
      </c>
      <c r="L40" s="9">
        <v>0</v>
      </c>
      <c r="M40" s="9">
        <v>531</v>
      </c>
      <c r="N40" s="9">
        <v>0</v>
      </c>
      <c r="O40" s="9">
        <v>4</v>
      </c>
      <c r="P40" s="9">
        <v>535</v>
      </c>
      <c r="Q40" s="9">
        <v>0</v>
      </c>
      <c r="R40" s="9">
        <v>659</v>
      </c>
      <c r="S40" s="16">
        <f t="shared" si="0"/>
        <v>85</v>
      </c>
      <c r="T40" s="16">
        <f t="shared" si="1"/>
        <v>81.183611532625193</v>
      </c>
      <c r="U40" s="4"/>
    </row>
    <row r="41" spans="1:21">
      <c r="A41" s="8">
        <v>39</v>
      </c>
      <c r="B41" s="8">
        <v>39</v>
      </c>
      <c r="C41" s="8">
        <v>1</v>
      </c>
      <c r="D41" s="8">
        <v>400</v>
      </c>
      <c r="E41" s="8">
        <v>277</v>
      </c>
      <c r="F41" s="8">
        <v>3</v>
      </c>
      <c r="G41" s="8">
        <v>2</v>
      </c>
      <c r="H41" s="8">
        <v>1</v>
      </c>
      <c r="I41" s="8">
        <v>1</v>
      </c>
      <c r="J41" s="8">
        <v>2</v>
      </c>
      <c r="K41" s="8">
        <v>3</v>
      </c>
      <c r="L41" s="8">
        <v>1</v>
      </c>
      <c r="M41" s="8">
        <v>691</v>
      </c>
      <c r="N41" s="8">
        <v>0</v>
      </c>
      <c r="O41" s="8">
        <v>2</v>
      </c>
      <c r="P41" s="8">
        <v>693</v>
      </c>
      <c r="Q41" s="8">
        <v>0</v>
      </c>
      <c r="R41" s="8">
        <v>967</v>
      </c>
      <c r="S41" s="15">
        <f t="shared" si="0"/>
        <v>123</v>
      </c>
      <c r="T41" s="15">
        <f t="shared" si="1"/>
        <v>71.664943123061008</v>
      </c>
      <c r="U41" s="4"/>
    </row>
    <row r="42" spans="1:21">
      <c r="A42" s="8">
        <v>40</v>
      </c>
      <c r="B42" s="8">
        <v>40</v>
      </c>
      <c r="C42" s="8">
        <v>2</v>
      </c>
      <c r="D42" s="8">
        <v>474</v>
      </c>
      <c r="E42" s="8">
        <v>255</v>
      </c>
      <c r="F42" s="8">
        <v>4</v>
      </c>
      <c r="G42" s="8">
        <v>0</v>
      </c>
      <c r="H42" s="8">
        <v>0</v>
      </c>
      <c r="I42" s="8">
        <v>1</v>
      </c>
      <c r="J42" s="8">
        <v>0</v>
      </c>
      <c r="K42" s="8">
        <v>2</v>
      </c>
      <c r="L42" s="8">
        <v>1</v>
      </c>
      <c r="M42" s="8">
        <v>739</v>
      </c>
      <c r="N42" s="8">
        <v>0</v>
      </c>
      <c r="O42" s="8">
        <v>1</v>
      </c>
      <c r="P42" s="8">
        <v>740</v>
      </c>
      <c r="Q42" s="8">
        <v>0</v>
      </c>
      <c r="R42" s="8">
        <v>865</v>
      </c>
      <c r="S42" s="15">
        <f t="shared" si="0"/>
        <v>219</v>
      </c>
      <c r="T42" s="15">
        <f t="shared" si="1"/>
        <v>85.549132947976886</v>
      </c>
      <c r="U42" s="4"/>
    </row>
    <row r="43" spans="1:21">
      <c r="A43" s="8">
        <v>41</v>
      </c>
      <c r="B43" s="8">
        <v>41</v>
      </c>
      <c r="C43" s="8">
        <v>9</v>
      </c>
      <c r="D43" s="8">
        <v>493</v>
      </c>
      <c r="E43" s="8">
        <v>374</v>
      </c>
      <c r="F43" s="8">
        <v>6</v>
      </c>
      <c r="G43" s="8">
        <v>2</v>
      </c>
      <c r="H43" s="8">
        <v>0</v>
      </c>
      <c r="I43" s="8">
        <v>0</v>
      </c>
      <c r="J43" s="8">
        <v>0</v>
      </c>
      <c r="K43" s="8">
        <v>0</v>
      </c>
      <c r="L43" s="8">
        <v>2</v>
      </c>
      <c r="M43" s="8">
        <v>886</v>
      </c>
      <c r="N43" s="8">
        <v>0</v>
      </c>
      <c r="O43" s="8">
        <v>2</v>
      </c>
      <c r="P43" s="8">
        <v>888</v>
      </c>
      <c r="Q43" s="8">
        <v>0</v>
      </c>
      <c r="R43" s="8">
        <v>1108</v>
      </c>
      <c r="S43" s="15">
        <f t="shared" si="0"/>
        <v>119</v>
      </c>
      <c r="T43" s="15">
        <f t="shared" si="1"/>
        <v>80.144404332129966</v>
      </c>
      <c r="U43" s="4"/>
    </row>
    <row r="44" spans="1:21">
      <c r="A44" s="8">
        <v>42</v>
      </c>
      <c r="B44" s="8">
        <v>42</v>
      </c>
      <c r="C44" s="8">
        <v>7</v>
      </c>
      <c r="D44" s="8">
        <v>321</v>
      </c>
      <c r="E44" s="8">
        <v>202</v>
      </c>
      <c r="F44" s="8">
        <v>6</v>
      </c>
      <c r="G44" s="8">
        <v>0</v>
      </c>
      <c r="H44" s="8">
        <v>0</v>
      </c>
      <c r="I44" s="8">
        <v>1</v>
      </c>
      <c r="J44" s="8">
        <v>0</v>
      </c>
      <c r="K44" s="8">
        <v>3</v>
      </c>
      <c r="L44" s="8">
        <v>0</v>
      </c>
      <c r="M44" s="8">
        <v>540</v>
      </c>
      <c r="N44" s="8">
        <v>0</v>
      </c>
      <c r="O44" s="8">
        <v>2</v>
      </c>
      <c r="P44" s="8">
        <v>542</v>
      </c>
      <c r="Q44" s="8">
        <v>0</v>
      </c>
      <c r="R44" s="8">
        <v>653</v>
      </c>
      <c r="S44" s="15">
        <f t="shared" si="0"/>
        <v>119</v>
      </c>
      <c r="T44" s="15">
        <f t="shared" si="1"/>
        <v>83.001531393568158</v>
      </c>
      <c r="U44" s="4"/>
    </row>
    <row r="45" spans="1:21">
      <c r="A45" s="8">
        <v>43</v>
      </c>
      <c r="B45" s="8">
        <v>43</v>
      </c>
      <c r="C45" s="8">
        <v>2</v>
      </c>
      <c r="D45" s="8">
        <v>351</v>
      </c>
      <c r="E45" s="8">
        <v>172</v>
      </c>
      <c r="F45" s="8">
        <v>1</v>
      </c>
      <c r="G45" s="8">
        <v>0</v>
      </c>
      <c r="H45" s="8">
        <v>0</v>
      </c>
      <c r="I45" s="8">
        <v>1</v>
      </c>
      <c r="J45" s="8">
        <v>1</v>
      </c>
      <c r="K45" s="8">
        <v>0</v>
      </c>
      <c r="L45" s="8">
        <v>2</v>
      </c>
      <c r="M45" s="8">
        <v>530</v>
      </c>
      <c r="N45" s="8">
        <v>0</v>
      </c>
      <c r="O45" s="8">
        <v>1</v>
      </c>
      <c r="P45" s="8">
        <v>531</v>
      </c>
      <c r="Q45" s="8">
        <v>0</v>
      </c>
      <c r="R45" s="8">
        <v>649</v>
      </c>
      <c r="S45" s="15">
        <f t="shared" si="0"/>
        <v>179</v>
      </c>
      <c r="T45" s="15">
        <f t="shared" si="1"/>
        <v>81.818181818181827</v>
      </c>
      <c r="U45" s="4"/>
    </row>
    <row r="46" spans="1:21">
      <c r="A46" s="8">
        <v>44</v>
      </c>
      <c r="B46" s="8">
        <v>44</v>
      </c>
      <c r="C46" s="8">
        <v>6</v>
      </c>
      <c r="D46" s="8">
        <v>553</v>
      </c>
      <c r="E46" s="8">
        <v>344</v>
      </c>
      <c r="F46" s="8">
        <v>3</v>
      </c>
      <c r="G46" s="8">
        <v>0</v>
      </c>
      <c r="H46" s="8">
        <v>2</v>
      </c>
      <c r="I46" s="8">
        <v>0</v>
      </c>
      <c r="J46" s="8">
        <v>3</v>
      </c>
      <c r="K46" s="8">
        <v>0</v>
      </c>
      <c r="L46" s="8">
        <v>3</v>
      </c>
      <c r="M46" s="8">
        <v>914</v>
      </c>
      <c r="N46" s="8">
        <v>0</v>
      </c>
      <c r="O46" s="8">
        <v>6</v>
      </c>
      <c r="P46" s="8">
        <v>920</v>
      </c>
      <c r="Q46" s="8">
        <v>0</v>
      </c>
      <c r="R46" s="8">
        <v>1135</v>
      </c>
      <c r="S46" s="15">
        <f t="shared" si="0"/>
        <v>209</v>
      </c>
      <c r="T46" s="15">
        <f t="shared" si="1"/>
        <v>81.057268722466958</v>
      </c>
      <c r="U46" s="4"/>
    </row>
    <row r="47" spans="1:21">
      <c r="A47" s="8">
        <v>45</v>
      </c>
      <c r="B47" s="8">
        <v>45</v>
      </c>
      <c r="C47" s="8">
        <v>1</v>
      </c>
      <c r="D47" s="8">
        <v>412</v>
      </c>
      <c r="E47" s="8">
        <v>233</v>
      </c>
      <c r="F47" s="8">
        <v>6</v>
      </c>
      <c r="G47" s="8">
        <v>1</v>
      </c>
      <c r="H47" s="8">
        <v>1</v>
      </c>
      <c r="I47" s="8">
        <v>0</v>
      </c>
      <c r="J47" s="8">
        <v>2</v>
      </c>
      <c r="K47" s="8">
        <v>3</v>
      </c>
      <c r="L47" s="8">
        <v>0</v>
      </c>
      <c r="M47" s="8">
        <v>659</v>
      </c>
      <c r="N47" s="8">
        <v>0</v>
      </c>
      <c r="O47" s="8">
        <v>9</v>
      </c>
      <c r="P47" s="8">
        <v>668</v>
      </c>
      <c r="Q47" s="8">
        <v>0</v>
      </c>
      <c r="R47" s="8">
        <v>839</v>
      </c>
      <c r="S47" s="15">
        <f t="shared" si="0"/>
        <v>179</v>
      </c>
      <c r="T47" s="15">
        <f t="shared" si="1"/>
        <v>79.618593563766396</v>
      </c>
      <c r="U47" s="4"/>
    </row>
    <row r="48" spans="1:21">
      <c r="A48" s="8">
        <v>46</v>
      </c>
      <c r="B48" s="8">
        <v>46</v>
      </c>
      <c r="C48" s="8">
        <v>4</v>
      </c>
      <c r="D48" s="8">
        <v>349</v>
      </c>
      <c r="E48" s="8">
        <v>121</v>
      </c>
      <c r="F48" s="8">
        <v>1</v>
      </c>
      <c r="G48" s="8">
        <v>0</v>
      </c>
      <c r="H48" s="8">
        <v>0</v>
      </c>
      <c r="I48" s="8">
        <v>0</v>
      </c>
      <c r="J48" s="8">
        <v>0</v>
      </c>
      <c r="K48" s="8">
        <v>1</v>
      </c>
      <c r="L48" s="8">
        <v>2</v>
      </c>
      <c r="M48" s="8">
        <v>478</v>
      </c>
      <c r="N48" s="8">
        <v>0</v>
      </c>
      <c r="O48" s="8">
        <v>1</v>
      </c>
      <c r="P48" s="8">
        <v>479</v>
      </c>
      <c r="Q48" s="8">
        <v>0</v>
      </c>
      <c r="R48" s="8">
        <v>540</v>
      </c>
      <c r="S48" s="15">
        <f t="shared" si="0"/>
        <v>228</v>
      </c>
      <c r="T48" s="15">
        <f t="shared" si="1"/>
        <v>88.703703703703709</v>
      </c>
      <c r="U48" s="4"/>
    </row>
    <row r="49" spans="1:21">
      <c r="A49" s="8">
        <v>47</v>
      </c>
      <c r="B49" s="8">
        <v>47</v>
      </c>
      <c r="C49" s="8">
        <v>5</v>
      </c>
      <c r="D49" s="8">
        <v>261</v>
      </c>
      <c r="E49" s="8">
        <v>124</v>
      </c>
      <c r="F49" s="8">
        <v>1</v>
      </c>
      <c r="G49" s="8">
        <v>0</v>
      </c>
      <c r="H49" s="8">
        <v>1</v>
      </c>
      <c r="I49" s="8">
        <v>0</v>
      </c>
      <c r="J49" s="8">
        <v>3</v>
      </c>
      <c r="K49" s="8">
        <v>0</v>
      </c>
      <c r="L49" s="8">
        <v>1</v>
      </c>
      <c r="M49" s="8">
        <v>396</v>
      </c>
      <c r="N49" s="8">
        <v>0</v>
      </c>
      <c r="O49" s="8">
        <v>5</v>
      </c>
      <c r="P49" s="8">
        <v>401</v>
      </c>
      <c r="Q49" s="8">
        <v>0</v>
      </c>
      <c r="R49" s="8">
        <v>524</v>
      </c>
      <c r="S49" s="15">
        <f t="shared" si="0"/>
        <v>137</v>
      </c>
      <c r="T49" s="15">
        <f t="shared" si="1"/>
        <v>76.526717557251914</v>
      </c>
      <c r="U49" s="4"/>
    </row>
    <row r="50" spans="1:21">
      <c r="A50" s="8">
        <v>48</v>
      </c>
      <c r="B50" s="8">
        <v>48</v>
      </c>
      <c r="C50" s="8">
        <v>3</v>
      </c>
      <c r="D50" s="8">
        <v>377</v>
      </c>
      <c r="E50" s="8">
        <v>298</v>
      </c>
      <c r="F50" s="8">
        <v>2</v>
      </c>
      <c r="G50" s="8">
        <v>0</v>
      </c>
      <c r="H50" s="8">
        <v>1</v>
      </c>
      <c r="I50" s="8">
        <v>1</v>
      </c>
      <c r="J50" s="8">
        <v>2</v>
      </c>
      <c r="K50" s="8">
        <v>1</v>
      </c>
      <c r="L50" s="8">
        <v>0</v>
      </c>
      <c r="M50" s="8">
        <v>685</v>
      </c>
      <c r="N50" s="8">
        <v>0</v>
      </c>
      <c r="O50" s="8">
        <v>3</v>
      </c>
      <c r="P50" s="8">
        <v>688</v>
      </c>
      <c r="Q50" s="8">
        <v>0</v>
      </c>
      <c r="R50" s="8">
        <v>863</v>
      </c>
      <c r="S50" s="15">
        <f t="shared" si="0"/>
        <v>79</v>
      </c>
      <c r="T50" s="15">
        <f t="shared" si="1"/>
        <v>79.721900347624569</v>
      </c>
      <c r="U50" s="4"/>
    </row>
    <row r="51" spans="1:21">
      <c r="A51" s="8">
        <v>49</v>
      </c>
      <c r="B51" s="8">
        <v>49</v>
      </c>
      <c r="C51" s="8">
        <v>5</v>
      </c>
      <c r="D51" s="8">
        <v>242</v>
      </c>
      <c r="E51" s="8">
        <v>124</v>
      </c>
      <c r="F51" s="8">
        <v>4</v>
      </c>
      <c r="G51" s="8">
        <v>0</v>
      </c>
      <c r="H51" s="8">
        <v>1</v>
      </c>
      <c r="I51" s="8">
        <v>1</v>
      </c>
      <c r="J51" s="8">
        <v>1</v>
      </c>
      <c r="K51" s="8">
        <v>1</v>
      </c>
      <c r="L51" s="8">
        <v>2</v>
      </c>
      <c r="M51" s="8">
        <v>381</v>
      </c>
      <c r="N51" s="8">
        <v>0</v>
      </c>
      <c r="O51" s="8">
        <v>3</v>
      </c>
      <c r="P51" s="8">
        <v>384</v>
      </c>
      <c r="Q51" s="8">
        <v>0</v>
      </c>
      <c r="R51" s="8">
        <v>515</v>
      </c>
      <c r="S51" s="15">
        <f t="shared" si="0"/>
        <v>118</v>
      </c>
      <c r="T51" s="15">
        <f t="shared" si="1"/>
        <v>74.5631067961165</v>
      </c>
      <c r="U51" s="4"/>
    </row>
    <row r="52" spans="1:21">
      <c r="A52" s="8">
        <v>50</v>
      </c>
      <c r="B52" s="8">
        <v>50</v>
      </c>
      <c r="C52" s="8">
        <v>1</v>
      </c>
      <c r="D52" s="8">
        <v>403</v>
      </c>
      <c r="E52" s="8">
        <v>205</v>
      </c>
      <c r="F52" s="8">
        <v>2</v>
      </c>
      <c r="G52" s="8">
        <v>0</v>
      </c>
      <c r="H52" s="8">
        <v>1</v>
      </c>
      <c r="I52" s="8">
        <v>0</v>
      </c>
      <c r="J52" s="8">
        <v>1</v>
      </c>
      <c r="K52" s="8">
        <v>3</v>
      </c>
      <c r="L52" s="8">
        <v>4</v>
      </c>
      <c r="M52" s="8">
        <v>620</v>
      </c>
      <c r="N52" s="8">
        <v>0</v>
      </c>
      <c r="O52" s="8">
        <v>2</v>
      </c>
      <c r="P52" s="8">
        <v>622</v>
      </c>
      <c r="Q52" s="8">
        <v>0</v>
      </c>
      <c r="R52" s="8">
        <v>723</v>
      </c>
      <c r="S52" s="15">
        <f t="shared" si="0"/>
        <v>198</v>
      </c>
      <c r="T52" s="15">
        <f t="shared" si="1"/>
        <v>86.030428769017988</v>
      </c>
      <c r="U52" s="4"/>
    </row>
    <row r="53" spans="1:21">
      <c r="A53" s="8">
        <v>51</v>
      </c>
      <c r="B53" s="8">
        <v>51</v>
      </c>
      <c r="C53" s="8">
        <v>5</v>
      </c>
      <c r="D53" s="8">
        <v>466</v>
      </c>
      <c r="E53" s="8">
        <v>119</v>
      </c>
      <c r="F53" s="8">
        <v>6</v>
      </c>
      <c r="G53" s="8">
        <v>0</v>
      </c>
      <c r="H53" s="8">
        <v>1</v>
      </c>
      <c r="I53" s="8">
        <v>0</v>
      </c>
      <c r="J53" s="8">
        <v>1</v>
      </c>
      <c r="K53" s="8">
        <v>1</v>
      </c>
      <c r="L53" s="8">
        <v>4</v>
      </c>
      <c r="M53" s="8">
        <v>603</v>
      </c>
      <c r="N53" s="8">
        <v>0</v>
      </c>
      <c r="O53" s="8">
        <v>6</v>
      </c>
      <c r="P53" s="8">
        <v>609</v>
      </c>
      <c r="Q53" s="8">
        <v>0</v>
      </c>
      <c r="R53" s="8">
        <v>779</v>
      </c>
      <c r="S53" s="15">
        <f t="shared" si="0"/>
        <v>347</v>
      </c>
      <c r="T53" s="15">
        <f t="shared" si="1"/>
        <v>78.177150192554564</v>
      </c>
      <c r="U53" s="4"/>
    </row>
    <row r="54" spans="1:21">
      <c r="A54" s="8">
        <v>52</v>
      </c>
      <c r="B54" s="8">
        <v>52</v>
      </c>
      <c r="C54" s="8">
        <v>2</v>
      </c>
      <c r="D54" s="8">
        <v>175</v>
      </c>
      <c r="E54" s="8">
        <v>162</v>
      </c>
      <c r="F54" s="8">
        <v>4</v>
      </c>
      <c r="G54" s="8">
        <v>1</v>
      </c>
      <c r="H54" s="8">
        <v>0</v>
      </c>
      <c r="I54" s="8">
        <v>0</v>
      </c>
      <c r="J54" s="8">
        <v>0</v>
      </c>
      <c r="K54" s="8">
        <v>0</v>
      </c>
      <c r="L54" s="8">
        <v>1</v>
      </c>
      <c r="M54" s="8">
        <v>345</v>
      </c>
      <c r="N54" s="8">
        <v>0</v>
      </c>
      <c r="O54" s="8">
        <v>1</v>
      </c>
      <c r="P54" s="8">
        <v>346</v>
      </c>
      <c r="Q54" s="8">
        <v>0</v>
      </c>
      <c r="R54" s="8">
        <v>455</v>
      </c>
      <c r="S54" s="15">
        <f t="shared" si="0"/>
        <v>13</v>
      </c>
      <c r="T54" s="15">
        <f t="shared" si="1"/>
        <v>76.043956043956044</v>
      </c>
      <c r="U54" s="4"/>
    </row>
    <row r="55" spans="1:21">
      <c r="A55" s="8">
        <v>53</v>
      </c>
      <c r="B55" s="8">
        <v>53</v>
      </c>
      <c r="C55" s="8">
        <v>2</v>
      </c>
      <c r="D55" s="8">
        <v>429</v>
      </c>
      <c r="E55" s="8">
        <v>214</v>
      </c>
      <c r="F55" s="8">
        <v>3</v>
      </c>
      <c r="G55" s="8">
        <v>1</v>
      </c>
      <c r="H55" s="8">
        <v>2</v>
      </c>
      <c r="I55" s="8">
        <v>0</v>
      </c>
      <c r="J55" s="8">
        <v>2</v>
      </c>
      <c r="K55" s="8">
        <v>6</v>
      </c>
      <c r="L55" s="8">
        <v>3</v>
      </c>
      <c r="M55" s="8">
        <v>662</v>
      </c>
      <c r="N55" s="8">
        <v>0</v>
      </c>
      <c r="O55" s="8">
        <v>5</v>
      </c>
      <c r="P55" s="8">
        <v>667</v>
      </c>
      <c r="Q55" s="8">
        <v>0</v>
      </c>
      <c r="R55" s="8">
        <v>928</v>
      </c>
      <c r="S55" s="15">
        <f t="shared" si="0"/>
        <v>215</v>
      </c>
      <c r="T55" s="15">
        <f t="shared" si="1"/>
        <v>71.875</v>
      </c>
      <c r="U55" s="4"/>
    </row>
    <row r="56" spans="1:21">
      <c r="A56" s="8">
        <v>54</v>
      </c>
      <c r="B56" s="8">
        <v>54</v>
      </c>
      <c r="C56" s="8">
        <v>4</v>
      </c>
      <c r="D56" s="8">
        <v>255</v>
      </c>
      <c r="E56" s="8">
        <v>193</v>
      </c>
      <c r="F56" s="8">
        <v>8</v>
      </c>
      <c r="G56" s="8">
        <v>0</v>
      </c>
      <c r="H56" s="8">
        <v>0</v>
      </c>
      <c r="I56" s="8">
        <v>0</v>
      </c>
      <c r="J56" s="8">
        <v>1</v>
      </c>
      <c r="K56" s="8">
        <v>4</v>
      </c>
      <c r="L56" s="8">
        <v>1</v>
      </c>
      <c r="M56" s="8">
        <v>466</v>
      </c>
      <c r="N56" s="8">
        <v>0</v>
      </c>
      <c r="O56" s="8">
        <v>7</v>
      </c>
      <c r="P56" s="8">
        <v>473</v>
      </c>
      <c r="Q56" s="8">
        <v>0</v>
      </c>
      <c r="R56" s="8">
        <v>591</v>
      </c>
      <c r="S56" s="15">
        <f t="shared" si="0"/>
        <v>62</v>
      </c>
      <c r="T56" s="15">
        <f t="shared" si="1"/>
        <v>80.033840947546537</v>
      </c>
      <c r="U56" s="4"/>
    </row>
    <row r="57" spans="1:21">
      <c r="A57" s="8">
        <v>55</v>
      </c>
      <c r="B57" s="8">
        <v>55</v>
      </c>
      <c r="C57" s="8">
        <v>4</v>
      </c>
      <c r="D57" s="8">
        <v>233</v>
      </c>
      <c r="E57" s="8">
        <v>158</v>
      </c>
      <c r="F57" s="8">
        <v>0</v>
      </c>
      <c r="G57" s="8">
        <v>0</v>
      </c>
      <c r="H57" s="8">
        <v>0</v>
      </c>
      <c r="I57" s="8">
        <v>0</v>
      </c>
      <c r="J57" s="8">
        <v>2</v>
      </c>
      <c r="K57" s="8">
        <v>1</v>
      </c>
      <c r="L57" s="8">
        <v>1</v>
      </c>
      <c r="M57" s="8">
        <v>399</v>
      </c>
      <c r="N57" s="8">
        <v>0</v>
      </c>
      <c r="O57" s="8">
        <v>0</v>
      </c>
      <c r="P57" s="8">
        <v>399</v>
      </c>
      <c r="Q57" s="8">
        <v>0</v>
      </c>
      <c r="R57" s="8">
        <v>537</v>
      </c>
      <c r="S57" s="15">
        <f t="shared" si="0"/>
        <v>75</v>
      </c>
      <c r="T57" s="15">
        <f t="shared" si="1"/>
        <v>74.30167597765363</v>
      </c>
      <c r="U57" s="4"/>
    </row>
    <row r="58" spans="1:21">
      <c r="A58" s="11">
        <v>56</v>
      </c>
      <c r="B58" s="11">
        <v>56</v>
      </c>
      <c r="C58" s="8">
        <v>4</v>
      </c>
      <c r="D58" s="8">
        <v>386</v>
      </c>
      <c r="E58" s="8">
        <v>246</v>
      </c>
      <c r="F58" s="8">
        <v>3</v>
      </c>
      <c r="G58" s="8">
        <v>0</v>
      </c>
      <c r="H58" s="8">
        <v>0</v>
      </c>
      <c r="I58" s="8">
        <v>0</v>
      </c>
      <c r="J58" s="8">
        <v>0</v>
      </c>
      <c r="K58" s="8">
        <v>5</v>
      </c>
      <c r="L58" s="8">
        <v>1</v>
      </c>
      <c r="M58" s="8">
        <v>645</v>
      </c>
      <c r="N58" s="8">
        <v>0</v>
      </c>
      <c r="O58" s="8">
        <v>3</v>
      </c>
      <c r="P58" s="8">
        <v>648</v>
      </c>
      <c r="Q58" s="8">
        <v>0</v>
      </c>
      <c r="R58" s="8">
        <v>938</v>
      </c>
      <c r="S58" s="15">
        <f t="shared" si="0"/>
        <v>140</v>
      </c>
      <c r="T58" s="15">
        <f t="shared" si="1"/>
        <v>69.083155650319824</v>
      </c>
      <c r="U58" s="4"/>
    </row>
    <row r="59" spans="1:21">
      <c r="A59" s="8">
        <v>57</v>
      </c>
      <c r="B59" s="8">
        <v>57</v>
      </c>
      <c r="C59" s="8">
        <v>10</v>
      </c>
      <c r="D59" s="8">
        <v>686</v>
      </c>
      <c r="E59" s="8">
        <v>141</v>
      </c>
      <c r="F59" s="8">
        <v>4</v>
      </c>
      <c r="G59" s="8">
        <v>1</v>
      </c>
      <c r="H59" s="8">
        <v>0</v>
      </c>
      <c r="I59" s="8">
        <v>1</v>
      </c>
      <c r="J59" s="8">
        <v>2</v>
      </c>
      <c r="K59" s="8">
        <v>2</v>
      </c>
      <c r="L59" s="8">
        <v>4</v>
      </c>
      <c r="M59" s="8">
        <v>851</v>
      </c>
      <c r="N59" s="8">
        <v>0</v>
      </c>
      <c r="O59" s="8">
        <v>7</v>
      </c>
      <c r="P59" s="8">
        <v>858</v>
      </c>
      <c r="Q59" s="8">
        <v>0</v>
      </c>
      <c r="R59" s="8">
        <v>1132</v>
      </c>
      <c r="S59" s="15">
        <f t="shared" si="0"/>
        <v>545</v>
      </c>
      <c r="T59" s="15">
        <f t="shared" si="1"/>
        <v>75.795053003533567</v>
      </c>
      <c r="U59" s="4"/>
    </row>
    <row r="60" spans="1:21">
      <c r="A60" s="8">
        <v>58</v>
      </c>
      <c r="B60" s="8">
        <v>58</v>
      </c>
      <c r="C60" s="8">
        <v>4</v>
      </c>
      <c r="D60" s="8">
        <v>461</v>
      </c>
      <c r="E60" s="8">
        <v>205</v>
      </c>
      <c r="F60" s="8">
        <v>5</v>
      </c>
      <c r="G60" s="8">
        <v>0</v>
      </c>
      <c r="H60" s="8">
        <v>0</v>
      </c>
      <c r="I60" s="8">
        <v>1</v>
      </c>
      <c r="J60" s="8">
        <v>0</v>
      </c>
      <c r="K60" s="8">
        <v>4</v>
      </c>
      <c r="L60" s="8">
        <v>1</v>
      </c>
      <c r="M60" s="8">
        <v>681</v>
      </c>
      <c r="N60" s="8">
        <v>0</v>
      </c>
      <c r="O60" s="8">
        <v>1</v>
      </c>
      <c r="P60" s="8">
        <v>682</v>
      </c>
      <c r="Q60" s="8">
        <v>0</v>
      </c>
      <c r="R60" s="8">
        <v>905</v>
      </c>
      <c r="S60" s="15">
        <f t="shared" si="0"/>
        <v>256</v>
      </c>
      <c r="T60" s="15">
        <f t="shared" si="1"/>
        <v>75.359116022099442</v>
      </c>
      <c r="U60" s="4"/>
    </row>
    <row r="61" spans="1:21">
      <c r="A61" s="8">
        <v>59</v>
      </c>
      <c r="B61" s="8">
        <v>59</v>
      </c>
      <c r="C61" s="8">
        <v>15</v>
      </c>
      <c r="D61" s="8">
        <v>321</v>
      </c>
      <c r="E61" s="8">
        <v>194</v>
      </c>
      <c r="F61" s="8">
        <v>2</v>
      </c>
      <c r="G61" s="8">
        <v>0</v>
      </c>
      <c r="H61" s="8">
        <v>2</v>
      </c>
      <c r="I61" s="8">
        <v>0</v>
      </c>
      <c r="J61" s="8">
        <v>1</v>
      </c>
      <c r="K61" s="8">
        <v>1</v>
      </c>
      <c r="L61" s="8">
        <v>2</v>
      </c>
      <c r="M61" s="8">
        <v>538</v>
      </c>
      <c r="N61" s="8">
        <v>0</v>
      </c>
      <c r="O61" s="8">
        <v>1</v>
      </c>
      <c r="P61" s="8">
        <v>539</v>
      </c>
      <c r="Q61" s="8">
        <v>0</v>
      </c>
      <c r="R61" s="8">
        <v>640</v>
      </c>
      <c r="S61" s="15">
        <f t="shared" si="0"/>
        <v>127</v>
      </c>
      <c r="T61" s="15">
        <f t="shared" si="1"/>
        <v>84.21875</v>
      </c>
      <c r="U61" s="4"/>
    </row>
    <row r="62" spans="1:21">
      <c r="A62" s="8">
        <v>60</v>
      </c>
      <c r="B62" s="8">
        <v>60</v>
      </c>
      <c r="C62" s="8">
        <v>5</v>
      </c>
      <c r="D62" s="8">
        <v>283</v>
      </c>
      <c r="E62" s="8">
        <v>194</v>
      </c>
      <c r="F62" s="8">
        <v>2</v>
      </c>
      <c r="G62" s="8">
        <v>0</v>
      </c>
      <c r="H62" s="8">
        <v>1</v>
      </c>
      <c r="I62" s="8">
        <v>0</v>
      </c>
      <c r="J62" s="8">
        <v>1</v>
      </c>
      <c r="K62" s="8">
        <v>1</v>
      </c>
      <c r="L62" s="8">
        <v>0</v>
      </c>
      <c r="M62" s="8">
        <v>487</v>
      </c>
      <c r="N62" s="8">
        <v>0</v>
      </c>
      <c r="O62" s="8">
        <v>1</v>
      </c>
      <c r="P62" s="8">
        <v>488</v>
      </c>
      <c r="Q62" s="8">
        <v>0</v>
      </c>
      <c r="R62" s="8">
        <v>600</v>
      </c>
      <c r="S62" s="15">
        <f t="shared" si="0"/>
        <v>89</v>
      </c>
      <c r="T62" s="15">
        <f t="shared" si="1"/>
        <v>81.333333333333329</v>
      </c>
      <c r="U62" s="4"/>
    </row>
    <row r="63" spans="1:21">
      <c r="A63" s="8">
        <v>61</v>
      </c>
      <c r="B63" s="8">
        <v>61</v>
      </c>
      <c r="C63" s="8">
        <v>5</v>
      </c>
      <c r="D63" s="8">
        <v>381</v>
      </c>
      <c r="E63" s="8">
        <v>209</v>
      </c>
      <c r="F63" s="8">
        <v>8</v>
      </c>
      <c r="G63" s="8">
        <v>2</v>
      </c>
      <c r="H63" s="8">
        <v>0</v>
      </c>
      <c r="I63" s="8">
        <v>1</v>
      </c>
      <c r="J63" s="8">
        <v>5</v>
      </c>
      <c r="K63" s="8">
        <v>3</v>
      </c>
      <c r="L63" s="8">
        <v>0</v>
      </c>
      <c r="M63" s="8">
        <v>614</v>
      </c>
      <c r="N63" s="8">
        <v>0</v>
      </c>
      <c r="O63" s="8">
        <v>5</v>
      </c>
      <c r="P63" s="8">
        <v>619</v>
      </c>
      <c r="Q63" s="8">
        <v>0</v>
      </c>
      <c r="R63" s="8">
        <v>754</v>
      </c>
      <c r="S63" s="15">
        <f t="shared" si="0"/>
        <v>172</v>
      </c>
      <c r="T63" s="15">
        <f t="shared" si="1"/>
        <v>82.095490716180379</v>
      </c>
      <c r="U63" s="4"/>
    </row>
    <row r="64" spans="1:21">
      <c r="A64" s="8">
        <v>62</v>
      </c>
      <c r="B64" s="8">
        <v>62</v>
      </c>
      <c r="C64" s="8">
        <v>2</v>
      </c>
      <c r="D64" s="8">
        <v>367</v>
      </c>
      <c r="E64" s="8">
        <v>213</v>
      </c>
      <c r="F64" s="8">
        <v>5</v>
      </c>
      <c r="G64" s="8">
        <v>2</v>
      </c>
      <c r="H64" s="8">
        <v>0</v>
      </c>
      <c r="I64" s="8">
        <v>1</v>
      </c>
      <c r="J64" s="8">
        <v>2</v>
      </c>
      <c r="K64" s="8">
        <v>2</v>
      </c>
      <c r="L64" s="8">
        <v>1</v>
      </c>
      <c r="M64" s="8">
        <v>595</v>
      </c>
      <c r="N64" s="8">
        <v>0</v>
      </c>
      <c r="O64" s="8">
        <v>0</v>
      </c>
      <c r="P64" s="8">
        <v>595</v>
      </c>
      <c r="Q64" s="8">
        <v>0</v>
      </c>
      <c r="R64" s="8">
        <v>757</v>
      </c>
      <c r="S64" s="15">
        <f t="shared" si="0"/>
        <v>154</v>
      </c>
      <c r="T64" s="15">
        <f t="shared" si="1"/>
        <v>78.599735799207394</v>
      </c>
      <c r="U64" s="4"/>
    </row>
    <row r="65" spans="1:21">
      <c r="A65" s="8">
        <v>63</v>
      </c>
      <c r="B65" s="8">
        <v>63</v>
      </c>
      <c r="C65" s="8">
        <v>6</v>
      </c>
      <c r="D65" s="8">
        <v>309</v>
      </c>
      <c r="E65" s="8">
        <v>129</v>
      </c>
      <c r="F65" s="8">
        <v>1</v>
      </c>
      <c r="G65" s="8">
        <v>0</v>
      </c>
      <c r="H65" s="8">
        <v>0</v>
      </c>
      <c r="I65" s="8">
        <v>0</v>
      </c>
      <c r="J65" s="8">
        <v>0</v>
      </c>
      <c r="K65" s="8">
        <v>2</v>
      </c>
      <c r="L65" s="8">
        <v>3</v>
      </c>
      <c r="M65" s="8">
        <v>450</v>
      </c>
      <c r="N65" s="8">
        <v>0</v>
      </c>
      <c r="O65" s="8">
        <v>4</v>
      </c>
      <c r="P65" s="8">
        <v>454</v>
      </c>
      <c r="Q65" s="8">
        <v>0</v>
      </c>
      <c r="R65" s="8">
        <v>627</v>
      </c>
      <c r="S65" s="15">
        <f t="shared" si="0"/>
        <v>180</v>
      </c>
      <c r="T65" s="15">
        <f t="shared" si="1"/>
        <v>72.408293460925037</v>
      </c>
      <c r="U65" s="4"/>
    </row>
    <row r="66" spans="1:21">
      <c r="A66" s="8">
        <v>64</v>
      </c>
      <c r="B66" s="8">
        <v>64</v>
      </c>
      <c r="C66" s="8">
        <v>2</v>
      </c>
      <c r="D66" s="8">
        <v>321</v>
      </c>
      <c r="E66" s="8">
        <v>206</v>
      </c>
      <c r="F66" s="8">
        <v>3</v>
      </c>
      <c r="G66" s="8">
        <v>1</v>
      </c>
      <c r="H66" s="8">
        <v>1</v>
      </c>
      <c r="I66" s="8">
        <v>0</v>
      </c>
      <c r="J66" s="8">
        <v>1</v>
      </c>
      <c r="K66" s="8">
        <v>1</v>
      </c>
      <c r="L66" s="8">
        <v>1</v>
      </c>
      <c r="M66" s="8">
        <v>537</v>
      </c>
      <c r="N66" s="8">
        <v>0</v>
      </c>
      <c r="O66" s="8">
        <v>3</v>
      </c>
      <c r="P66" s="8">
        <v>540</v>
      </c>
      <c r="Q66" s="8">
        <v>0</v>
      </c>
      <c r="R66" s="8">
        <v>670</v>
      </c>
      <c r="S66" s="15">
        <f t="shared" si="0"/>
        <v>115</v>
      </c>
      <c r="T66" s="15">
        <f t="shared" si="1"/>
        <v>80.597014925373131</v>
      </c>
      <c r="U66" s="4"/>
    </row>
    <row r="67" spans="1:21">
      <c r="A67" s="9">
        <v>65</v>
      </c>
      <c r="B67" s="9">
        <v>65</v>
      </c>
      <c r="C67" s="9">
        <v>8</v>
      </c>
      <c r="D67" s="9">
        <v>119</v>
      </c>
      <c r="E67" s="9">
        <v>252</v>
      </c>
      <c r="F67" s="9">
        <v>1</v>
      </c>
      <c r="G67" s="9">
        <v>0</v>
      </c>
      <c r="H67" s="9">
        <v>0</v>
      </c>
      <c r="I67" s="9">
        <v>0</v>
      </c>
      <c r="J67" s="9">
        <v>1</v>
      </c>
      <c r="K67" s="9">
        <v>0</v>
      </c>
      <c r="L67" s="9">
        <v>0</v>
      </c>
      <c r="M67" s="9">
        <v>381</v>
      </c>
      <c r="N67" s="9">
        <v>0</v>
      </c>
      <c r="O67" s="9">
        <v>1</v>
      </c>
      <c r="P67" s="9">
        <v>382</v>
      </c>
      <c r="Q67" s="9">
        <v>0</v>
      </c>
      <c r="R67" s="9">
        <v>486</v>
      </c>
      <c r="S67" s="16">
        <f t="shared" ref="S67:S130" si="2">MAX(D67,E67)-MIN(D67,E67)</f>
        <v>133</v>
      </c>
      <c r="T67" s="16">
        <f t="shared" si="1"/>
        <v>78.600823045267489</v>
      </c>
      <c r="U67" s="4"/>
    </row>
    <row r="68" spans="1:21">
      <c r="A68" s="8">
        <v>66</v>
      </c>
      <c r="B68" s="8">
        <v>66</v>
      </c>
      <c r="C68" s="8">
        <v>11</v>
      </c>
      <c r="D68" s="8">
        <v>621</v>
      </c>
      <c r="E68" s="8">
        <v>383</v>
      </c>
      <c r="F68" s="8">
        <v>4</v>
      </c>
      <c r="G68" s="8">
        <v>0</v>
      </c>
      <c r="H68" s="8">
        <v>2</v>
      </c>
      <c r="I68" s="8">
        <v>2</v>
      </c>
      <c r="J68" s="8">
        <v>2</v>
      </c>
      <c r="K68" s="8">
        <v>2</v>
      </c>
      <c r="L68" s="8">
        <v>1</v>
      </c>
      <c r="M68" s="8">
        <v>1028</v>
      </c>
      <c r="N68" s="8">
        <v>0</v>
      </c>
      <c r="O68" s="8">
        <v>9</v>
      </c>
      <c r="P68" s="8">
        <v>1037</v>
      </c>
      <c r="Q68" s="8">
        <v>0</v>
      </c>
      <c r="R68" s="8">
        <v>1406</v>
      </c>
      <c r="S68" s="15">
        <f t="shared" si="2"/>
        <v>238</v>
      </c>
      <c r="T68" s="15">
        <f t="shared" ref="T68:T131" si="3">(P68/R68)*100</f>
        <v>73.755334281650079</v>
      </c>
      <c r="U68" s="4"/>
    </row>
    <row r="69" spans="1:21">
      <c r="A69" s="8">
        <v>67</v>
      </c>
      <c r="B69" s="8">
        <v>67</v>
      </c>
      <c r="C69" s="8">
        <v>2</v>
      </c>
      <c r="D69" s="8">
        <v>617</v>
      </c>
      <c r="E69" s="8">
        <v>263</v>
      </c>
      <c r="F69" s="8">
        <v>4</v>
      </c>
      <c r="G69" s="8">
        <v>2</v>
      </c>
      <c r="H69" s="8">
        <v>1</v>
      </c>
      <c r="I69" s="8">
        <v>3</v>
      </c>
      <c r="J69" s="8">
        <v>4</v>
      </c>
      <c r="K69" s="8">
        <v>1</v>
      </c>
      <c r="L69" s="8">
        <v>3</v>
      </c>
      <c r="M69" s="8">
        <v>900</v>
      </c>
      <c r="N69" s="8">
        <v>0</v>
      </c>
      <c r="O69" s="8">
        <v>4</v>
      </c>
      <c r="P69" s="8">
        <v>904</v>
      </c>
      <c r="Q69" s="8">
        <v>0</v>
      </c>
      <c r="R69" s="8">
        <v>1127</v>
      </c>
      <c r="S69" s="15">
        <f t="shared" si="2"/>
        <v>354</v>
      </c>
      <c r="T69" s="15">
        <f t="shared" si="3"/>
        <v>80.212954747116243</v>
      </c>
      <c r="U69" s="4"/>
    </row>
    <row r="70" spans="1:21">
      <c r="A70" s="7">
        <v>68</v>
      </c>
      <c r="B70" s="7">
        <v>68</v>
      </c>
      <c r="C70" s="7">
        <v>0</v>
      </c>
      <c r="D70" s="7">
        <v>190</v>
      </c>
      <c r="E70" s="7">
        <v>173</v>
      </c>
      <c r="F70" s="7">
        <v>0</v>
      </c>
      <c r="G70" s="7">
        <v>0</v>
      </c>
      <c r="H70" s="7">
        <v>1</v>
      </c>
      <c r="I70" s="7">
        <v>0</v>
      </c>
      <c r="J70" s="7">
        <v>0</v>
      </c>
      <c r="K70" s="7">
        <v>2</v>
      </c>
      <c r="L70" s="7">
        <v>0</v>
      </c>
      <c r="M70" s="7">
        <v>366</v>
      </c>
      <c r="N70" s="7">
        <v>0</v>
      </c>
      <c r="O70" s="7">
        <v>0</v>
      </c>
      <c r="P70" s="7">
        <v>366</v>
      </c>
      <c r="Q70" s="7">
        <v>0</v>
      </c>
      <c r="R70" s="7">
        <v>395</v>
      </c>
      <c r="S70" s="14">
        <f t="shared" si="2"/>
        <v>17</v>
      </c>
      <c r="T70" s="17">
        <f t="shared" si="3"/>
        <v>92.658227848101276</v>
      </c>
      <c r="U70" s="4"/>
    </row>
    <row r="71" spans="1:21">
      <c r="A71" s="9">
        <v>69</v>
      </c>
      <c r="B71" s="9">
        <v>69</v>
      </c>
      <c r="C71" s="9">
        <v>2</v>
      </c>
      <c r="D71" s="9">
        <v>145</v>
      </c>
      <c r="E71" s="9">
        <v>173</v>
      </c>
      <c r="F71" s="9">
        <v>2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1</v>
      </c>
      <c r="M71" s="9">
        <v>323</v>
      </c>
      <c r="N71" s="9">
        <v>0</v>
      </c>
      <c r="O71" s="9">
        <v>2</v>
      </c>
      <c r="P71" s="9">
        <v>325</v>
      </c>
      <c r="Q71" s="9">
        <v>0</v>
      </c>
      <c r="R71" s="9">
        <v>419</v>
      </c>
      <c r="S71" s="16">
        <f t="shared" si="2"/>
        <v>28</v>
      </c>
      <c r="T71" s="16">
        <f t="shared" si="3"/>
        <v>77.565632458233893</v>
      </c>
      <c r="U71" s="4"/>
    </row>
    <row r="72" spans="1:21">
      <c r="A72" s="8">
        <v>70</v>
      </c>
      <c r="B72" s="8">
        <v>70</v>
      </c>
      <c r="C72" s="8">
        <v>2</v>
      </c>
      <c r="D72" s="8">
        <v>267</v>
      </c>
      <c r="E72" s="8">
        <v>177</v>
      </c>
      <c r="F72" s="8">
        <v>2</v>
      </c>
      <c r="G72" s="8">
        <v>0</v>
      </c>
      <c r="H72" s="8">
        <v>0</v>
      </c>
      <c r="I72" s="8">
        <v>0</v>
      </c>
      <c r="J72" s="8">
        <v>1</v>
      </c>
      <c r="K72" s="8">
        <v>3</v>
      </c>
      <c r="L72" s="8">
        <v>1</v>
      </c>
      <c r="M72" s="8">
        <v>453</v>
      </c>
      <c r="N72" s="8">
        <v>0</v>
      </c>
      <c r="O72" s="8">
        <v>2</v>
      </c>
      <c r="P72" s="8">
        <v>455</v>
      </c>
      <c r="Q72" s="8">
        <v>0</v>
      </c>
      <c r="R72" s="8">
        <v>545</v>
      </c>
      <c r="S72" s="15">
        <f t="shared" si="2"/>
        <v>90</v>
      </c>
      <c r="T72" s="15">
        <f t="shared" si="3"/>
        <v>83.486238532110093</v>
      </c>
      <c r="U72" s="4"/>
    </row>
    <row r="73" spans="1:21">
      <c r="A73" s="8">
        <v>71</v>
      </c>
      <c r="B73" s="8">
        <v>71</v>
      </c>
      <c r="C73" s="8">
        <v>7</v>
      </c>
      <c r="D73" s="8">
        <v>433</v>
      </c>
      <c r="E73" s="8">
        <v>284</v>
      </c>
      <c r="F73" s="8">
        <v>2</v>
      </c>
      <c r="G73" s="8">
        <v>1</v>
      </c>
      <c r="H73" s="8">
        <v>0</v>
      </c>
      <c r="I73" s="8">
        <v>0</v>
      </c>
      <c r="J73" s="8">
        <v>1</v>
      </c>
      <c r="K73" s="8">
        <v>5</v>
      </c>
      <c r="L73" s="8">
        <v>4</v>
      </c>
      <c r="M73" s="8">
        <v>737</v>
      </c>
      <c r="N73" s="8">
        <v>0</v>
      </c>
      <c r="O73" s="8">
        <v>1</v>
      </c>
      <c r="P73" s="8">
        <v>738</v>
      </c>
      <c r="Q73" s="8">
        <v>0</v>
      </c>
      <c r="R73" s="8">
        <v>956</v>
      </c>
      <c r="S73" s="15">
        <f t="shared" si="2"/>
        <v>149</v>
      </c>
      <c r="T73" s="15">
        <f t="shared" si="3"/>
        <v>77.196652719665266</v>
      </c>
      <c r="U73" s="4"/>
    </row>
    <row r="74" spans="1:21">
      <c r="A74" s="8">
        <v>72</v>
      </c>
      <c r="B74" s="8">
        <v>72</v>
      </c>
      <c r="C74" s="8">
        <v>13</v>
      </c>
      <c r="D74" s="8">
        <v>379</v>
      </c>
      <c r="E74" s="8">
        <v>374</v>
      </c>
      <c r="F74" s="8">
        <v>6</v>
      </c>
      <c r="G74" s="8">
        <v>0</v>
      </c>
      <c r="H74" s="8">
        <v>0</v>
      </c>
      <c r="I74" s="8">
        <v>0</v>
      </c>
      <c r="J74" s="8">
        <v>5</v>
      </c>
      <c r="K74" s="8">
        <v>4</v>
      </c>
      <c r="L74" s="8">
        <v>1</v>
      </c>
      <c r="M74" s="8">
        <v>782</v>
      </c>
      <c r="N74" s="8">
        <v>0</v>
      </c>
      <c r="O74" s="8">
        <v>4</v>
      </c>
      <c r="P74" s="8">
        <v>786</v>
      </c>
      <c r="Q74" s="8">
        <v>0</v>
      </c>
      <c r="R74" s="8">
        <v>939</v>
      </c>
      <c r="S74" s="15">
        <f t="shared" si="2"/>
        <v>5</v>
      </c>
      <c r="T74" s="15">
        <f t="shared" si="3"/>
        <v>83.70607028753993</v>
      </c>
      <c r="U74" s="4"/>
    </row>
    <row r="75" spans="1:21">
      <c r="A75" s="9">
        <v>73</v>
      </c>
      <c r="B75" s="9">
        <v>73</v>
      </c>
      <c r="C75" s="9">
        <v>12</v>
      </c>
      <c r="D75" s="9">
        <v>213</v>
      </c>
      <c r="E75" s="9">
        <v>264</v>
      </c>
      <c r="F75" s="9">
        <v>2</v>
      </c>
      <c r="G75" s="9">
        <v>1</v>
      </c>
      <c r="H75" s="9">
        <v>0</v>
      </c>
      <c r="I75" s="9">
        <v>1</v>
      </c>
      <c r="J75" s="9">
        <v>1</v>
      </c>
      <c r="K75" s="9">
        <v>0</v>
      </c>
      <c r="L75" s="9">
        <v>2</v>
      </c>
      <c r="M75" s="9">
        <v>496</v>
      </c>
      <c r="N75" s="9">
        <v>0</v>
      </c>
      <c r="O75" s="9">
        <v>5</v>
      </c>
      <c r="P75" s="9">
        <v>501</v>
      </c>
      <c r="Q75" s="9">
        <v>0</v>
      </c>
      <c r="R75" s="9">
        <v>707</v>
      </c>
      <c r="S75" s="16">
        <f t="shared" si="2"/>
        <v>51</v>
      </c>
      <c r="T75" s="16">
        <f t="shared" si="3"/>
        <v>70.862800565770868</v>
      </c>
      <c r="U75" s="4"/>
    </row>
    <row r="76" spans="1:21">
      <c r="A76" s="8">
        <v>74</v>
      </c>
      <c r="B76" s="8">
        <v>74</v>
      </c>
      <c r="C76" s="8">
        <v>21</v>
      </c>
      <c r="D76" s="8">
        <v>434</v>
      </c>
      <c r="E76" s="8">
        <v>407</v>
      </c>
      <c r="F76" s="8">
        <v>5</v>
      </c>
      <c r="G76" s="8">
        <v>0</v>
      </c>
      <c r="H76" s="8">
        <v>0</v>
      </c>
      <c r="I76" s="8">
        <v>1</v>
      </c>
      <c r="J76" s="8">
        <v>0</v>
      </c>
      <c r="K76" s="8">
        <v>1</v>
      </c>
      <c r="L76" s="8">
        <v>1</v>
      </c>
      <c r="M76" s="8">
        <v>870</v>
      </c>
      <c r="N76" s="8">
        <v>0</v>
      </c>
      <c r="O76" s="8">
        <v>7</v>
      </c>
      <c r="P76" s="8">
        <v>877</v>
      </c>
      <c r="Q76" s="8">
        <v>0</v>
      </c>
      <c r="R76" s="8">
        <v>1079</v>
      </c>
      <c r="S76" s="15">
        <f t="shared" si="2"/>
        <v>27</v>
      </c>
      <c r="T76" s="15">
        <f t="shared" si="3"/>
        <v>81.278962001853571</v>
      </c>
      <c r="U76" s="4"/>
    </row>
    <row r="77" spans="1:21">
      <c r="A77" s="8">
        <v>75</v>
      </c>
      <c r="B77" s="8">
        <v>75</v>
      </c>
      <c r="C77" s="8">
        <v>1</v>
      </c>
      <c r="D77" s="8">
        <v>401</v>
      </c>
      <c r="E77" s="8">
        <v>155</v>
      </c>
      <c r="F77" s="8">
        <v>0</v>
      </c>
      <c r="G77" s="8">
        <v>0</v>
      </c>
      <c r="H77" s="8">
        <v>0</v>
      </c>
      <c r="I77" s="8">
        <v>0</v>
      </c>
      <c r="J77" s="8">
        <v>1</v>
      </c>
      <c r="K77" s="8">
        <v>1</v>
      </c>
      <c r="L77" s="8">
        <v>4</v>
      </c>
      <c r="M77" s="8">
        <v>563</v>
      </c>
      <c r="N77" s="8">
        <v>0</v>
      </c>
      <c r="O77" s="8">
        <v>3</v>
      </c>
      <c r="P77" s="8">
        <v>566</v>
      </c>
      <c r="Q77" s="8">
        <v>0</v>
      </c>
      <c r="R77" s="8">
        <v>694</v>
      </c>
      <c r="S77" s="15">
        <f t="shared" si="2"/>
        <v>246</v>
      </c>
      <c r="T77" s="15">
        <f t="shared" si="3"/>
        <v>81.556195965417871</v>
      </c>
      <c r="U77" s="4"/>
    </row>
    <row r="78" spans="1:21">
      <c r="A78" s="9">
        <v>76</v>
      </c>
      <c r="B78" s="9">
        <v>76</v>
      </c>
      <c r="C78" s="9">
        <v>10</v>
      </c>
      <c r="D78" s="9">
        <v>205</v>
      </c>
      <c r="E78" s="9">
        <v>387</v>
      </c>
      <c r="F78" s="9">
        <v>3</v>
      </c>
      <c r="G78" s="9">
        <v>0</v>
      </c>
      <c r="H78" s="9">
        <v>0</v>
      </c>
      <c r="I78" s="9">
        <v>1</v>
      </c>
      <c r="J78" s="9">
        <v>0</v>
      </c>
      <c r="K78" s="9">
        <v>3</v>
      </c>
      <c r="L78" s="9">
        <v>0</v>
      </c>
      <c r="M78" s="9">
        <v>609</v>
      </c>
      <c r="N78" s="9">
        <v>0</v>
      </c>
      <c r="O78" s="9">
        <v>7</v>
      </c>
      <c r="P78" s="9">
        <v>616</v>
      </c>
      <c r="Q78" s="9">
        <v>0</v>
      </c>
      <c r="R78" s="9">
        <v>796</v>
      </c>
      <c r="S78" s="16">
        <f t="shared" si="2"/>
        <v>182</v>
      </c>
      <c r="T78" s="16">
        <f t="shared" si="3"/>
        <v>77.386934673366838</v>
      </c>
      <c r="U78" s="4"/>
    </row>
    <row r="79" spans="1:21">
      <c r="A79" s="8">
        <v>77</v>
      </c>
      <c r="B79" s="8">
        <v>77</v>
      </c>
      <c r="C79" s="8">
        <v>6</v>
      </c>
      <c r="D79" s="8">
        <v>451</v>
      </c>
      <c r="E79" s="8">
        <v>292</v>
      </c>
      <c r="F79" s="8">
        <v>5</v>
      </c>
      <c r="G79" s="8">
        <v>2</v>
      </c>
      <c r="H79" s="8">
        <v>0</v>
      </c>
      <c r="I79" s="8">
        <v>1</v>
      </c>
      <c r="J79" s="8">
        <v>1</v>
      </c>
      <c r="K79" s="8">
        <v>2</v>
      </c>
      <c r="L79" s="8">
        <v>5</v>
      </c>
      <c r="M79" s="8">
        <v>765</v>
      </c>
      <c r="N79" s="8">
        <v>0</v>
      </c>
      <c r="O79" s="8">
        <v>3</v>
      </c>
      <c r="P79" s="8">
        <v>768</v>
      </c>
      <c r="Q79" s="8">
        <v>0</v>
      </c>
      <c r="R79" s="8">
        <v>1016</v>
      </c>
      <c r="S79" s="15">
        <f t="shared" si="2"/>
        <v>159</v>
      </c>
      <c r="T79" s="15">
        <f t="shared" si="3"/>
        <v>75.590551181102356</v>
      </c>
      <c r="U79" s="4"/>
    </row>
    <row r="80" spans="1:21">
      <c r="A80" s="8">
        <v>78</v>
      </c>
      <c r="B80" s="8">
        <v>78</v>
      </c>
      <c r="C80" s="8">
        <v>2</v>
      </c>
      <c r="D80" s="8">
        <v>226</v>
      </c>
      <c r="E80" s="8">
        <v>161</v>
      </c>
      <c r="F80" s="8">
        <v>1</v>
      </c>
      <c r="G80" s="8">
        <v>0</v>
      </c>
      <c r="H80" s="8">
        <v>0</v>
      </c>
      <c r="I80" s="8">
        <v>0</v>
      </c>
      <c r="J80" s="8">
        <v>1</v>
      </c>
      <c r="K80" s="8">
        <v>0</v>
      </c>
      <c r="L80" s="8">
        <v>1</v>
      </c>
      <c r="M80" s="8">
        <v>392</v>
      </c>
      <c r="N80" s="8">
        <v>0</v>
      </c>
      <c r="O80" s="8">
        <v>3</v>
      </c>
      <c r="P80" s="8">
        <v>395</v>
      </c>
      <c r="Q80" s="8">
        <v>0</v>
      </c>
      <c r="R80" s="8">
        <v>559</v>
      </c>
      <c r="S80" s="15">
        <f t="shared" si="2"/>
        <v>65</v>
      </c>
      <c r="T80" s="15">
        <f t="shared" si="3"/>
        <v>70.661896243291594</v>
      </c>
      <c r="U80" s="4"/>
    </row>
    <row r="81" spans="1:21">
      <c r="A81" s="9">
        <v>79</v>
      </c>
      <c r="B81" s="9">
        <v>79</v>
      </c>
      <c r="C81" s="9">
        <v>11</v>
      </c>
      <c r="D81" s="9">
        <v>323</v>
      </c>
      <c r="E81" s="9">
        <v>429</v>
      </c>
      <c r="F81" s="9">
        <v>6</v>
      </c>
      <c r="G81" s="9">
        <v>2</v>
      </c>
      <c r="H81" s="9">
        <v>0</v>
      </c>
      <c r="I81" s="9">
        <v>0</v>
      </c>
      <c r="J81" s="9">
        <v>4</v>
      </c>
      <c r="K81" s="9">
        <v>4</v>
      </c>
      <c r="L81" s="9">
        <v>0</v>
      </c>
      <c r="M81" s="9">
        <v>779</v>
      </c>
      <c r="N81" s="9">
        <v>0</v>
      </c>
      <c r="O81" s="9">
        <v>4</v>
      </c>
      <c r="P81" s="9">
        <v>783</v>
      </c>
      <c r="Q81" s="9">
        <v>0</v>
      </c>
      <c r="R81" s="9">
        <v>949</v>
      </c>
      <c r="S81" s="16">
        <f t="shared" si="2"/>
        <v>106</v>
      </c>
      <c r="T81" s="16">
        <f t="shared" si="3"/>
        <v>82.50790305584826</v>
      </c>
      <c r="U81" s="4"/>
    </row>
    <row r="82" spans="1:21">
      <c r="A82" s="8">
        <v>80</v>
      </c>
      <c r="B82" s="8">
        <v>80</v>
      </c>
      <c r="C82" s="8">
        <v>4</v>
      </c>
      <c r="D82" s="8">
        <v>378</v>
      </c>
      <c r="E82" s="8">
        <v>239</v>
      </c>
      <c r="F82" s="8">
        <v>6</v>
      </c>
      <c r="G82" s="8">
        <v>1</v>
      </c>
      <c r="H82" s="8">
        <v>1</v>
      </c>
      <c r="I82" s="8">
        <v>2</v>
      </c>
      <c r="J82" s="8">
        <v>1</v>
      </c>
      <c r="K82" s="8">
        <v>0</v>
      </c>
      <c r="L82" s="8">
        <v>1</v>
      </c>
      <c r="M82" s="8">
        <v>633</v>
      </c>
      <c r="N82" s="8">
        <v>0</v>
      </c>
      <c r="O82" s="8">
        <v>2</v>
      </c>
      <c r="P82" s="8">
        <v>635</v>
      </c>
      <c r="Q82" s="8">
        <v>0</v>
      </c>
      <c r="R82" s="8">
        <v>749</v>
      </c>
      <c r="S82" s="15">
        <f t="shared" si="2"/>
        <v>139</v>
      </c>
      <c r="T82" s="15">
        <f t="shared" si="3"/>
        <v>84.779706275033377</v>
      </c>
    </row>
    <row r="83" spans="1:21">
      <c r="A83" s="8">
        <v>81</v>
      </c>
      <c r="B83" s="8">
        <v>81</v>
      </c>
      <c r="C83" s="8">
        <v>8</v>
      </c>
      <c r="D83" s="8">
        <v>640</v>
      </c>
      <c r="E83" s="8">
        <v>243</v>
      </c>
      <c r="F83" s="8">
        <v>1</v>
      </c>
      <c r="G83" s="8">
        <v>0</v>
      </c>
      <c r="H83" s="8">
        <v>2</v>
      </c>
      <c r="I83" s="8">
        <v>0</v>
      </c>
      <c r="J83" s="8">
        <v>3</v>
      </c>
      <c r="K83" s="8">
        <v>2</v>
      </c>
      <c r="L83" s="8">
        <v>3</v>
      </c>
      <c r="M83" s="8">
        <v>902</v>
      </c>
      <c r="N83" s="8">
        <v>0</v>
      </c>
      <c r="O83" s="8">
        <v>7</v>
      </c>
      <c r="P83" s="8">
        <v>909</v>
      </c>
      <c r="Q83" s="8">
        <v>0</v>
      </c>
      <c r="R83" s="8">
        <v>1084</v>
      </c>
      <c r="S83" s="15">
        <f t="shared" si="2"/>
        <v>397</v>
      </c>
      <c r="T83" s="15">
        <f t="shared" si="3"/>
        <v>83.85608856088561</v>
      </c>
    </row>
    <row r="84" spans="1:21">
      <c r="A84" s="8">
        <v>82</v>
      </c>
      <c r="B84" s="8">
        <v>82</v>
      </c>
      <c r="C84" s="8">
        <v>13</v>
      </c>
      <c r="D84" s="8">
        <v>490</v>
      </c>
      <c r="E84" s="8">
        <v>306</v>
      </c>
      <c r="F84" s="8">
        <v>2</v>
      </c>
      <c r="G84" s="8">
        <v>1</v>
      </c>
      <c r="H84" s="8">
        <v>0</v>
      </c>
      <c r="I84" s="8">
        <v>0</v>
      </c>
      <c r="J84" s="8">
        <v>2</v>
      </c>
      <c r="K84" s="8">
        <v>1</v>
      </c>
      <c r="L84" s="8">
        <v>2</v>
      </c>
      <c r="M84" s="8">
        <v>817</v>
      </c>
      <c r="N84" s="8">
        <v>0</v>
      </c>
      <c r="O84" s="8">
        <v>8</v>
      </c>
      <c r="P84" s="8">
        <v>825</v>
      </c>
      <c r="Q84" s="8">
        <v>0</v>
      </c>
      <c r="R84" s="8">
        <v>1018</v>
      </c>
      <c r="S84" s="15">
        <f t="shared" si="2"/>
        <v>184</v>
      </c>
      <c r="T84" s="15">
        <f t="shared" si="3"/>
        <v>81.041257367387033</v>
      </c>
    </row>
    <row r="85" spans="1:21">
      <c r="A85" s="8">
        <v>83</v>
      </c>
      <c r="B85" s="8">
        <v>83</v>
      </c>
      <c r="C85" s="8">
        <v>4</v>
      </c>
      <c r="D85" s="8">
        <v>246</v>
      </c>
      <c r="E85" s="8">
        <v>146</v>
      </c>
      <c r="F85" s="8">
        <v>1</v>
      </c>
      <c r="G85" s="8">
        <v>0</v>
      </c>
      <c r="H85" s="8">
        <v>1</v>
      </c>
      <c r="I85" s="8">
        <v>0</v>
      </c>
      <c r="J85" s="8">
        <v>2</v>
      </c>
      <c r="K85" s="8">
        <v>5</v>
      </c>
      <c r="L85" s="8">
        <v>4</v>
      </c>
      <c r="M85" s="8">
        <v>409</v>
      </c>
      <c r="N85" s="8">
        <v>0</v>
      </c>
      <c r="O85" s="8">
        <v>3</v>
      </c>
      <c r="P85" s="8">
        <v>412</v>
      </c>
      <c r="Q85" s="8">
        <v>0</v>
      </c>
      <c r="R85" s="8">
        <v>496</v>
      </c>
      <c r="S85" s="15">
        <f t="shared" si="2"/>
        <v>100</v>
      </c>
      <c r="T85" s="15">
        <f t="shared" si="3"/>
        <v>83.064516129032256</v>
      </c>
    </row>
    <row r="86" spans="1:21">
      <c r="A86" s="11">
        <v>84</v>
      </c>
      <c r="B86" s="11">
        <v>84</v>
      </c>
      <c r="C86" s="8">
        <v>5</v>
      </c>
      <c r="D86" s="8">
        <v>363</v>
      </c>
      <c r="E86" s="8">
        <v>211</v>
      </c>
      <c r="F86" s="8">
        <v>2</v>
      </c>
      <c r="G86" s="8">
        <v>0</v>
      </c>
      <c r="H86" s="8">
        <v>0</v>
      </c>
      <c r="I86" s="8">
        <v>0</v>
      </c>
      <c r="J86" s="8">
        <v>2</v>
      </c>
      <c r="K86" s="8">
        <v>0</v>
      </c>
      <c r="L86" s="8">
        <v>0</v>
      </c>
      <c r="M86" s="8">
        <v>583</v>
      </c>
      <c r="N86" s="8">
        <v>0</v>
      </c>
      <c r="O86" s="8">
        <v>2</v>
      </c>
      <c r="P86" s="8">
        <v>585</v>
      </c>
      <c r="Q86" s="8">
        <v>0</v>
      </c>
      <c r="R86" s="8">
        <v>710</v>
      </c>
      <c r="S86" s="15">
        <f t="shared" si="2"/>
        <v>152</v>
      </c>
      <c r="T86" s="15">
        <f t="shared" si="3"/>
        <v>82.394366197183103</v>
      </c>
    </row>
    <row r="87" spans="1:21">
      <c r="A87" s="8">
        <v>85</v>
      </c>
      <c r="B87" s="8">
        <v>85</v>
      </c>
      <c r="C87" s="8">
        <v>7</v>
      </c>
      <c r="D87" s="8">
        <v>441</v>
      </c>
      <c r="E87" s="8">
        <v>315</v>
      </c>
      <c r="F87" s="8">
        <v>2</v>
      </c>
      <c r="G87" s="8">
        <v>0</v>
      </c>
      <c r="H87" s="8">
        <v>1</v>
      </c>
      <c r="I87" s="8">
        <v>0</v>
      </c>
      <c r="J87" s="8">
        <v>0</v>
      </c>
      <c r="K87" s="8">
        <v>2</v>
      </c>
      <c r="L87" s="8">
        <v>2</v>
      </c>
      <c r="M87" s="8">
        <v>770</v>
      </c>
      <c r="N87" s="8">
        <v>0</v>
      </c>
      <c r="O87" s="8">
        <v>9</v>
      </c>
      <c r="P87" s="8">
        <v>779</v>
      </c>
      <c r="Q87" s="8">
        <v>0</v>
      </c>
      <c r="R87" s="8">
        <v>907</v>
      </c>
      <c r="S87" s="15">
        <f t="shared" si="2"/>
        <v>126</v>
      </c>
      <c r="T87" s="15">
        <f t="shared" si="3"/>
        <v>85.887541345093723</v>
      </c>
    </row>
    <row r="88" spans="1:21">
      <c r="A88" s="8">
        <v>86</v>
      </c>
      <c r="B88" s="8">
        <v>86</v>
      </c>
      <c r="C88" s="8">
        <v>7</v>
      </c>
      <c r="D88" s="8">
        <v>392</v>
      </c>
      <c r="E88" s="8">
        <v>359</v>
      </c>
      <c r="F88" s="8">
        <v>4</v>
      </c>
      <c r="G88" s="8">
        <v>2</v>
      </c>
      <c r="H88" s="8">
        <v>0</v>
      </c>
      <c r="I88" s="8">
        <v>1</v>
      </c>
      <c r="J88" s="8">
        <v>1</v>
      </c>
      <c r="K88" s="8">
        <v>1</v>
      </c>
      <c r="L88" s="8">
        <v>0</v>
      </c>
      <c r="M88" s="8">
        <v>767</v>
      </c>
      <c r="N88" s="8">
        <v>0</v>
      </c>
      <c r="O88" s="8">
        <v>3</v>
      </c>
      <c r="P88" s="8">
        <v>770</v>
      </c>
      <c r="Q88" s="8">
        <v>0</v>
      </c>
      <c r="R88" s="8">
        <v>1052</v>
      </c>
      <c r="S88" s="15">
        <f t="shared" si="2"/>
        <v>33</v>
      </c>
      <c r="T88" s="15">
        <f t="shared" si="3"/>
        <v>73.193916349809882</v>
      </c>
    </row>
    <row r="89" spans="1:21">
      <c r="A89" s="9">
        <v>87</v>
      </c>
      <c r="B89" s="9">
        <v>87</v>
      </c>
      <c r="C89" s="9">
        <v>3</v>
      </c>
      <c r="D89" s="9">
        <v>144</v>
      </c>
      <c r="E89" s="9">
        <v>183</v>
      </c>
      <c r="F89" s="9">
        <v>3</v>
      </c>
      <c r="G89" s="9">
        <v>0</v>
      </c>
      <c r="H89" s="9">
        <v>0</v>
      </c>
      <c r="I89" s="9">
        <v>0</v>
      </c>
      <c r="J89" s="9">
        <v>0</v>
      </c>
      <c r="K89" s="9">
        <v>1</v>
      </c>
      <c r="L89" s="9">
        <v>0</v>
      </c>
      <c r="M89" s="9">
        <v>334</v>
      </c>
      <c r="N89" s="9">
        <v>0</v>
      </c>
      <c r="O89" s="9">
        <v>0</v>
      </c>
      <c r="P89" s="9">
        <v>334</v>
      </c>
      <c r="Q89" s="9">
        <v>0</v>
      </c>
      <c r="R89" s="9">
        <v>399</v>
      </c>
      <c r="S89" s="16">
        <f t="shared" si="2"/>
        <v>39</v>
      </c>
      <c r="T89" s="14">
        <f t="shared" si="3"/>
        <v>83.709273182957389</v>
      </c>
      <c r="U89" s="4"/>
    </row>
    <row r="90" spans="1:21">
      <c r="A90" s="8">
        <v>88</v>
      </c>
      <c r="B90" s="8">
        <v>88</v>
      </c>
      <c r="C90" s="8">
        <v>3</v>
      </c>
      <c r="D90" s="8">
        <v>253</v>
      </c>
      <c r="E90" s="8">
        <v>98</v>
      </c>
      <c r="F90" s="8">
        <v>0</v>
      </c>
      <c r="G90" s="8">
        <v>0</v>
      </c>
      <c r="H90" s="8">
        <v>0</v>
      </c>
      <c r="I90" s="8">
        <v>1</v>
      </c>
      <c r="J90" s="8">
        <v>1</v>
      </c>
      <c r="K90" s="8">
        <v>1</v>
      </c>
      <c r="L90" s="8">
        <v>2</v>
      </c>
      <c r="M90" s="8">
        <v>359</v>
      </c>
      <c r="N90" s="8">
        <v>0</v>
      </c>
      <c r="O90" s="8">
        <v>0</v>
      </c>
      <c r="P90" s="8">
        <v>359</v>
      </c>
      <c r="Q90" s="8">
        <v>0</v>
      </c>
      <c r="R90" s="8">
        <v>412</v>
      </c>
      <c r="S90" s="15">
        <f t="shared" si="2"/>
        <v>155</v>
      </c>
      <c r="T90" s="15">
        <f t="shared" si="3"/>
        <v>87.135922330097088</v>
      </c>
      <c r="U90" s="4"/>
    </row>
    <row r="91" spans="1:21">
      <c r="A91" s="8">
        <v>89</v>
      </c>
      <c r="B91" s="8">
        <v>89</v>
      </c>
      <c r="C91" s="8">
        <v>3</v>
      </c>
      <c r="D91" s="8">
        <v>265</v>
      </c>
      <c r="E91" s="8">
        <v>223</v>
      </c>
      <c r="F91" s="8">
        <v>6</v>
      </c>
      <c r="G91" s="8">
        <v>1</v>
      </c>
      <c r="H91" s="8">
        <v>0</v>
      </c>
      <c r="I91" s="8">
        <v>0</v>
      </c>
      <c r="J91" s="8">
        <v>0</v>
      </c>
      <c r="K91" s="8">
        <v>0</v>
      </c>
      <c r="L91" s="8">
        <v>2</v>
      </c>
      <c r="M91" s="8">
        <v>500</v>
      </c>
      <c r="N91" s="8">
        <v>0</v>
      </c>
      <c r="O91" s="8">
        <v>4</v>
      </c>
      <c r="P91" s="8">
        <v>504</v>
      </c>
      <c r="Q91" s="8">
        <v>0</v>
      </c>
      <c r="R91" s="8">
        <v>610</v>
      </c>
      <c r="S91" s="15">
        <f t="shared" si="2"/>
        <v>42</v>
      </c>
      <c r="T91" s="15">
        <f t="shared" si="3"/>
        <v>82.622950819672141</v>
      </c>
      <c r="U91" s="4"/>
    </row>
    <row r="92" spans="1:21">
      <c r="A92" s="8">
        <v>90</v>
      </c>
      <c r="B92" s="8">
        <v>90</v>
      </c>
      <c r="C92" s="8">
        <v>1</v>
      </c>
      <c r="D92" s="8">
        <v>243</v>
      </c>
      <c r="E92" s="8">
        <v>151</v>
      </c>
      <c r="F92" s="8">
        <v>1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396</v>
      </c>
      <c r="N92" s="8">
        <v>0</v>
      </c>
      <c r="O92" s="8">
        <v>0</v>
      </c>
      <c r="P92" s="8">
        <v>396</v>
      </c>
      <c r="Q92" s="8">
        <v>0</v>
      </c>
      <c r="R92" s="8">
        <v>486</v>
      </c>
      <c r="S92" s="15">
        <f t="shared" si="2"/>
        <v>92</v>
      </c>
      <c r="T92" s="15">
        <f t="shared" si="3"/>
        <v>81.481481481481481</v>
      </c>
      <c r="U92" s="4"/>
    </row>
    <row r="93" spans="1:21">
      <c r="A93" s="7">
        <v>91</v>
      </c>
      <c r="B93" s="7">
        <v>91</v>
      </c>
      <c r="C93" s="7">
        <v>3</v>
      </c>
      <c r="D93" s="7">
        <v>367</v>
      </c>
      <c r="E93" s="7">
        <v>302</v>
      </c>
      <c r="F93" s="7">
        <v>1</v>
      </c>
      <c r="G93" s="7">
        <v>0</v>
      </c>
      <c r="H93" s="7">
        <v>1</v>
      </c>
      <c r="I93" s="7">
        <v>0</v>
      </c>
      <c r="J93" s="7">
        <v>1</v>
      </c>
      <c r="K93" s="7">
        <v>0</v>
      </c>
      <c r="L93" s="7">
        <v>2</v>
      </c>
      <c r="M93" s="7">
        <v>677</v>
      </c>
      <c r="N93" s="7">
        <v>0</v>
      </c>
      <c r="O93" s="7">
        <v>5</v>
      </c>
      <c r="P93" s="7">
        <v>682</v>
      </c>
      <c r="Q93" s="7">
        <v>0</v>
      </c>
      <c r="R93" s="7">
        <v>742</v>
      </c>
      <c r="S93" s="14">
        <f t="shared" si="2"/>
        <v>65</v>
      </c>
      <c r="T93" s="17">
        <f t="shared" si="3"/>
        <v>91.913746630727772</v>
      </c>
      <c r="U93" s="4"/>
    </row>
    <row r="94" spans="1:21">
      <c r="A94" s="3">
        <v>92</v>
      </c>
      <c r="B94" s="3">
        <v>92</v>
      </c>
      <c r="C94" s="3">
        <v>0</v>
      </c>
      <c r="D94" s="3">
        <v>110</v>
      </c>
      <c r="E94" s="3">
        <v>125</v>
      </c>
      <c r="F94" s="3">
        <v>2</v>
      </c>
      <c r="G94" s="3">
        <v>0</v>
      </c>
      <c r="H94" s="3">
        <v>0</v>
      </c>
      <c r="I94" s="3">
        <v>0</v>
      </c>
      <c r="J94" s="3">
        <v>0</v>
      </c>
      <c r="K94" s="3">
        <v>1</v>
      </c>
      <c r="L94" s="3">
        <v>1</v>
      </c>
      <c r="M94" s="3">
        <v>239</v>
      </c>
      <c r="N94" s="3">
        <v>0</v>
      </c>
      <c r="O94" s="3">
        <v>0</v>
      </c>
      <c r="P94" s="3">
        <v>239</v>
      </c>
      <c r="Q94" s="3">
        <v>0</v>
      </c>
      <c r="R94" s="3">
        <v>277</v>
      </c>
      <c r="S94" s="14">
        <f t="shared" si="2"/>
        <v>15</v>
      </c>
      <c r="T94" s="14">
        <f t="shared" si="3"/>
        <v>86.281588447653434</v>
      </c>
      <c r="U94" s="4"/>
    </row>
    <row r="95" spans="1:21">
      <c r="A95" s="8">
        <v>93</v>
      </c>
      <c r="B95" s="8">
        <v>93</v>
      </c>
      <c r="C95" s="8">
        <v>6</v>
      </c>
      <c r="D95" s="8">
        <v>688</v>
      </c>
      <c r="E95" s="8">
        <v>344</v>
      </c>
      <c r="F95" s="8">
        <v>4</v>
      </c>
      <c r="G95" s="8">
        <v>2</v>
      </c>
      <c r="H95" s="8">
        <v>1</v>
      </c>
      <c r="I95" s="8">
        <v>1</v>
      </c>
      <c r="J95" s="8">
        <v>9</v>
      </c>
      <c r="K95" s="8">
        <v>3</v>
      </c>
      <c r="L95" s="8">
        <v>3</v>
      </c>
      <c r="M95" s="8">
        <v>1061</v>
      </c>
      <c r="N95" s="8">
        <v>0</v>
      </c>
      <c r="O95" s="8">
        <v>4</v>
      </c>
      <c r="P95" s="8">
        <v>1065</v>
      </c>
      <c r="Q95" s="8">
        <v>0</v>
      </c>
      <c r="R95" s="8">
        <v>1357</v>
      </c>
      <c r="S95" s="15">
        <f t="shared" si="2"/>
        <v>344</v>
      </c>
      <c r="T95" s="15">
        <f t="shared" si="3"/>
        <v>78.481945467943987</v>
      </c>
      <c r="U95" s="4"/>
    </row>
    <row r="96" spans="1:21">
      <c r="A96" s="8">
        <v>94</v>
      </c>
      <c r="B96" s="8">
        <v>94</v>
      </c>
      <c r="C96" s="8">
        <v>5</v>
      </c>
      <c r="D96" s="8">
        <v>547</v>
      </c>
      <c r="E96" s="8">
        <v>244</v>
      </c>
      <c r="F96" s="8">
        <v>1</v>
      </c>
      <c r="G96" s="8">
        <v>2</v>
      </c>
      <c r="H96" s="8">
        <v>1</v>
      </c>
      <c r="I96" s="8">
        <v>0</v>
      </c>
      <c r="J96" s="8">
        <v>0</v>
      </c>
      <c r="K96" s="8">
        <v>1</v>
      </c>
      <c r="L96" s="8">
        <v>2</v>
      </c>
      <c r="M96" s="8">
        <v>803</v>
      </c>
      <c r="N96" s="8">
        <v>0</v>
      </c>
      <c r="O96" s="8">
        <v>4</v>
      </c>
      <c r="P96" s="8">
        <v>807</v>
      </c>
      <c r="Q96" s="8">
        <v>0</v>
      </c>
      <c r="R96" s="8">
        <v>996</v>
      </c>
      <c r="S96" s="15">
        <f t="shared" si="2"/>
        <v>303</v>
      </c>
      <c r="T96" s="15">
        <f t="shared" si="3"/>
        <v>81.024096385542165</v>
      </c>
      <c r="U96" s="4"/>
    </row>
    <row r="97" spans="1:21">
      <c r="A97" s="8">
        <v>95</v>
      </c>
      <c r="B97" s="8">
        <v>95</v>
      </c>
      <c r="C97" s="8">
        <v>5</v>
      </c>
      <c r="D97" s="8">
        <v>370</v>
      </c>
      <c r="E97" s="8">
        <v>145</v>
      </c>
      <c r="F97" s="8">
        <v>7</v>
      </c>
      <c r="G97" s="8">
        <v>0</v>
      </c>
      <c r="H97" s="8">
        <v>1</v>
      </c>
      <c r="I97" s="8">
        <v>0</v>
      </c>
      <c r="J97" s="8">
        <v>2</v>
      </c>
      <c r="K97" s="8">
        <v>0</v>
      </c>
      <c r="L97" s="8">
        <v>0</v>
      </c>
      <c r="M97" s="8">
        <v>530</v>
      </c>
      <c r="N97" s="8">
        <v>0</v>
      </c>
      <c r="O97" s="8">
        <v>0</v>
      </c>
      <c r="P97" s="8">
        <v>530</v>
      </c>
      <c r="Q97" s="8">
        <v>0</v>
      </c>
      <c r="R97" s="8">
        <v>608</v>
      </c>
      <c r="S97" s="15">
        <f t="shared" si="2"/>
        <v>225</v>
      </c>
      <c r="T97" s="15">
        <f t="shared" si="3"/>
        <v>87.171052631578945</v>
      </c>
      <c r="U97" s="4"/>
    </row>
    <row r="98" spans="1:21">
      <c r="A98" s="8">
        <v>96</v>
      </c>
      <c r="B98" s="8">
        <v>96</v>
      </c>
      <c r="C98" s="8">
        <v>8</v>
      </c>
      <c r="D98" s="8">
        <v>488</v>
      </c>
      <c r="E98" s="8">
        <v>454</v>
      </c>
      <c r="F98" s="8">
        <v>5</v>
      </c>
      <c r="G98" s="8">
        <v>0</v>
      </c>
      <c r="H98" s="8">
        <v>0</v>
      </c>
      <c r="I98" s="8">
        <v>1</v>
      </c>
      <c r="J98" s="8">
        <v>3</v>
      </c>
      <c r="K98" s="8">
        <v>3</v>
      </c>
      <c r="L98" s="8">
        <v>3</v>
      </c>
      <c r="M98" s="8">
        <v>965</v>
      </c>
      <c r="N98" s="8">
        <v>0</v>
      </c>
      <c r="O98" s="8">
        <v>7</v>
      </c>
      <c r="P98" s="8">
        <v>972</v>
      </c>
      <c r="Q98" s="8">
        <v>0</v>
      </c>
      <c r="R98" s="8">
        <v>1192</v>
      </c>
      <c r="S98" s="15">
        <f t="shared" si="2"/>
        <v>34</v>
      </c>
      <c r="T98" s="15">
        <f t="shared" si="3"/>
        <v>81.543624161073822</v>
      </c>
      <c r="U98" s="4"/>
    </row>
    <row r="99" spans="1:21">
      <c r="A99" s="8">
        <v>97</v>
      </c>
      <c r="B99" s="8">
        <v>97</v>
      </c>
      <c r="C99" s="8">
        <v>4</v>
      </c>
      <c r="D99" s="8">
        <v>276</v>
      </c>
      <c r="E99" s="8">
        <v>188</v>
      </c>
      <c r="F99" s="8">
        <v>6</v>
      </c>
      <c r="G99" s="8">
        <v>1</v>
      </c>
      <c r="H99" s="8">
        <v>0</v>
      </c>
      <c r="I99" s="8">
        <v>1</v>
      </c>
      <c r="J99" s="8">
        <v>1</v>
      </c>
      <c r="K99" s="8">
        <v>1</v>
      </c>
      <c r="L99" s="8">
        <v>2</v>
      </c>
      <c r="M99" s="8">
        <v>480</v>
      </c>
      <c r="N99" s="8">
        <v>0</v>
      </c>
      <c r="O99" s="8">
        <v>9</v>
      </c>
      <c r="P99" s="8">
        <v>489</v>
      </c>
      <c r="Q99" s="8">
        <v>0</v>
      </c>
      <c r="R99" s="8">
        <v>598</v>
      </c>
      <c r="S99" s="15">
        <f t="shared" si="2"/>
        <v>88</v>
      </c>
      <c r="T99" s="15">
        <f t="shared" si="3"/>
        <v>81.772575250836127</v>
      </c>
      <c r="U99" s="4"/>
    </row>
    <row r="100" spans="1:21">
      <c r="A100" s="8">
        <v>98</v>
      </c>
      <c r="B100" s="8">
        <v>98</v>
      </c>
      <c r="C100" s="8">
        <v>0</v>
      </c>
      <c r="D100" s="8">
        <v>374</v>
      </c>
      <c r="E100" s="8">
        <v>189</v>
      </c>
      <c r="F100" s="8">
        <v>1</v>
      </c>
      <c r="G100" s="8">
        <v>0</v>
      </c>
      <c r="H100" s="8">
        <v>0</v>
      </c>
      <c r="I100" s="8">
        <v>0</v>
      </c>
      <c r="J100" s="8">
        <v>0</v>
      </c>
      <c r="K100" s="8">
        <v>1</v>
      </c>
      <c r="L100" s="8">
        <v>3</v>
      </c>
      <c r="M100" s="8">
        <v>568</v>
      </c>
      <c r="N100" s="8">
        <v>0</v>
      </c>
      <c r="O100" s="8">
        <v>3</v>
      </c>
      <c r="P100" s="8">
        <v>571</v>
      </c>
      <c r="Q100" s="8">
        <v>0</v>
      </c>
      <c r="R100" s="8">
        <v>859</v>
      </c>
      <c r="S100" s="15">
        <f t="shared" si="2"/>
        <v>185</v>
      </c>
      <c r="T100" s="15">
        <f t="shared" si="3"/>
        <v>66.472642607683355</v>
      </c>
      <c r="U100" s="4"/>
    </row>
    <row r="101" spans="1:21">
      <c r="A101" s="9">
        <v>99</v>
      </c>
      <c r="B101" s="9">
        <v>99</v>
      </c>
      <c r="C101" s="9">
        <v>3</v>
      </c>
      <c r="D101" s="9">
        <v>220</v>
      </c>
      <c r="E101" s="9">
        <v>241</v>
      </c>
      <c r="F101" s="9">
        <v>1</v>
      </c>
      <c r="G101" s="9">
        <v>0</v>
      </c>
      <c r="H101" s="9">
        <v>2</v>
      </c>
      <c r="I101" s="9">
        <v>0</v>
      </c>
      <c r="J101" s="9">
        <v>0</v>
      </c>
      <c r="K101" s="9">
        <v>1</v>
      </c>
      <c r="L101" s="9">
        <v>0</v>
      </c>
      <c r="M101" s="9">
        <v>468</v>
      </c>
      <c r="N101" s="9">
        <v>0</v>
      </c>
      <c r="O101" s="9">
        <v>5</v>
      </c>
      <c r="P101" s="9">
        <v>473</v>
      </c>
      <c r="Q101" s="9">
        <v>0</v>
      </c>
      <c r="R101" s="9">
        <v>689</v>
      </c>
      <c r="S101" s="16">
        <f t="shared" si="2"/>
        <v>21</v>
      </c>
      <c r="T101" s="16">
        <f t="shared" si="3"/>
        <v>68.650217706821479</v>
      </c>
      <c r="U101" s="4"/>
    </row>
    <row r="102" spans="1:21">
      <c r="A102" s="8">
        <v>100</v>
      </c>
      <c r="B102" s="8">
        <v>100</v>
      </c>
      <c r="C102" s="8">
        <v>3</v>
      </c>
      <c r="D102" s="8">
        <v>229</v>
      </c>
      <c r="E102" s="8">
        <v>227</v>
      </c>
      <c r="F102" s="8">
        <v>1</v>
      </c>
      <c r="G102" s="8">
        <v>0</v>
      </c>
      <c r="H102" s="8">
        <v>0</v>
      </c>
      <c r="I102" s="8">
        <v>1</v>
      </c>
      <c r="J102" s="8">
        <v>1</v>
      </c>
      <c r="K102" s="8">
        <v>3</v>
      </c>
      <c r="L102" s="8">
        <v>0</v>
      </c>
      <c r="M102" s="8">
        <v>465</v>
      </c>
      <c r="N102" s="8">
        <v>0</v>
      </c>
      <c r="O102" s="8">
        <v>5</v>
      </c>
      <c r="P102" s="8">
        <v>470</v>
      </c>
      <c r="Q102" s="8">
        <v>0</v>
      </c>
      <c r="R102" s="8">
        <v>624</v>
      </c>
      <c r="S102" s="15">
        <f t="shared" si="2"/>
        <v>2</v>
      </c>
      <c r="T102" s="15">
        <f t="shared" si="3"/>
        <v>75.320512820512818</v>
      </c>
      <c r="U102" s="4"/>
    </row>
    <row r="103" spans="1:21">
      <c r="A103" s="8">
        <v>101</v>
      </c>
      <c r="B103" s="8">
        <v>101</v>
      </c>
      <c r="C103" s="8">
        <v>9</v>
      </c>
      <c r="D103" s="8">
        <v>473</v>
      </c>
      <c r="E103" s="8">
        <v>285</v>
      </c>
      <c r="F103" s="8">
        <v>3</v>
      </c>
      <c r="G103" s="8">
        <v>0</v>
      </c>
      <c r="H103" s="8">
        <v>0</v>
      </c>
      <c r="I103" s="8">
        <v>0</v>
      </c>
      <c r="J103" s="8">
        <v>3</v>
      </c>
      <c r="K103" s="8">
        <v>6</v>
      </c>
      <c r="L103" s="8">
        <v>4</v>
      </c>
      <c r="M103" s="8">
        <v>783</v>
      </c>
      <c r="N103" s="8">
        <v>0</v>
      </c>
      <c r="O103" s="8">
        <v>5</v>
      </c>
      <c r="P103" s="8">
        <v>788</v>
      </c>
      <c r="Q103" s="8">
        <v>0</v>
      </c>
      <c r="R103" s="8">
        <v>1147</v>
      </c>
      <c r="S103" s="15">
        <f t="shared" si="2"/>
        <v>188</v>
      </c>
      <c r="T103" s="15">
        <f t="shared" si="3"/>
        <v>68.700959023539667</v>
      </c>
      <c r="U103" s="4"/>
    </row>
    <row r="104" spans="1:21">
      <c r="A104" s="8">
        <v>102</v>
      </c>
      <c r="B104" s="8">
        <v>102</v>
      </c>
      <c r="C104" s="8">
        <v>4</v>
      </c>
      <c r="D104" s="8">
        <v>506</v>
      </c>
      <c r="E104" s="8">
        <v>418</v>
      </c>
      <c r="F104" s="8">
        <v>2</v>
      </c>
      <c r="G104" s="8">
        <v>1</v>
      </c>
      <c r="H104" s="8">
        <v>0</v>
      </c>
      <c r="I104" s="8">
        <v>0</v>
      </c>
      <c r="J104" s="8">
        <v>0</v>
      </c>
      <c r="K104" s="8">
        <v>1</v>
      </c>
      <c r="L104" s="8">
        <v>0</v>
      </c>
      <c r="M104" s="8">
        <v>932</v>
      </c>
      <c r="N104" s="8">
        <v>0</v>
      </c>
      <c r="O104" s="8">
        <v>6</v>
      </c>
      <c r="P104" s="8">
        <v>938</v>
      </c>
      <c r="Q104" s="8">
        <v>0</v>
      </c>
      <c r="R104" s="8">
        <v>1205</v>
      </c>
      <c r="S104" s="15">
        <f t="shared" si="2"/>
        <v>88</v>
      </c>
      <c r="T104" s="15">
        <f t="shared" si="3"/>
        <v>77.84232365145229</v>
      </c>
      <c r="U104" s="4"/>
    </row>
    <row r="105" spans="1:21">
      <c r="A105" s="8">
        <v>103</v>
      </c>
      <c r="B105" s="8">
        <v>103</v>
      </c>
      <c r="C105" s="8">
        <v>8</v>
      </c>
      <c r="D105" s="8">
        <v>481</v>
      </c>
      <c r="E105" s="8">
        <v>353</v>
      </c>
      <c r="F105" s="8">
        <v>4</v>
      </c>
      <c r="G105" s="8">
        <v>1</v>
      </c>
      <c r="H105" s="8">
        <v>0</v>
      </c>
      <c r="I105" s="8">
        <v>0</v>
      </c>
      <c r="J105" s="8">
        <v>1</v>
      </c>
      <c r="K105" s="8">
        <v>2</v>
      </c>
      <c r="L105" s="8">
        <v>4</v>
      </c>
      <c r="M105" s="8">
        <v>854</v>
      </c>
      <c r="N105" s="8">
        <v>0</v>
      </c>
      <c r="O105" s="8">
        <v>13</v>
      </c>
      <c r="P105" s="8">
        <v>867</v>
      </c>
      <c r="Q105" s="8">
        <v>0</v>
      </c>
      <c r="R105" s="8">
        <v>1205</v>
      </c>
      <c r="S105" s="15">
        <f t="shared" si="2"/>
        <v>128</v>
      </c>
      <c r="T105" s="15">
        <f t="shared" si="3"/>
        <v>71.950207468879668</v>
      </c>
      <c r="U105" s="4"/>
    </row>
    <row r="106" spans="1:21">
      <c r="A106" s="8">
        <v>104</v>
      </c>
      <c r="B106" s="8">
        <v>104</v>
      </c>
      <c r="C106" s="8">
        <v>4</v>
      </c>
      <c r="D106" s="8">
        <v>413</v>
      </c>
      <c r="E106" s="8">
        <v>326</v>
      </c>
      <c r="F106" s="8">
        <v>1</v>
      </c>
      <c r="G106" s="8">
        <v>0</v>
      </c>
      <c r="H106" s="8">
        <v>0</v>
      </c>
      <c r="I106" s="8">
        <v>0</v>
      </c>
      <c r="J106" s="8">
        <v>1</v>
      </c>
      <c r="K106" s="8">
        <v>2</v>
      </c>
      <c r="L106" s="8">
        <v>0</v>
      </c>
      <c r="M106" s="8">
        <v>747</v>
      </c>
      <c r="N106" s="8">
        <v>0</v>
      </c>
      <c r="O106" s="8">
        <v>12</v>
      </c>
      <c r="P106" s="8">
        <v>759</v>
      </c>
      <c r="Q106" s="8">
        <v>0</v>
      </c>
      <c r="R106" s="8">
        <v>1398</v>
      </c>
      <c r="S106" s="15">
        <f t="shared" si="2"/>
        <v>87</v>
      </c>
      <c r="T106" s="15">
        <f t="shared" si="3"/>
        <v>54.291845493562228</v>
      </c>
      <c r="U106" s="4"/>
    </row>
    <row r="107" spans="1:21">
      <c r="A107" s="8">
        <v>105</v>
      </c>
      <c r="B107" s="8">
        <v>105</v>
      </c>
      <c r="C107" s="8">
        <v>3</v>
      </c>
      <c r="D107" s="8">
        <v>372</v>
      </c>
      <c r="E107" s="8">
        <v>308</v>
      </c>
      <c r="F107" s="8">
        <v>4</v>
      </c>
      <c r="G107" s="8">
        <v>0</v>
      </c>
      <c r="H107" s="8">
        <v>0</v>
      </c>
      <c r="I107" s="8">
        <v>1</v>
      </c>
      <c r="J107" s="8">
        <v>1</v>
      </c>
      <c r="K107" s="8">
        <v>1</v>
      </c>
      <c r="L107" s="8">
        <v>0</v>
      </c>
      <c r="M107" s="8">
        <v>690</v>
      </c>
      <c r="N107" s="8">
        <v>0</v>
      </c>
      <c r="O107" s="8">
        <v>4</v>
      </c>
      <c r="P107" s="8">
        <v>694</v>
      </c>
      <c r="Q107" s="8">
        <v>0</v>
      </c>
      <c r="R107" s="8">
        <v>932</v>
      </c>
      <c r="S107" s="15">
        <f t="shared" si="2"/>
        <v>64</v>
      </c>
      <c r="T107" s="15">
        <f t="shared" si="3"/>
        <v>74.463519313304715</v>
      </c>
      <c r="U107" s="4"/>
    </row>
    <row r="108" spans="1:21">
      <c r="A108" s="8">
        <v>106</v>
      </c>
      <c r="B108" s="8">
        <v>106</v>
      </c>
      <c r="C108" s="8">
        <v>8</v>
      </c>
      <c r="D108" s="8">
        <v>652</v>
      </c>
      <c r="E108" s="8">
        <v>311</v>
      </c>
      <c r="F108" s="8">
        <v>7</v>
      </c>
      <c r="G108" s="8">
        <v>2</v>
      </c>
      <c r="H108" s="8">
        <v>2</v>
      </c>
      <c r="I108" s="8">
        <v>2</v>
      </c>
      <c r="J108" s="8">
        <v>1</v>
      </c>
      <c r="K108" s="8">
        <v>1</v>
      </c>
      <c r="L108" s="8">
        <v>1</v>
      </c>
      <c r="M108" s="8">
        <v>987</v>
      </c>
      <c r="N108" s="8">
        <v>0</v>
      </c>
      <c r="O108" s="8">
        <v>8</v>
      </c>
      <c r="P108" s="8">
        <v>995</v>
      </c>
      <c r="Q108" s="8">
        <v>0</v>
      </c>
      <c r="R108" s="8">
        <v>1399</v>
      </c>
      <c r="S108" s="15">
        <f t="shared" si="2"/>
        <v>341</v>
      </c>
      <c r="T108" s="15">
        <f t="shared" si="3"/>
        <v>71.122230164403149</v>
      </c>
      <c r="U108" s="4"/>
    </row>
    <row r="109" spans="1:21">
      <c r="A109" s="8">
        <v>107</v>
      </c>
      <c r="B109" s="8">
        <v>107</v>
      </c>
      <c r="C109" s="8">
        <v>3</v>
      </c>
      <c r="D109" s="8">
        <v>330</v>
      </c>
      <c r="E109" s="8">
        <v>208</v>
      </c>
      <c r="F109" s="8">
        <v>3</v>
      </c>
      <c r="G109" s="8">
        <v>0</v>
      </c>
      <c r="H109" s="8">
        <v>0</v>
      </c>
      <c r="I109" s="8">
        <v>2</v>
      </c>
      <c r="J109" s="8">
        <v>0</v>
      </c>
      <c r="K109" s="8">
        <v>4</v>
      </c>
      <c r="L109" s="8">
        <v>1</v>
      </c>
      <c r="M109" s="8">
        <v>551</v>
      </c>
      <c r="N109" s="8">
        <v>0</v>
      </c>
      <c r="O109" s="8">
        <v>2</v>
      </c>
      <c r="P109" s="8">
        <v>553</v>
      </c>
      <c r="Q109" s="8">
        <v>0</v>
      </c>
      <c r="R109" s="8">
        <v>809</v>
      </c>
      <c r="S109" s="15">
        <f t="shared" si="2"/>
        <v>122</v>
      </c>
      <c r="T109" s="15">
        <f t="shared" si="3"/>
        <v>68.355995055624234</v>
      </c>
      <c r="U109" s="4"/>
    </row>
    <row r="110" spans="1:21">
      <c r="A110" s="8">
        <v>108</v>
      </c>
      <c r="B110" s="8">
        <v>108</v>
      </c>
      <c r="C110" s="8">
        <v>2</v>
      </c>
      <c r="D110" s="8">
        <v>366</v>
      </c>
      <c r="E110" s="8">
        <v>297</v>
      </c>
      <c r="F110" s="8">
        <v>3</v>
      </c>
      <c r="G110" s="8">
        <v>0</v>
      </c>
      <c r="H110" s="8">
        <v>0</v>
      </c>
      <c r="I110" s="8">
        <v>0</v>
      </c>
      <c r="J110" s="8">
        <v>0</v>
      </c>
      <c r="K110" s="8">
        <v>1</v>
      </c>
      <c r="L110" s="8">
        <v>2</v>
      </c>
      <c r="M110" s="8">
        <v>671</v>
      </c>
      <c r="N110" s="8">
        <v>0</v>
      </c>
      <c r="O110" s="8">
        <v>3</v>
      </c>
      <c r="P110" s="8">
        <v>674</v>
      </c>
      <c r="Q110" s="8">
        <v>0</v>
      </c>
      <c r="R110" s="8">
        <v>929</v>
      </c>
      <c r="S110" s="15">
        <f t="shared" si="2"/>
        <v>69</v>
      </c>
      <c r="T110" s="15">
        <f t="shared" si="3"/>
        <v>72.551130247578044</v>
      </c>
      <c r="U110" s="4"/>
    </row>
    <row r="111" spans="1:21">
      <c r="A111" s="8">
        <v>109</v>
      </c>
      <c r="B111" s="8">
        <v>109</v>
      </c>
      <c r="C111" s="8">
        <v>2</v>
      </c>
      <c r="D111" s="8">
        <v>359</v>
      </c>
      <c r="E111" s="8">
        <v>402</v>
      </c>
      <c r="F111" s="8">
        <v>2</v>
      </c>
      <c r="G111" s="8">
        <v>0</v>
      </c>
      <c r="H111" s="8">
        <v>0</v>
      </c>
      <c r="I111" s="8">
        <v>0</v>
      </c>
      <c r="J111" s="8">
        <v>0</v>
      </c>
      <c r="K111" s="8">
        <v>2</v>
      </c>
      <c r="L111" s="8">
        <v>1</v>
      </c>
      <c r="M111" s="8">
        <v>768</v>
      </c>
      <c r="N111" s="8">
        <v>0</v>
      </c>
      <c r="O111" s="8">
        <v>11</v>
      </c>
      <c r="P111" s="8">
        <v>779</v>
      </c>
      <c r="Q111" s="8">
        <v>0</v>
      </c>
      <c r="R111" s="8">
        <v>1071</v>
      </c>
      <c r="S111" s="15">
        <f t="shared" si="2"/>
        <v>43</v>
      </c>
      <c r="T111" s="15">
        <f t="shared" si="3"/>
        <v>72.735760971055086</v>
      </c>
      <c r="U111" s="4"/>
    </row>
    <row r="112" spans="1:21">
      <c r="A112" s="8">
        <v>110</v>
      </c>
      <c r="B112" s="8">
        <v>110</v>
      </c>
      <c r="C112" s="8">
        <v>4</v>
      </c>
      <c r="D112" s="8">
        <v>536</v>
      </c>
      <c r="E112" s="8">
        <v>330</v>
      </c>
      <c r="F112" s="8">
        <v>3</v>
      </c>
      <c r="G112" s="8">
        <v>0</v>
      </c>
      <c r="H112" s="8">
        <v>0</v>
      </c>
      <c r="I112" s="8">
        <v>0</v>
      </c>
      <c r="J112" s="8">
        <v>1</v>
      </c>
      <c r="K112" s="8">
        <v>2</v>
      </c>
      <c r="L112" s="8">
        <v>9</v>
      </c>
      <c r="M112" s="8">
        <v>885</v>
      </c>
      <c r="N112" s="8">
        <v>0</v>
      </c>
      <c r="O112" s="8">
        <v>6</v>
      </c>
      <c r="P112" s="8">
        <v>891</v>
      </c>
      <c r="Q112" s="8">
        <v>0</v>
      </c>
      <c r="R112" s="8">
        <v>1192</v>
      </c>
      <c r="S112" s="15">
        <f t="shared" si="2"/>
        <v>206</v>
      </c>
      <c r="T112" s="15">
        <f t="shared" si="3"/>
        <v>74.74832214765101</v>
      </c>
      <c r="U112" s="4"/>
    </row>
    <row r="113" spans="1:21">
      <c r="A113" s="9">
        <v>111</v>
      </c>
      <c r="B113" s="9">
        <v>111</v>
      </c>
      <c r="C113" s="9">
        <v>2</v>
      </c>
      <c r="D113" s="9">
        <v>332</v>
      </c>
      <c r="E113" s="9">
        <v>385</v>
      </c>
      <c r="F113" s="9">
        <v>2</v>
      </c>
      <c r="G113" s="9">
        <v>1</v>
      </c>
      <c r="H113" s="9">
        <v>0</v>
      </c>
      <c r="I113" s="9">
        <v>0</v>
      </c>
      <c r="J113" s="9">
        <v>0</v>
      </c>
      <c r="K113" s="9">
        <v>1</v>
      </c>
      <c r="L113" s="9">
        <v>3</v>
      </c>
      <c r="M113" s="9">
        <v>726</v>
      </c>
      <c r="N113" s="9">
        <v>0</v>
      </c>
      <c r="O113" s="9">
        <v>5</v>
      </c>
      <c r="P113" s="9">
        <v>731</v>
      </c>
      <c r="Q113" s="9">
        <v>0</v>
      </c>
      <c r="R113" s="9">
        <v>1052</v>
      </c>
      <c r="S113" s="16">
        <f t="shared" si="2"/>
        <v>53</v>
      </c>
      <c r="T113" s="16">
        <f t="shared" si="3"/>
        <v>69.48669201520913</v>
      </c>
      <c r="U113" s="4"/>
    </row>
    <row r="114" spans="1:21">
      <c r="A114" s="12">
        <v>112</v>
      </c>
      <c r="B114" s="12">
        <v>112</v>
      </c>
      <c r="C114" s="9">
        <v>2</v>
      </c>
      <c r="D114" s="9">
        <v>279</v>
      </c>
      <c r="E114" s="9">
        <v>297</v>
      </c>
      <c r="F114" s="9">
        <v>0</v>
      </c>
      <c r="G114" s="9">
        <v>0</v>
      </c>
      <c r="H114" s="9">
        <v>0</v>
      </c>
      <c r="I114" s="9">
        <v>1</v>
      </c>
      <c r="J114" s="9">
        <v>1</v>
      </c>
      <c r="K114" s="9">
        <v>0</v>
      </c>
      <c r="L114" s="9">
        <v>1</v>
      </c>
      <c r="M114" s="9">
        <v>581</v>
      </c>
      <c r="N114" s="9">
        <v>0</v>
      </c>
      <c r="O114" s="9">
        <v>3</v>
      </c>
      <c r="P114" s="9">
        <v>584</v>
      </c>
      <c r="Q114" s="9">
        <v>0</v>
      </c>
      <c r="R114" s="9">
        <v>818</v>
      </c>
      <c r="S114" s="16">
        <f t="shared" si="2"/>
        <v>18</v>
      </c>
      <c r="T114" s="16">
        <f t="shared" si="3"/>
        <v>71.393643031784833</v>
      </c>
      <c r="U114" s="4"/>
    </row>
    <row r="115" spans="1:21">
      <c r="A115" s="3">
        <v>113</v>
      </c>
      <c r="B115" s="3">
        <v>113</v>
      </c>
      <c r="C115" s="3">
        <v>3</v>
      </c>
      <c r="D115" s="3">
        <v>260</v>
      </c>
      <c r="E115" s="3">
        <v>260</v>
      </c>
      <c r="F115" s="3">
        <v>1</v>
      </c>
      <c r="G115" s="3">
        <v>0</v>
      </c>
      <c r="H115" s="3">
        <v>0</v>
      </c>
      <c r="I115" s="3">
        <v>0</v>
      </c>
      <c r="J115" s="3">
        <v>1</v>
      </c>
      <c r="K115" s="3">
        <v>1</v>
      </c>
      <c r="L115" s="3">
        <v>2</v>
      </c>
      <c r="M115" s="3">
        <v>528</v>
      </c>
      <c r="N115" s="3">
        <v>0</v>
      </c>
      <c r="O115" s="3">
        <v>1</v>
      </c>
      <c r="P115" s="3">
        <v>529</v>
      </c>
      <c r="Q115" s="3">
        <v>0</v>
      </c>
      <c r="R115" s="3">
        <v>738</v>
      </c>
      <c r="S115" s="14">
        <f t="shared" si="2"/>
        <v>0</v>
      </c>
      <c r="T115" s="14">
        <f t="shared" si="3"/>
        <v>71.680216802168019</v>
      </c>
      <c r="U115" s="4"/>
    </row>
    <row r="116" spans="1:21">
      <c r="A116" s="8">
        <v>114</v>
      </c>
      <c r="B116" s="8">
        <v>114</v>
      </c>
      <c r="C116" s="8">
        <v>0</v>
      </c>
      <c r="D116" s="8">
        <v>398</v>
      </c>
      <c r="E116" s="8">
        <v>220</v>
      </c>
      <c r="F116" s="8">
        <v>3</v>
      </c>
      <c r="G116" s="8">
        <v>0</v>
      </c>
      <c r="H116" s="8">
        <v>0</v>
      </c>
      <c r="I116" s="8">
        <v>0</v>
      </c>
      <c r="J116" s="8">
        <v>2</v>
      </c>
      <c r="K116" s="8">
        <v>2</v>
      </c>
      <c r="L116" s="8">
        <v>2</v>
      </c>
      <c r="M116" s="8">
        <v>627</v>
      </c>
      <c r="N116" s="8">
        <v>0</v>
      </c>
      <c r="O116" s="8">
        <v>3</v>
      </c>
      <c r="P116" s="8">
        <v>630</v>
      </c>
      <c r="Q116" s="8">
        <v>0</v>
      </c>
      <c r="R116" s="8">
        <v>810</v>
      </c>
      <c r="S116" s="15">
        <f t="shared" si="2"/>
        <v>178</v>
      </c>
      <c r="T116" s="15">
        <f t="shared" si="3"/>
        <v>77.777777777777786</v>
      </c>
      <c r="U116" s="4"/>
    </row>
    <row r="117" spans="1:21">
      <c r="A117" s="8">
        <v>115</v>
      </c>
      <c r="B117" s="8">
        <v>115</v>
      </c>
      <c r="C117" s="8">
        <v>1</v>
      </c>
      <c r="D117" s="8">
        <v>281</v>
      </c>
      <c r="E117" s="8">
        <v>270</v>
      </c>
      <c r="F117" s="8">
        <v>0</v>
      </c>
      <c r="G117" s="8">
        <v>0</v>
      </c>
      <c r="H117" s="8">
        <v>0</v>
      </c>
      <c r="I117" s="8">
        <v>0</v>
      </c>
      <c r="J117" s="8">
        <v>1</v>
      </c>
      <c r="K117" s="8">
        <v>0</v>
      </c>
      <c r="L117" s="8">
        <v>1</v>
      </c>
      <c r="M117" s="8">
        <v>554</v>
      </c>
      <c r="N117" s="8">
        <v>0</v>
      </c>
      <c r="O117" s="8">
        <v>2</v>
      </c>
      <c r="P117" s="8">
        <v>556</v>
      </c>
      <c r="Q117" s="8">
        <v>0</v>
      </c>
      <c r="R117" s="8">
        <v>837</v>
      </c>
      <c r="S117" s="15">
        <f t="shared" si="2"/>
        <v>11</v>
      </c>
      <c r="T117" s="15">
        <f t="shared" si="3"/>
        <v>66.427718040621258</v>
      </c>
      <c r="U117" s="4"/>
    </row>
    <row r="118" spans="1:21">
      <c r="A118" s="9">
        <v>116</v>
      </c>
      <c r="B118" s="9">
        <v>116</v>
      </c>
      <c r="C118" s="9">
        <v>2</v>
      </c>
      <c r="D118" s="9">
        <v>220</v>
      </c>
      <c r="E118" s="9">
        <v>307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1</v>
      </c>
      <c r="M118" s="9">
        <v>530</v>
      </c>
      <c r="N118" s="9">
        <v>0</v>
      </c>
      <c r="O118" s="9">
        <v>4</v>
      </c>
      <c r="P118" s="9">
        <v>534</v>
      </c>
      <c r="Q118" s="9">
        <v>0</v>
      </c>
      <c r="R118" s="9">
        <v>774</v>
      </c>
      <c r="S118" s="16">
        <f t="shared" si="2"/>
        <v>87</v>
      </c>
      <c r="T118" s="16">
        <f t="shared" si="3"/>
        <v>68.992248062015506</v>
      </c>
      <c r="U118" s="4"/>
    </row>
    <row r="119" spans="1:21">
      <c r="A119" s="9">
        <v>117</v>
      </c>
      <c r="B119" s="9">
        <v>117</v>
      </c>
      <c r="C119" s="9">
        <v>5</v>
      </c>
      <c r="D119" s="9">
        <v>215</v>
      </c>
      <c r="E119" s="9">
        <v>298</v>
      </c>
      <c r="F119" s="9">
        <v>3</v>
      </c>
      <c r="G119" s="9">
        <v>0</v>
      </c>
      <c r="H119" s="9">
        <v>1</v>
      </c>
      <c r="I119" s="9">
        <v>0</v>
      </c>
      <c r="J119" s="9">
        <v>0</v>
      </c>
      <c r="K119" s="9">
        <v>2</v>
      </c>
      <c r="L119" s="9">
        <v>2</v>
      </c>
      <c r="M119" s="9">
        <v>526</v>
      </c>
      <c r="N119" s="9">
        <v>0</v>
      </c>
      <c r="O119" s="9">
        <v>6</v>
      </c>
      <c r="P119" s="9">
        <v>532</v>
      </c>
      <c r="Q119" s="9">
        <v>0</v>
      </c>
      <c r="R119" s="9">
        <v>770</v>
      </c>
      <c r="S119" s="16">
        <f t="shared" si="2"/>
        <v>83</v>
      </c>
      <c r="T119" s="16">
        <f t="shared" si="3"/>
        <v>69.090909090909093</v>
      </c>
      <c r="U119" s="4"/>
    </row>
    <row r="120" spans="1:21">
      <c r="A120" s="9">
        <v>118</v>
      </c>
      <c r="B120" s="9">
        <v>118</v>
      </c>
      <c r="C120" s="9">
        <v>2</v>
      </c>
      <c r="D120" s="9">
        <v>105</v>
      </c>
      <c r="E120" s="9">
        <v>563</v>
      </c>
      <c r="F120" s="9">
        <v>3</v>
      </c>
      <c r="G120" s="9">
        <v>2</v>
      </c>
      <c r="H120" s="9">
        <v>0</v>
      </c>
      <c r="I120" s="9">
        <v>0</v>
      </c>
      <c r="J120" s="9">
        <v>1</v>
      </c>
      <c r="K120" s="9">
        <v>2</v>
      </c>
      <c r="L120" s="9">
        <v>0</v>
      </c>
      <c r="M120" s="9">
        <v>678</v>
      </c>
      <c r="N120" s="9">
        <v>0</v>
      </c>
      <c r="O120" s="9">
        <v>4</v>
      </c>
      <c r="P120" s="9">
        <v>682</v>
      </c>
      <c r="Q120" s="9">
        <v>0</v>
      </c>
      <c r="R120" s="9">
        <v>900</v>
      </c>
      <c r="S120" s="16">
        <f t="shared" si="2"/>
        <v>458</v>
      </c>
      <c r="T120" s="16">
        <f t="shared" si="3"/>
        <v>75.777777777777771</v>
      </c>
      <c r="U120" s="4"/>
    </row>
    <row r="121" spans="1:21">
      <c r="A121" s="7">
        <v>119</v>
      </c>
      <c r="B121" s="7">
        <v>119</v>
      </c>
      <c r="C121" s="7">
        <v>6</v>
      </c>
      <c r="D121" s="7">
        <v>604</v>
      </c>
      <c r="E121" s="7">
        <v>345</v>
      </c>
      <c r="F121" s="7">
        <v>0</v>
      </c>
      <c r="G121" s="7">
        <v>0</v>
      </c>
      <c r="H121" s="7">
        <v>0</v>
      </c>
      <c r="I121" s="7">
        <v>0</v>
      </c>
      <c r="J121" s="7">
        <v>1</v>
      </c>
      <c r="K121" s="7">
        <v>0</v>
      </c>
      <c r="L121" s="7">
        <v>3</v>
      </c>
      <c r="M121" s="7">
        <v>959</v>
      </c>
      <c r="N121" s="7">
        <v>0</v>
      </c>
      <c r="O121" s="7">
        <v>9</v>
      </c>
      <c r="P121" s="7">
        <v>968</v>
      </c>
      <c r="Q121" s="7">
        <v>0</v>
      </c>
      <c r="R121" s="7">
        <v>969</v>
      </c>
      <c r="S121" s="14">
        <f t="shared" si="2"/>
        <v>259</v>
      </c>
      <c r="T121" s="17">
        <f t="shared" si="3"/>
        <v>99.896800825593388</v>
      </c>
      <c r="U121" s="4"/>
    </row>
    <row r="122" spans="1:21">
      <c r="A122" s="8">
        <v>120</v>
      </c>
      <c r="B122" s="8">
        <v>120</v>
      </c>
      <c r="C122" s="8">
        <v>1</v>
      </c>
      <c r="D122" s="8">
        <v>272</v>
      </c>
      <c r="E122" s="8">
        <v>194</v>
      </c>
      <c r="F122" s="8">
        <v>2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7</v>
      </c>
      <c r="M122" s="8">
        <v>476</v>
      </c>
      <c r="N122" s="8">
        <v>0</v>
      </c>
      <c r="O122" s="8">
        <v>6</v>
      </c>
      <c r="P122" s="8">
        <v>482</v>
      </c>
      <c r="Q122" s="8">
        <v>0</v>
      </c>
      <c r="R122" s="8">
        <v>615</v>
      </c>
      <c r="S122" s="15">
        <f t="shared" si="2"/>
        <v>78</v>
      </c>
      <c r="T122" s="15">
        <f t="shared" si="3"/>
        <v>78.373983739837399</v>
      </c>
      <c r="U122" s="4"/>
    </row>
    <row r="123" spans="1:21">
      <c r="A123" s="9">
        <v>121</v>
      </c>
      <c r="B123" s="9">
        <v>121</v>
      </c>
      <c r="C123" s="9">
        <v>4</v>
      </c>
      <c r="D123" s="9">
        <v>347</v>
      </c>
      <c r="E123" s="9">
        <v>451</v>
      </c>
      <c r="F123" s="9">
        <v>3</v>
      </c>
      <c r="G123" s="9">
        <v>1</v>
      </c>
      <c r="H123" s="9">
        <v>0</v>
      </c>
      <c r="I123" s="9">
        <v>1</v>
      </c>
      <c r="J123" s="9">
        <v>1</v>
      </c>
      <c r="K123" s="9">
        <v>2</v>
      </c>
      <c r="L123" s="9">
        <v>0</v>
      </c>
      <c r="M123" s="9">
        <v>810</v>
      </c>
      <c r="N123" s="9">
        <v>0</v>
      </c>
      <c r="O123" s="9">
        <v>3</v>
      </c>
      <c r="P123" s="9">
        <v>813</v>
      </c>
      <c r="Q123" s="9">
        <v>0</v>
      </c>
      <c r="R123" s="9">
        <v>1034</v>
      </c>
      <c r="S123" s="16">
        <f t="shared" si="2"/>
        <v>104</v>
      </c>
      <c r="T123" s="16">
        <f t="shared" si="3"/>
        <v>78.626692456479688</v>
      </c>
      <c r="U123" s="4"/>
    </row>
    <row r="124" spans="1:21">
      <c r="A124" s="8">
        <v>122</v>
      </c>
      <c r="B124" s="8">
        <v>122</v>
      </c>
      <c r="C124" s="8">
        <v>0</v>
      </c>
      <c r="D124" s="8">
        <v>219</v>
      </c>
      <c r="E124" s="8">
        <v>107</v>
      </c>
      <c r="F124" s="8">
        <v>1</v>
      </c>
      <c r="G124" s="8">
        <v>0</v>
      </c>
      <c r="H124" s="8">
        <v>0</v>
      </c>
      <c r="I124" s="8">
        <v>0</v>
      </c>
      <c r="J124" s="8">
        <v>0</v>
      </c>
      <c r="K124" s="8">
        <v>1</v>
      </c>
      <c r="L124" s="8">
        <v>1</v>
      </c>
      <c r="M124" s="8">
        <v>329</v>
      </c>
      <c r="N124" s="8">
        <v>0</v>
      </c>
      <c r="O124" s="8">
        <v>11</v>
      </c>
      <c r="P124" s="8">
        <v>340</v>
      </c>
      <c r="Q124" s="8">
        <v>0</v>
      </c>
      <c r="R124" s="8">
        <v>379</v>
      </c>
      <c r="S124" s="15">
        <f t="shared" si="2"/>
        <v>112</v>
      </c>
      <c r="T124" s="15">
        <f t="shared" si="3"/>
        <v>89.709762532981529</v>
      </c>
      <c r="U124" s="4"/>
    </row>
    <row r="125" spans="1:21">
      <c r="A125" s="8">
        <v>123</v>
      </c>
      <c r="B125" s="8">
        <v>123</v>
      </c>
      <c r="C125" s="8">
        <v>3</v>
      </c>
      <c r="D125" s="8">
        <v>759</v>
      </c>
      <c r="E125" s="8">
        <v>291</v>
      </c>
      <c r="F125" s="8">
        <v>2</v>
      </c>
      <c r="G125" s="8">
        <v>0</v>
      </c>
      <c r="H125" s="8">
        <v>0</v>
      </c>
      <c r="I125" s="8">
        <v>1</v>
      </c>
      <c r="J125" s="8">
        <v>2</v>
      </c>
      <c r="K125" s="8">
        <v>3</v>
      </c>
      <c r="L125" s="8">
        <v>1</v>
      </c>
      <c r="M125" s="8">
        <v>1062</v>
      </c>
      <c r="N125" s="8">
        <v>0</v>
      </c>
      <c r="O125" s="8">
        <v>12</v>
      </c>
      <c r="P125" s="8">
        <v>1074</v>
      </c>
      <c r="Q125" s="8">
        <v>0</v>
      </c>
      <c r="R125" s="8">
        <v>1473</v>
      </c>
      <c r="S125" s="15">
        <f t="shared" si="2"/>
        <v>468</v>
      </c>
      <c r="T125" s="15">
        <f t="shared" si="3"/>
        <v>72.91242362525459</v>
      </c>
      <c r="U125" s="4"/>
    </row>
    <row r="126" spans="1:21">
      <c r="A126" s="9">
        <v>124</v>
      </c>
      <c r="B126" s="9">
        <v>124</v>
      </c>
      <c r="C126" s="9">
        <v>1</v>
      </c>
      <c r="D126" s="9">
        <v>215</v>
      </c>
      <c r="E126" s="9">
        <v>223</v>
      </c>
      <c r="F126" s="9">
        <v>0</v>
      </c>
      <c r="G126" s="9">
        <v>1</v>
      </c>
      <c r="H126" s="9">
        <v>0</v>
      </c>
      <c r="I126" s="9">
        <v>0</v>
      </c>
      <c r="J126" s="9">
        <v>3</v>
      </c>
      <c r="K126" s="9">
        <v>2</v>
      </c>
      <c r="L126" s="9">
        <v>2</v>
      </c>
      <c r="M126" s="9">
        <v>447</v>
      </c>
      <c r="N126" s="9">
        <v>0</v>
      </c>
      <c r="O126" s="9">
        <v>4</v>
      </c>
      <c r="P126" s="9">
        <v>451</v>
      </c>
      <c r="Q126" s="9">
        <v>0</v>
      </c>
      <c r="R126" s="9">
        <v>572</v>
      </c>
      <c r="S126" s="16">
        <f t="shared" si="2"/>
        <v>8</v>
      </c>
      <c r="T126" s="16">
        <f t="shared" si="3"/>
        <v>78.84615384615384</v>
      </c>
      <c r="U126" s="4"/>
    </row>
    <row r="127" spans="1:21">
      <c r="A127" s="8">
        <v>125</v>
      </c>
      <c r="B127" s="8">
        <v>125</v>
      </c>
      <c r="C127" s="8">
        <v>6</v>
      </c>
      <c r="D127" s="8">
        <v>257</v>
      </c>
      <c r="E127" s="8">
        <v>197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460</v>
      </c>
      <c r="N127" s="8">
        <v>0</v>
      </c>
      <c r="O127" s="8">
        <v>7</v>
      </c>
      <c r="P127" s="8">
        <v>467</v>
      </c>
      <c r="Q127" s="8">
        <v>0</v>
      </c>
      <c r="R127" s="8">
        <v>634</v>
      </c>
      <c r="S127" s="15">
        <f t="shared" si="2"/>
        <v>60</v>
      </c>
      <c r="T127" s="15">
        <f t="shared" si="3"/>
        <v>73.65930599369085</v>
      </c>
      <c r="U127" s="4"/>
    </row>
    <row r="128" spans="1:21">
      <c r="A128" s="9">
        <v>126</v>
      </c>
      <c r="B128" s="9">
        <v>126</v>
      </c>
      <c r="C128" s="9">
        <v>2</v>
      </c>
      <c r="D128" s="9">
        <v>156</v>
      </c>
      <c r="E128" s="9">
        <v>224</v>
      </c>
      <c r="F128" s="9">
        <v>1</v>
      </c>
      <c r="G128" s="9">
        <v>0</v>
      </c>
      <c r="H128" s="9">
        <v>0</v>
      </c>
      <c r="I128" s="9">
        <v>0</v>
      </c>
      <c r="J128" s="9">
        <v>2</v>
      </c>
      <c r="K128" s="9">
        <v>0</v>
      </c>
      <c r="L128" s="9">
        <v>0</v>
      </c>
      <c r="M128" s="9">
        <v>385</v>
      </c>
      <c r="N128" s="9">
        <v>0</v>
      </c>
      <c r="O128" s="9">
        <v>4</v>
      </c>
      <c r="P128" s="9">
        <v>389</v>
      </c>
      <c r="Q128" s="9">
        <v>0</v>
      </c>
      <c r="R128" s="9">
        <v>547</v>
      </c>
      <c r="S128" s="16">
        <f t="shared" si="2"/>
        <v>68</v>
      </c>
      <c r="T128" s="16">
        <f t="shared" si="3"/>
        <v>71.115173674588661</v>
      </c>
      <c r="U128" s="4"/>
    </row>
    <row r="129" spans="1:21">
      <c r="A129" s="8">
        <v>127</v>
      </c>
      <c r="B129" s="8">
        <v>127</v>
      </c>
      <c r="C129" s="8">
        <v>1</v>
      </c>
      <c r="D129" s="8">
        <v>403</v>
      </c>
      <c r="E129" s="8">
        <v>214</v>
      </c>
      <c r="F129" s="8">
        <v>1</v>
      </c>
      <c r="G129" s="8">
        <v>0</v>
      </c>
      <c r="H129" s="8">
        <v>0</v>
      </c>
      <c r="I129" s="8">
        <v>1</v>
      </c>
      <c r="J129" s="8">
        <v>2</v>
      </c>
      <c r="K129" s="8">
        <v>1</v>
      </c>
      <c r="L129" s="8">
        <v>2</v>
      </c>
      <c r="M129" s="8">
        <v>625</v>
      </c>
      <c r="N129" s="8">
        <v>0</v>
      </c>
      <c r="O129" s="8">
        <v>4</v>
      </c>
      <c r="P129" s="8">
        <v>629</v>
      </c>
      <c r="Q129" s="8">
        <v>0</v>
      </c>
      <c r="R129" s="8">
        <v>843</v>
      </c>
      <c r="S129" s="15">
        <f t="shared" si="2"/>
        <v>189</v>
      </c>
      <c r="T129" s="15">
        <f t="shared" si="3"/>
        <v>74.614472123368927</v>
      </c>
      <c r="U129" s="4"/>
    </row>
    <row r="130" spans="1:21">
      <c r="A130" s="8">
        <v>128</v>
      </c>
      <c r="B130" s="8">
        <v>128</v>
      </c>
      <c r="C130" s="8">
        <v>1</v>
      </c>
      <c r="D130" s="8">
        <v>359</v>
      </c>
      <c r="E130" s="8">
        <v>356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716</v>
      </c>
      <c r="N130" s="8">
        <v>0</v>
      </c>
      <c r="O130" s="8">
        <v>5</v>
      </c>
      <c r="P130" s="8">
        <v>721</v>
      </c>
      <c r="Q130" s="8">
        <v>0</v>
      </c>
      <c r="R130" s="8">
        <v>902</v>
      </c>
      <c r="S130" s="15">
        <f t="shared" si="2"/>
        <v>3</v>
      </c>
      <c r="T130" s="15">
        <f t="shared" si="3"/>
        <v>79.933481152993352</v>
      </c>
      <c r="U130" s="4"/>
    </row>
    <row r="131" spans="1:21">
      <c r="A131" s="8">
        <v>129</v>
      </c>
      <c r="B131" s="8">
        <v>129</v>
      </c>
      <c r="C131" s="8">
        <v>0</v>
      </c>
      <c r="D131" s="8">
        <v>248</v>
      </c>
      <c r="E131" s="8">
        <v>213</v>
      </c>
      <c r="F131" s="8">
        <v>0</v>
      </c>
      <c r="G131" s="8">
        <v>0</v>
      </c>
      <c r="H131" s="8">
        <v>1</v>
      </c>
      <c r="I131" s="8">
        <v>0</v>
      </c>
      <c r="J131" s="8">
        <v>0</v>
      </c>
      <c r="K131" s="8">
        <v>1</v>
      </c>
      <c r="L131" s="8">
        <v>0</v>
      </c>
      <c r="M131" s="8">
        <v>463</v>
      </c>
      <c r="N131" s="8">
        <v>0</v>
      </c>
      <c r="O131" s="8">
        <v>4</v>
      </c>
      <c r="P131" s="8">
        <v>467</v>
      </c>
      <c r="Q131" s="8">
        <v>0</v>
      </c>
      <c r="R131" s="8">
        <v>648</v>
      </c>
      <c r="S131" s="15">
        <f t="shared" ref="S131:S194" si="4">MAX(D131,E131)-MIN(D131,E131)</f>
        <v>35</v>
      </c>
      <c r="T131" s="15">
        <f t="shared" si="3"/>
        <v>72.067901234567898</v>
      </c>
      <c r="U131" s="4"/>
    </row>
    <row r="132" spans="1:21">
      <c r="A132" s="8">
        <v>130</v>
      </c>
      <c r="B132" s="8">
        <v>130</v>
      </c>
      <c r="C132" s="8">
        <v>1</v>
      </c>
      <c r="D132" s="8">
        <v>266</v>
      </c>
      <c r="E132" s="8">
        <v>210</v>
      </c>
      <c r="F132" s="8">
        <v>3</v>
      </c>
      <c r="G132" s="8">
        <v>2</v>
      </c>
      <c r="H132" s="8">
        <v>0</v>
      </c>
      <c r="I132" s="8">
        <v>0</v>
      </c>
      <c r="J132" s="8">
        <v>2</v>
      </c>
      <c r="K132" s="8">
        <v>0</v>
      </c>
      <c r="L132" s="8">
        <v>1</v>
      </c>
      <c r="M132" s="8">
        <v>485</v>
      </c>
      <c r="N132" s="8">
        <v>0</v>
      </c>
      <c r="O132" s="8">
        <v>7</v>
      </c>
      <c r="P132" s="8">
        <v>492</v>
      </c>
      <c r="Q132" s="8">
        <v>0</v>
      </c>
      <c r="R132" s="8">
        <v>694</v>
      </c>
      <c r="S132" s="15">
        <f t="shared" si="4"/>
        <v>56</v>
      </c>
      <c r="T132" s="15">
        <f t="shared" ref="T132:T195" si="5">(P132/R132)*100</f>
        <v>70.893371757925067</v>
      </c>
      <c r="U132" s="4"/>
    </row>
    <row r="133" spans="1:21">
      <c r="A133" s="8">
        <v>131</v>
      </c>
      <c r="B133" s="8">
        <v>131</v>
      </c>
      <c r="C133" s="8">
        <v>1</v>
      </c>
      <c r="D133" s="8">
        <v>167</v>
      </c>
      <c r="E133" s="8">
        <v>123</v>
      </c>
      <c r="F133" s="8">
        <v>0</v>
      </c>
      <c r="G133" s="8">
        <v>0</v>
      </c>
      <c r="H133" s="8">
        <v>0</v>
      </c>
      <c r="I133" s="8">
        <v>1</v>
      </c>
      <c r="J133" s="8">
        <v>0</v>
      </c>
      <c r="K133" s="8">
        <v>0</v>
      </c>
      <c r="L133" s="8">
        <v>1</v>
      </c>
      <c r="M133" s="8">
        <v>293</v>
      </c>
      <c r="N133" s="8">
        <v>0</v>
      </c>
      <c r="O133" s="8">
        <v>5</v>
      </c>
      <c r="P133" s="8">
        <v>298</v>
      </c>
      <c r="Q133" s="8">
        <v>0</v>
      </c>
      <c r="R133" s="8">
        <v>362</v>
      </c>
      <c r="S133" s="15">
        <f t="shared" si="4"/>
        <v>44</v>
      </c>
      <c r="T133" s="15">
        <f t="shared" si="5"/>
        <v>82.320441988950279</v>
      </c>
      <c r="U133" s="4"/>
    </row>
    <row r="134" spans="1:21">
      <c r="A134" s="9">
        <v>132</v>
      </c>
      <c r="B134" s="9">
        <v>132</v>
      </c>
      <c r="C134" s="9">
        <v>8</v>
      </c>
      <c r="D134" s="9">
        <v>198</v>
      </c>
      <c r="E134" s="9">
        <v>325</v>
      </c>
      <c r="F134" s="9">
        <v>1</v>
      </c>
      <c r="G134" s="9">
        <v>0</v>
      </c>
      <c r="H134" s="9">
        <v>0</v>
      </c>
      <c r="I134" s="9">
        <v>0</v>
      </c>
      <c r="J134" s="9">
        <v>0</v>
      </c>
      <c r="K134" s="9">
        <v>1</v>
      </c>
      <c r="L134" s="9">
        <v>0</v>
      </c>
      <c r="M134" s="9">
        <v>533</v>
      </c>
      <c r="N134" s="9">
        <v>0</v>
      </c>
      <c r="O134" s="9">
        <v>6</v>
      </c>
      <c r="P134" s="9">
        <v>539</v>
      </c>
      <c r="Q134" s="9">
        <v>0</v>
      </c>
      <c r="R134" s="9">
        <v>672</v>
      </c>
      <c r="S134" s="16">
        <f t="shared" si="4"/>
        <v>127</v>
      </c>
      <c r="T134" s="16">
        <f t="shared" si="5"/>
        <v>80.208333333333343</v>
      </c>
      <c r="U134" s="4"/>
    </row>
    <row r="135" spans="1:21">
      <c r="A135" s="9">
        <v>133</v>
      </c>
      <c r="B135" s="9">
        <v>133</v>
      </c>
      <c r="C135" s="9">
        <v>3</v>
      </c>
      <c r="D135" s="9">
        <v>161</v>
      </c>
      <c r="E135" s="9">
        <v>348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2</v>
      </c>
      <c r="M135" s="9">
        <v>514</v>
      </c>
      <c r="N135" s="9">
        <v>0</v>
      </c>
      <c r="O135" s="9">
        <v>8</v>
      </c>
      <c r="P135" s="9">
        <v>522</v>
      </c>
      <c r="Q135" s="9">
        <v>0</v>
      </c>
      <c r="R135" s="9">
        <v>678</v>
      </c>
      <c r="S135" s="16">
        <f t="shared" si="4"/>
        <v>187</v>
      </c>
      <c r="T135" s="16">
        <f t="shared" si="5"/>
        <v>76.991150442477874</v>
      </c>
      <c r="U135" s="4"/>
    </row>
    <row r="136" spans="1:21">
      <c r="A136" s="9">
        <v>134</v>
      </c>
      <c r="B136" s="9">
        <v>134</v>
      </c>
      <c r="C136" s="9">
        <v>0</v>
      </c>
      <c r="D136" s="9">
        <v>239</v>
      </c>
      <c r="E136" s="9">
        <v>242</v>
      </c>
      <c r="F136" s="9">
        <v>4</v>
      </c>
      <c r="G136" s="9">
        <v>1</v>
      </c>
      <c r="H136" s="9">
        <v>0</v>
      </c>
      <c r="I136" s="9">
        <v>0</v>
      </c>
      <c r="J136" s="9">
        <v>1</v>
      </c>
      <c r="K136" s="9">
        <v>0</v>
      </c>
      <c r="L136" s="9">
        <v>0</v>
      </c>
      <c r="M136" s="9">
        <v>487</v>
      </c>
      <c r="N136" s="9">
        <v>0</v>
      </c>
      <c r="O136" s="9">
        <v>5</v>
      </c>
      <c r="P136" s="9">
        <v>492</v>
      </c>
      <c r="Q136" s="9">
        <v>0</v>
      </c>
      <c r="R136" s="9">
        <v>613</v>
      </c>
      <c r="S136" s="16">
        <f t="shared" si="4"/>
        <v>3</v>
      </c>
      <c r="T136" s="16">
        <f t="shared" si="5"/>
        <v>80.261011419249598</v>
      </c>
      <c r="U136" s="4"/>
    </row>
    <row r="137" spans="1:21">
      <c r="A137" s="9">
        <v>135</v>
      </c>
      <c r="B137" s="9">
        <v>135</v>
      </c>
      <c r="C137" s="9">
        <v>1</v>
      </c>
      <c r="D137" s="9">
        <v>197</v>
      </c>
      <c r="E137" s="9">
        <v>209</v>
      </c>
      <c r="F137" s="9">
        <v>1</v>
      </c>
      <c r="G137" s="9">
        <v>0</v>
      </c>
      <c r="H137" s="9">
        <v>0</v>
      </c>
      <c r="I137" s="9">
        <v>0</v>
      </c>
      <c r="J137" s="9">
        <v>0</v>
      </c>
      <c r="K137" s="9">
        <v>1</v>
      </c>
      <c r="L137" s="9">
        <v>0</v>
      </c>
      <c r="M137" s="9">
        <v>409</v>
      </c>
      <c r="N137" s="9">
        <v>0</v>
      </c>
      <c r="O137" s="9">
        <v>2</v>
      </c>
      <c r="P137" s="9">
        <v>411</v>
      </c>
      <c r="Q137" s="9">
        <v>0</v>
      </c>
      <c r="R137" s="9">
        <v>539</v>
      </c>
      <c r="S137" s="16">
        <f t="shared" si="4"/>
        <v>12</v>
      </c>
      <c r="T137" s="16">
        <f t="shared" si="5"/>
        <v>76.252319109461965</v>
      </c>
      <c r="U137" s="4"/>
    </row>
    <row r="138" spans="1:21">
      <c r="A138" s="9">
        <v>136</v>
      </c>
      <c r="B138" s="9">
        <v>136</v>
      </c>
      <c r="C138" s="9">
        <v>1</v>
      </c>
      <c r="D138" s="9">
        <v>195</v>
      </c>
      <c r="E138" s="9">
        <v>562</v>
      </c>
      <c r="F138" s="9">
        <v>1</v>
      </c>
      <c r="G138" s="9">
        <v>1</v>
      </c>
      <c r="H138" s="9">
        <v>0</v>
      </c>
      <c r="I138" s="9">
        <v>0</v>
      </c>
      <c r="J138" s="9">
        <v>0</v>
      </c>
      <c r="K138" s="9">
        <v>1</v>
      </c>
      <c r="L138" s="9">
        <v>2</v>
      </c>
      <c r="M138" s="9">
        <v>763</v>
      </c>
      <c r="N138" s="9">
        <v>0</v>
      </c>
      <c r="O138" s="9">
        <v>2</v>
      </c>
      <c r="P138" s="9">
        <v>765</v>
      </c>
      <c r="Q138" s="9">
        <v>0</v>
      </c>
      <c r="R138" s="9">
        <v>1051</v>
      </c>
      <c r="S138" s="16">
        <f t="shared" si="4"/>
        <v>367</v>
      </c>
      <c r="T138" s="16">
        <f t="shared" si="5"/>
        <v>72.787821122740255</v>
      </c>
      <c r="U138" s="4"/>
    </row>
    <row r="139" spans="1:21">
      <c r="A139" s="8">
        <v>137</v>
      </c>
      <c r="B139" s="8">
        <v>137</v>
      </c>
      <c r="C139" s="8">
        <v>0</v>
      </c>
      <c r="D139" s="8">
        <v>382</v>
      </c>
      <c r="E139" s="8">
        <v>316</v>
      </c>
      <c r="F139" s="8">
        <v>1</v>
      </c>
      <c r="G139" s="8">
        <v>0</v>
      </c>
      <c r="H139" s="8">
        <v>1</v>
      </c>
      <c r="I139" s="8">
        <v>0</v>
      </c>
      <c r="J139" s="8">
        <v>0</v>
      </c>
      <c r="K139" s="8">
        <v>0</v>
      </c>
      <c r="L139" s="8">
        <v>1</v>
      </c>
      <c r="M139" s="8">
        <v>701</v>
      </c>
      <c r="N139" s="8">
        <v>0</v>
      </c>
      <c r="O139" s="8">
        <v>5</v>
      </c>
      <c r="P139" s="8">
        <v>706</v>
      </c>
      <c r="Q139" s="8">
        <v>0</v>
      </c>
      <c r="R139" s="8">
        <v>1057</v>
      </c>
      <c r="S139" s="15">
        <f t="shared" si="4"/>
        <v>66</v>
      </c>
      <c r="T139" s="15">
        <f t="shared" si="5"/>
        <v>66.792809839167461</v>
      </c>
      <c r="U139" s="4"/>
    </row>
    <row r="140" spans="1:21">
      <c r="A140" s="8">
        <v>138</v>
      </c>
      <c r="B140" s="8">
        <v>138</v>
      </c>
      <c r="C140" s="8">
        <v>0</v>
      </c>
      <c r="D140" s="8">
        <v>307</v>
      </c>
      <c r="E140" s="8">
        <v>198</v>
      </c>
      <c r="F140" s="8">
        <v>1</v>
      </c>
      <c r="G140" s="8">
        <v>1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507</v>
      </c>
      <c r="N140" s="8">
        <v>0</v>
      </c>
      <c r="O140" s="8">
        <v>5</v>
      </c>
      <c r="P140" s="8">
        <v>512</v>
      </c>
      <c r="Q140" s="8">
        <v>0</v>
      </c>
      <c r="R140" s="8">
        <v>678</v>
      </c>
      <c r="S140" s="15">
        <f t="shared" si="4"/>
        <v>109</v>
      </c>
      <c r="T140" s="15">
        <f t="shared" si="5"/>
        <v>75.516224188790559</v>
      </c>
      <c r="U140" s="4"/>
    </row>
    <row r="141" spans="1:21">
      <c r="A141" s="8">
        <v>139</v>
      </c>
      <c r="B141" s="8">
        <v>139</v>
      </c>
      <c r="C141" s="8">
        <v>0</v>
      </c>
      <c r="D141" s="8">
        <v>287</v>
      </c>
      <c r="E141" s="8">
        <v>209</v>
      </c>
      <c r="F141" s="8">
        <v>2</v>
      </c>
      <c r="G141" s="8">
        <v>0</v>
      </c>
      <c r="H141" s="8">
        <v>1</v>
      </c>
      <c r="I141" s="8">
        <v>1</v>
      </c>
      <c r="J141" s="8">
        <v>1</v>
      </c>
      <c r="K141" s="8">
        <v>0</v>
      </c>
      <c r="L141" s="8">
        <v>0</v>
      </c>
      <c r="M141" s="8">
        <v>501</v>
      </c>
      <c r="N141" s="8">
        <v>0</v>
      </c>
      <c r="O141" s="8">
        <v>6</v>
      </c>
      <c r="P141" s="8">
        <v>507</v>
      </c>
      <c r="Q141" s="8">
        <v>0</v>
      </c>
      <c r="R141" s="8">
        <v>736</v>
      </c>
      <c r="S141" s="15">
        <f t="shared" si="4"/>
        <v>78</v>
      </c>
      <c r="T141" s="15">
        <f t="shared" si="5"/>
        <v>68.885869565217391</v>
      </c>
      <c r="U141" s="4"/>
    </row>
    <row r="142" spans="1:21">
      <c r="A142" s="11">
        <v>140</v>
      </c>
      <c r="B142" s="11">
        <v>140</v>
      </c>
      <c r="C142" s="8">
        <v>2</v>
      </c>
      <c r="D142" s="8">
        <v>306</v>
      </c>
      <c r="E142" s="8">
        <v>280</v>
      </c>
      <c r="F142" s="8">
        <v>1</v>
      </c>
      <c r="G142" s="8">
        <v>0</v>
      </c>
      <c r="H142" s="8">
        <v>0</v>
      </c>
      <c r="I142" s="8">
        <v>4</v>
      </c>
      <c r="J142" s="8">
        <v>1</v>
      </c>
      <c r="K142" s="8">
        <v>0</v>
      </c>
      <c r="L142" s="8">
        <v>2</v>
      </c>
      <c r="M142" s="8">
        <v>596</v>
      </c>
      <c r="N142" s="8">
        <v>0</v>
      </c>
      <c r="O142" s="8">
        <v>6</v>
      </c>
      <c r="P142" s="8">
        <v>602</v>
      </c>
      <c r="Q142" s="8">
        <v>0</v>
      </c>
      <c r="R142" s="8">
        <v>864</v>
      </c>
      <c r="S142" s="15">
        <f t="shared" si="4"/>
        <v>26</v>
      </c>
      <c r="T142" s="15">
        <f t="shared" si="5"/>
        <v>69.675925925925924</v>
      </c>
      <c r="U142" s="4"/>
    </row>
    <row r="143" spans="1:21">
      <c r="A143" s="8">
        <v>141</v>
      </c>
      <c r="B143" s="8">
        <v>141</v>
      </c>
      <c r="C143" s="8">
        <v>2</v>
      </c>
      <c r="D143" s="8">
        <v>460</v>
      </c>
      <c r="E143" s="8">
        <v>268</v>
      </c>
      <c r="F143" s="8">
        <v>3</v>
      </c>
      <c r="G143" s="8">
        <v>0</v>
      </c>
      <c r="H143" s="8">
        <v>0</v>
      </c>
      <c r="I143" s="8">
        <v>0</v>
      </c>
      <c r="J143" s="8">
        <v>2</v>
      </c>
      <c r="K143" s="8">
        <v>1</v>
      </c>
      <c r="L143" s="8">
        <v>2</v>
      </c>
      <c r="M143" s="8">
        <v>738</v>
      </c>
      <c r="N143" s="8">
        <v>0</v>
      </c>
      <c r="O143" s="8">
        <v>12</v>
      </c>
      <c r="P143" s="8">
        <v>750</v>
      </c>
      <c r="Q143" s="8">
        <v>0</v>
      </c>
      <c r="R143" s="8">
        <v>950</v>
      </c>
      <c r="S143" s="15">
        <f t="shared" si="4"/>
        <v>192</v>
      </c>
      <c r="T143" s="15">
        <f t="shared" si="5"/>
        <v>78.94736842105263</v>
      </c>
      <c r="U143" s="4"/>
    </row>
    <row r="144" spans="1:21">
      <c r="A144" s="8">
        <v>142</v>
      </c>
      <c r="B144" s="8">
        <v>142</v>
      </c>
      <c r="C144" s="8">
        <v>4</v>
      </c>
      <c r="D144" s="8">
        <v>302</v>
      </c>
      <c r="E144" s="8">
        <v>260</v>
      </c>
      <c r="F144" s="8">
        <v>1</v>
      </c>
      <c r="G144" s="8">
        <v>0</v>
      </c>
      <c r="H144" s="8">
        <v>0</v>
      </c>
      <c r="I144" s="8">
        <v>0</v>
      </c>
      <c r="J144" s="8">
        <v>1</v>
      </c>
      <c r="K144" s="8">
        <v>6</v>
      </c>
      <c r="L144" s="8">
        <v>1</v>
      </c>
      <c r="M144" s="8">
        <v>575</v>
      </c>
      <c r="N144" s="8">
        <v>0</v>
      </c>
      <c r="O144" s="8">
        <v>4</v>
      </c>
      <c r="P144" s="8">
        <v>579</v>
      </c>
      <c r="Q144" s="8">
        <v>0</v>
      </c>
      <c r="R144" s="8">
        <v>732</v>
      </c>
      <c r="S144" s="15">
        <f t="shared" si="4"/>
        <v>42</v>
      </c>
      <c r="T144" s="15">
        <f t="shared" si="5"/>
        <v>79.098360655737707</v>
      </c>
      <c r="U144" s="4"/>
    </row>
    <row r="145" spans="1:21">
      <c r="A145" s="8">
        <v>143</v>
      </c>
      <c r="B145" s="8">
        <v>143</v>
      </c>
      <c r="C145" s="8">
        <v>1</v>
      </c>
      <c r="D145" s="8">
        <v>292</v>
      </c>
      <c r="E145" s="8">
        <v>190</v>
      </c>
      <c r="F145" s="8">
        <v>2</v>
      </c>
      <c r="G145" s="8">
        <v>0</v>
      </c>
      <c r="H145" s="8">
        <v>0</v>
      </c>
      <c r="I145" s="8">
        <v>0</v>
      </c>
      <c r="J145" s="8">
        <v>3</v>
      </c>
      <c r="K145" s="8">
        <v>0</v>
      </c>
      <c r="L145" s="8">
        <v>2</v>
      </c>
      <c r="M145" s="8">
        <v>490</v>
      </c>
      <c r="N145" s="8">
        <v>0</v>
      </c>
      <c r="O145" s="8">
        <v>6</v>
      </c>
      <c r="P145" s="8">
        <v>496</v>
      </c>
      <c r="Q145" s="8">
        <v>0</v>
      </c>
      <c r="R145" s="8">
        <v>598</v>
      </c>
      <c r="S145" s="15">
        <f t="shared" si="4"/>
        <v>102</v>
      </c>
      <c r="T145" s="15">
        <f t="shared" si="5"/>
        <v>82.943143812709025</v>
      </c>
      <c r="U145" s="4"/>
    </row>
    <row r="146" spans="1:21">
      <c r="A146" s="8">
        <v>144</v>
      </c>
      <c r="B146" s="8">
        <v>144</v>
      </c>
      <c r="C146" s="8">
        <v>10</v>
      </c>
      <c r="D146" s="8">
        <v>517</v>
      </c>
      <c r="E146" s="8">
        <v>196</v>
      </c>
      <c r="F146" s="8">
        <v>3</v>
      </c>
      <c r="G146" s="8">
        <v>0</v>
      </c>
      <c r="H146" s="8">
        <v>0</v>
      </c>
      <c r="I146" s="8">
        <v>1</v>
      </c>
      <c r="J146" s="8">
        <v>3</v>
      </c>
      <c r="K146" s="8">
        <v>0</v>
      </c>
      <c r="L146" s="8">
        <v>1</v>
      </c>
      <c r="M146" s="8">
        <v>731</v>
      </c>
      <c r="N146" s="8">
        <v>0</v>
      </c>
      <c r="O146" s="8">
        <v>10</v>
      </c>
      <c r="P146" s="8">
        <v>741</v>
      </c>
      <c r="Q146" s="8">
        <v>0</v>
      </c>
      <c r="R146" s="8">
        <v>929</v>
      </c>
      <c r="S146" s="15">
        <f t="shared" si="4"/>
        <v>321</v>
      </c>
      <c r="T146" s="15">
        <f t="shared" si="5"/>
        <v>79.763186221743808</v>
      </c>
      <c r="U146" s="4"/>
    </row>
    <row r="147" spans="1:21">
      <c r="A147" s="8">
        <v>145</v>
      </c>
      <c r="B147" s="8">
        <v>145</v>
      </c>
      <c r="C147" s="8">
        <v>6</v>
      </c>
      <c r="D147" s="8">
        <v>494</v>
      </c>
      <c r="E147" s="8">
        <v>286</v>
      </c>
      <c r="F147" s="8">
        <v>3</v>
      </c>
      <c r="G147" s="8">
        <v>2</v>
      </c>
      <c r="H147" s="8">
        <v>0</v>
      </c>
      <c r="I147" s="8">
        <v>0</v>
      </c>
      <c r="J147" s="8">
        <v>0</v>
      </c>
      <c r="K147" s="8">
        <v>3</v>
      </c>
      <c r="L147" s="8">
        <v>3</v>
      </c>
      <c r="M147" s="8">
        <v>797</v>
      </c>
      <c r="N147" s="8">
        <v>0</v>
      </c>
      <c r="O147" s="8">
        <v>5</v>
      </c>
      <c r="P147" s="8">
        <v>802</v>
      </c>
      <c r="Q147" s="8">
        <v>0</v>
      </c>
      <c r="R147" s="8">
        <v>1019</v>
      </c>
      <c r="S147" s="15">
        <f t="shared" si="4"/>
        <v>208</v>
      </c>
      <c r="T147" s="15">
        <f t="shared" si="5"/>
        <v>78.704612365063781</v>
      </c>
      <c r="U147" s="4"/>
    </row>
    <row r="148" spans="1:21">
      <c r="A148" s="8">
        <v>146</v>
      </c>
      <c r="B148" s="8">
        <v>146</v>
      </c>
      <c r="C148" s="8">
        <v>4</v>
      </c>
      <c r="D148" s="8">
        <v>524</v>
      </c>
      <c r="E148" s="8">
        <v>300</v>
      </c>
      <c r="F148" s="8">
        <v>3</v>
      </c>
      <c r="G148" s="8">
        <v>1</v>
      </c>
      <c r="H148" s="8">
        <v>1</v>
      </c>
      <c r="I148" s="8">
        <v>0</v>
      </c>
      <c r="J148" s="8">
        <v>1</v>
      </c>
      <c r="K148" s="8">
        <v>3</v>
      </c>
      <c r="L148" s="8">
        <v>2</v>
      </c>
      <c r="M148" s="8">
        <v>839</v>
      </c>
      <c r="N148" s="8">
        <v>0</v>
      </c>
      <c r="O148" s="8">
        <v>5</v>
      </c>
      <c r="P148" s="8">
        <v>844</v>
      </c>
      <c r="Q148" s="8">
        <v>0</v>
      </c>
      <c r="R148" s="8">
        <v>1023</v>
      </c>
      <c r="S148" s="15">
        <f t="shared" si="4"/>
        <v>224</v>
      </c>
      <c r="T148" s="15">
        <f t="shared" si="5"/>
        <v>82.502443792766371</v>
      </c>
      <c r="U148" s="4"/>
    </row>
    <row r="149" spans="1:21">
      <c r="A149" s="8">
        <v>147</v>
      </c>
      <c r="B149" s="8">
        <v>147</v>
      </c>
      <c r="C149" s="8">
        <v>6</v>
      </c>
      <c r="D149" s="8">
        <v>611</v>
      </c>
      <c r="E149" s="8">
        <v>337</v>
      </c>
      <c r="F149" s="8">
        <v>2</v>
      </c>
      <c r="G149" s="8">
        <v>0</v>
      </c>
      <c r="H149" s="8">
        <v>0</v>
      </c>
      <c r="I149" s="8">
        <v>2</v>
      </c>
      <c r="J149" s="8">
        <v>1</v>
      </c>
      <c r="K149" s="8">
        <v>3</v>
      </c>
      <c r="L149" s="8">
        <v>4</v>
      </c>
      <c r="M149" s="8">
        <v>966</v>
      </c>
      <c r="N149" s="8">
        <v>0</v>
      </c>
      <c r="O149" s="8">
        <v>10</v>
      </c>
      <c r="P149" s="8">
        <v>976</v>
      </c>
      <c r="Q149" s="8">
        <v>0</v>
      </c>
      <c r="R149" s="8">
        <v>1260</v>
      </c>
      <c r="S149" s="15">
        <f t="shared" si="4"/>
        <v>274</v>
      </c>
      <c r="T149" s="15">
        <f t="shared" si="5"/>
        <v>77.460317460317469</v>
      </c>
      <c r="U149" s="4"/>
    </row>
    <row r="150" spans="1:21">
      <c r="A150" s="8">
        <v>148</v>
      </c>
      <c r="B150" s="8">
        <v>148</v>
      </c>
      <c r="C150" s="8">
        <v>8</v>
      </c>
      <c r="D150" s="8">
        <v>626</v>
      </c>
      <c r="E150" s="8">
        <v>215</v>
      </c>
      <c r="F150" s="8">
        <v>3</v>
      </c>
      <c r="G150" s="8">
        <v>0</v>
      </c>
      <c r="H150" s="8">
        <v>1</v>
      </c>
      <c r="I150" s="8">
        <v>1</v>
      </c>
      <c r="J150" s="8">
        <v>0</v>
      </c>
      <c r="K150" s="8">
        <v>4</v>
      </c>
      <c r="L150" s="8">
        <v>6</v>
      </c>
      <c r="M150" s="8">
        <v>864</v>
      </c>
      <c r="N150" s="8">
        <v>0</v>
      </c>
      <c r="O150" s="8">
        <v>4</v>
      </c>
      <c r="P150" s="8">
        <v>868</v>
      </c>
      <c r="Q150" s="8">
        <v>0</v>
      </c>
      <c r="R150" s="8">
        <v>1131</v>
      </c>
      <c r="S150" s="15">
        <f t="shared" si="4"/>
        <v>411</v>
      </c>
      <c r="T150" s="15">
        <f t="shared" si="5"/>
        <v>76.746242263483637</v>
      </c>
      <c r="U150" s="4"/>
    </row>
    <row r="151" spans="1:21">
      <c r="A151" s="8">
        <v>149</v>
      </c>
      <c r="B151" s="8">
        <v>149</v>
      </c>
      <c r="C151" s="8">
        <v>5</v>
      </c>
      <c r="D151" s="8">
        <v>476</v>
      </c>
      <c r="E151" s="8">
        <v>231</v>
      </c>
      <c r="F151" s="8">
        <v>0</v>
      </c>
      <c r="G151" s="8">
        <v>0</v>
      </c>
      <c r="H151" s="8">
        <v>1</v>
      </c>
      <c r="I151" s="8">
        <v>1</v>
      </c>
      <c r="J151" s="8">
        <v>0</v>
      </c>
      <c r="K151" s="8">
        <v>3</v>
      </c>
      <c r="L151" s="8">
        <v>4</v>
      </c>
      <c r="M151" s="8">
        <v>721</v>
      </c>
      <c r="N151" s="8">
        <v>0</v>
      </c>
      <c r="O151" s="8">
        <v>2</v>
      </c>
      <c r="P151" s="8">
        <v>723</v>
      </c>
      <c r="Q151" s="8">
        <v>0</v>
      </c>
      <c r="R151" s="8">
        <v>973</v>
      </c>
      <c r="S151" s="15">
        <f t="shared" si="4"/>
        <v>245</v>
      </c>
      <c r="T151" s="15">
        <f t="shared" si="5"/>
        <v>74.306269270298046</v>
      </c>
      <c r="U151" s="4"/>
    </row>
    <row r="152" spans="1:21">
      <c r="A152" s="8">
        <v>150</v>
      </c>
      <c r="B152" s="8">
        <v>150</v>
      </c>
      <c r="C152" s="8">
        <v>5</v>
      </c>
      <c r="D152" s="8">
        <v>544</v>
      </c>
      <c r="E152" s="8">
        <v>230</v>
      </c>
      <c r="F152" s="8">
        <v>2</v>
      </c>
      <c r="G152" s="8">
        <v>0</v>
      </c>
      <c r="H152" s="8">
        <v>1</v>
      </c>
      <c r="I152" s="8">
        <v>2</v>
      </c>
      <c r="J152" s="8">
        <v>0</v>
      </c>
      <c r="K152" s="8">
        <v>3</v>
      </c>
      <c r="L152" s="8">
        <v>0</v>
      </c>
      <c r="M152" s="8">
        <v>787</v>
      </c>
      <c r="N152" s="8">
        <v>0</v>
      </c>
      <c r="O152" s="8">
        <v>4</v>
      </c>
      <c r="P152" s="8">
        <v>791</v>
      </c>
      <c r="Q152" s="8">
        <v>0</v>
      </c>
      <c r="R152" s="8">
        <v>1078</v>
      </c>
      <c r="S152" s="15">
        <f t="shared" si="4"/>
        <v>314</v>
      </c>
      <c r="T152" s="15">
        <f t="shared" si="5"/>
        <v>73.376623376623371</v>
      </c>
      <c r="U152" s="4"/>
    </row>
    <row r="153" spans="1:21">
      <c r="A153" s="8">
        <v>151</v>
      </c>
      <c r="B153" s="8">
        <v>151</v>
      </c>
      <c r="C153" s="8">
        <v>3</v>
      </c>
      <c r="D153" s="8">
        <v>668</v>
      </c>
      <c r="E153" s="8">
        <v>332</v>
      </c>
      <c r="F153" s="8">
        <v>2</v>
      </c>
      <c r="G153" s="8">
        <v>0</v>
      </c>
      <c r="H153" s="8">
        <v>1</v>
      </c>
      <c r="I153" s="8">
        <v>1</v>
      </c>
      <c r="J153" s="8">
        <v>4</v>
      </c>
      <c r="K153" s="8">
        <v>4</v>
      </c>
      <c r="L153" s="8">
        <v>4</v>
      </c>
      <c r="M153" s="8">
        <v>1019</v>
      </c>
      <c r="N153" s="8">
        <v>0</v>
      </c>
      <c r="O153" s="8">
        <v>5</v>
      </c>
      <c r="P153" s="8">
        <v>1024</v>
      </c>
      <c r="Q153" s="8">
        <v>0</v>
      </c>
      <c r="R153" s="8">
        <v>1211</v>
      </c>
      <c r="S153" s="15">
        <f t="shared" si="4"/>
        <v>336</v>
      </c>
      <c r="T153" s="15">
        <f t="shared" si="5"/>
        <v>84.558216350123857</v>
      </c>
      <c r="U153" s="4"/>
    </row>
    <row r="154" spans="1:21">
      <c r="A154" s="8">
        <v>152</v>
      </c>
      <c r="B154" s="8">
        <v>152</v>
      </c>
      <c r="C154" s="8">
        <v>3</v>
      </c>
      <c r="D154" s="8">
        <v>513</v>
      </c>
      <c r="E154" s="8">
        <v>405</v>
      </c>
      <c r="F154" s="8">
        <v>9</v>
      </c>
      <c r="G154" s="8">
        <v>0</v>
      </c>
      <c r="H154" s="8">
        <v>0</v>
      </c>
      <c r="I154" s="8">
        <v>0</v>
      </c>
      <c r="J154" s="8">
        <v>1</v>
      </c>
      <c r="K154" s="8">
        <v>4</v>
      </c>
      <c r="L154" s="8">
        <v>1</v>
      </c>
      <c r="M154" s="8">
        <v>936</v>
      </c>
      <c r="N154" s="8">
        <v>0</v>
      </c>
      <c r="O154" s="8">
        <v>3</v>
      </c>
      <c r="P154" s="8">
        <v>939</v>
      </c>
      <c r="Q154" s="8">
        <v>0</v>
      </c>
      <c r="R154" s="8">
        <v>1181</v>
      </c>
      <c r="S154" s="15">
        <f t="shared" si="4"/>
        <v>108</v>
      </c>
      <c r="T154" s="15">
        <f t="shared" si="5"/>
        <v>79.508890770533441</v>
      </c>
      <c r="U154" s="4"/>
    </row>
    <row r="155" spans="1:21">
      <c r="A155" s="8">
        <v>153</v>
      </c>
      <c r="B155" s="8">
        <v>153</v>
      </c>
      <c r="C155" s="8">
        <v>7</v>
      </c>
      <c r="D155" s="8">
        <v>541</v>
      </c>
      <c r="E155" s="8">
        <v>346</v>
      </c>
      <c r="F155" s="8">
        <v>2</v>
      </c>
      <c r="G155" s="8">
        <v>0</v>
      </c>
      <c r="H155" s="8">
        <v>1</v>
      </c>
      <c r="I155" s="8">
        <v>0</v>
      </c>
      <c r="J155" s="8">
        <v>0</v>
      </c>
      <c r="K155" s="8">
        <v>0</v>
      </c>
      <c r="L155" s="8">
        <v>1</v>
      </c>
      <c r="M155" s="8">
        <v>898</v>
      </c>
      <c r="N155" s="8">
        <v>0</v>
      </c>
      <c r="O155" s="8">
        <v>4</v>
      </c>
      <c r="P155" s="8">
        <v>902</v>
      </c>
      <c r="Q155" s="8">
        <v>0</v>
      </c>
      <c r="R155" s="8">
        <v>1183</v>
      </c>
      <c r="S155" s="15">
        <f t="shared" si="4"/>
        <v>195</v>
      </c>
      <c r="T155" s="15">
        <f t="shared" si="5"/>
        <v>76.246830092983942</v>
      </c>
      <c r="U155" s="4"/>
    </row>
    <row r="156" spans="1:21">
      <c r="A156" s="9">
        <v>154</v>
      </c>
      <c r="B156" s="9">
        <v>154</v>
      </c>
      <c r="C156" s="9">
        <v>6</v>
      </c>
      <c r="D156" s="9">
        <v>283</v>
      </c>
      <c r="E156" s="9">
        <v>394</v>
      </c>
      <c r="F156" s="9">
        <v>3</v>
      </c>
      <c r="G156" s="9">
        <v>1</v>
      </c>
      <c r="H156" s="9">
        <v>0</v>
      </c>
      <c r="I156" s="9">
        <v>3</v>
      </c>
      <c r="J156" s="9">
        <v>0</v>
      </c>
      <c r="K156" s="9">
        <v>3</v>
      </c>
      <c r="L156" s="9">
        <v>0</v>
      </c>
      <c r="M156" s="9">
        <v>693</v>
      </c>
      <c r="N156" s="9">
        <v>0</v>
      </c>
      <c r="O156" s="9">
        <v>1</v>
      </c>
      <c r="P156" s="9">
        <v>694</v>
      </c>
      <c r="Q156" s="9">
        <v>0</v>
      </c>
      <c r="R156" s="9">
        <v>960</v>
      </c>
      <c r="S156" s="16">
        <f t="shared" si="4"/>
        <v>111</v>
      </c>
      <c r="T156" s="16">
        <f t="shared" si="5"/>
        <v>72.291666666666671</v>
      </c>
      <c r="U156" s="4"/>
    </row>
    <row r="157" spans="1:21">
      <c r="A157" s="8">
        <v>155</v>
      </c>
      <c r="B157" s="8">
        <v>155</v>
      </c>
      <c r="C157" s="8">
        <v>4</v>
      </c>
      <c r="D157" s="8">
        <v>328</v>
      </c>
      <c r="E157" s="8">
        <v>250</v>
      </c>
      <c r="F157" s="8">
        <v>4</v>
      </c>
      <c r="G157" s="8">
        <v>0</v>
      </c>
      <c r="H157" s="8">
        <v>2</v>
      </c>
      <c r="I157" s="8">
        <v>1</v>
      </c>
      <c r="J157" s="8">
        <v>1</v>
      </c>
      <c r="K157" s="8">
        <v>2</v>
      </c>
      <c r="L157" s="8">
        <v>2</v>
      </c>
      <c r="M157" s="8">
        <v>594</v>
      </c>
      <c r="N157" s="8">
        <v>0</v>
      </c>
      <c r="O157" s="8">
        <v>1</v>
      </c>
      <c r="P157" s="8">
        <v>595</v>
      </c>
      <c r="Q157" s="8">
        <v>0</v>
      </c>
      <c r="R157" s="8">
        <v>775</v>
      </c>
      <c r="S157" s="15">
        <f t="shared" si="4"/>
        <v>78</v>
      </c>
      <c r="T157" s="15">
        <f t="shared" si="5"/>
        <v>76.774193548387089</v>
      </c>
      <c r="U157" s="4"/>
    </row>
    <row r="158" spans="1:21">
      <c r="A158" s="8">
        <v>156</v>
      </c>
      <c r="B158" s="8">
        <v>156</v>
      </c>
      <c r="C158" s="8">
        <v>4</v>
      </c>
      <c r="D158" s="8">
        <v>248</v>
      </c>
      <c r="E158" s="8">
        <v>240</v>
      </c>
      <c r="F158" s="8">
        <v>1</v>
      </c>
      <c r="G158" s="8">
        <v>0</v>
      </c>
      <c r="H158" s="8">
        <v>1</v>
      </c>
      <c r="I158" s="8">
        <v>0</v>
      </c>
      <c r="J158" s="8">
        <v>1</v>
      </c>
      <c r="K158" s="8">
        <v>0</v>
      </c>
      <c r="L158" s="8">
        <v>0</v>
      </c>
      <c r="M158" s="8">
        <v>495</v>
      </c>
      <c r="N158" s="8">
        <v>0</v>
      </c>
      <c r="O158" s="8">
        <v>2</v>
      </c>
      <c r="P158" s="8">
        <v>497</v>
      </c>
      <c r="Q158" s="8">
        <v>0</v>
      </c>
      <c r="R158" s="8">
        <v>829</v>
      </c>
      <c r="S158" s="15">
        <f t="shared" si="4"/>
        <v>8</v>
      </c>
      <c r="T158" s="15">
        <f t="shared" si="5"/>
        <v>59.95174909529554</v>
      </c>
      <c r="U158" s="4"/>
    </row>
    <row r="159" spans="1:21">
      <c r="A159" s="9">
        <v>157</v>
      </c>
      <c r="B159" s="9">
        <v>157</v>
      </c>
      <c r="C159" s="9">
        <v>10</v>
      </c>
      <c r="D159" s="9">
        <v>353</v>
      </c>
      <c r="E159" s="9">
        <v>382</v>
      </c>
      <c r="F159" s="9">
        <v>5</v>
      </c>
      <c r="G159" s="9">
        <v>1</v>
      </c>
      <c r="H159" s="9">
        <v>3</v>
      </c>
      <c r="I159" s="9">
        <v>0</v>
      </c>
      <c r="J159" s="9">
        <v>1</v>
      </c>
      <c r="K159" s="9">
        <v>1</v>
      </c>
      <c r="L159" s="9">
        <v>1</v>
      </c>
      <c r="M159" s="9">
        <v>757</v>
      </c>
      <c r="N159" s="9">
        <v>0</v>
      </c>
      <c r="O159" s="9">
        <v>3</v>
      </c>
      <c r="P159" s="9">
        <v>760</v>
      </c>
      <c r="Q159" s="9">
        <v>0</v>
      </c>
      <c r="R159" s="9">
        <v>927</v>
      </c>
      <c r="S159" s="16">
        <f t="shared" si="4"/>
        <v>29</v>
      </c>
      <c r="T159" s="16">
        <f t="shared" si="5"/>
        <v>81.9848975188781</v>
      </c>
      <c r="U159" s="4"/>
    </row>
    <row r="160" spans="1:21">
      <c r="A160" s="8">
        <v>158</v>
      </c>
      <c r="B160" s="8">
        <v>158</v>
      </c>
      <c r="C160" s="8">
        <v>5</v>
      </c>
      <c r="D160" s="8">
        <v>426</v>
      </c>
      <c r="E160" s="8">
        <v>380</v>
      </c>
      <c r="F160" s="8">
        <v>1</v>
      </c>
      <c r="G160" s="8">
        <v>0</v>
      </c>
      <c r="H160" s="8">
        <v>0</v>
      </c>
      <c r="I160" s="8">
        <v>1</v>
      </c>
      <c r="J160" s="8">
        <v>0</v>
      </c>
      <c r="K160" s="8">
        <v>1</v>
      </c>
      <c r="L160" s="8">
        <v>6</v>
      </c>
      <c r="M160" s="8">
        <v>820</v>
      </c>
      <c r="N160" s="8">
        <v>0</v>
      </c>
      <c r="O160" s="8">
        <v>6</v>
      </c>
      <c r="P160" s="8">
        <v>826</v>
      </c>
      <c r="Q160" s="8">
        <v>0</v>
      </c>
      <c r="R160" s="8">
        <v>1025</v>
      </c>
      <c r="S160" s="15">
        <f t="shared" si="4"/>
        <v>46</v>
      </c>
      <c r="T160" s="15">
        <f t="shared" si="5"/>
        <v>80.585365853658544</v>
      </c>
      <c r="U160" s="4"/>
    </row>
    <row r="161" spans="1:21">
      <c r="A161" s="9">
        <v>159</v>
      </c>
      <c r="B161" s="9">
        <v>159</v>
      </c>
      <c r="C161" s="9">
        <v>3</v>
      </c>
      <c r="D161" s="9">
        <v>314</v>
      </c>
      <c r="E161" s="9">
        <v>390</v>
      </c>
      <c r="F161" s="9">
        <v>4</v>
      </c>
      <c r="G161" s="9">
        <v>1</v>
      </c>
      <c r="H161" s="9">
        <v>0</v>
      </c>
      <c r="I161" s="9">
        <v>0</v>
      </c>
      <c r="J161" s="9">
        <v>0</v>
      </c>
      <c r="K161" s="9">
        <v>3</v>
      </c>
      <c r="L161" s="9">
        <v>0</v>
      </c>
      <c r="M161" s="9">
        <v>715</v>
      </c>
      <c r="N161" s="9">
        <v>0</v>
      </c>
      <c r="O161" s="9">
        <v>3</v>
      </c>
      <c r="P161" s="9">
        <v>718</v>
      </c>
      <c r="Q161" s="9">
        <v>0</v>
      </c>
      <c r="R161" s="9">
        <v>983</v>
      </c>
      <c r="S161" s="16">
        <f t="shared" si="4"/>
        <v>76</v>
      </c>
      <c r="T161" s="16">
        <f t="shared" si="5"/>
        <v>73.041709053916577</v>
      </c>
      <c r="U161" s="4"/>
    </row>
    <row r="162" spans="1:21">
      <c r="A162" s="8">
        <v>160</v>
      </c>
      <c r="B162" s="8">
        <v>160</v>
      </c>
      <c r="C162" s="8">
        <v>5</v>
      </c>
      <c r="D162" s="8">
        <v>385</v>
      </c>
      <c r="E162" s="8">
        <v>265</v>
      </c>
      <c r="F162" s="8">
        <v>2</v>
      </c>
      <c r="G162" s="8">
        <v>1</v>
      </c>
      <c r="H162" s="8">
        <v>0</v>
      </c>
      <c r="I162" s="8">
        <v>1</v>
      </c>
      <c r="J162" s="8">
        <v>1</v>
      </c>
      <c r="K162" s="8">
        <v>0</v>
      </c>
      <c r="L162" s="8">
        <v>2</v>
      </c>
      <c r="M162" s="8">
        <v>662</v>
      </c>
      <c r="N162" s="8">
        <v>0</v>
      </c>
      <c r="O162" s="8">
        <v>10</v>
      </c>
      <c r="P162" s="8">
        <v>672</v>
      </c>
      <c r="Q162" s="8">
        <v>0</v>
      </c>
      <c r="R162" s="8">
        <v>929</v>
      </c>
      <c r="S162" s="15">
        <f t="shared" si="4"/>
        <v>120</v>
      </c>
      <c r="T162" s="15">
        <f t="shared" si="5"/>
        <v>72.335844994617872</v>
      </c>
      <c r="U162" s="4"/>
    </row>
    <row r="163" spans="1:21">
      <c r="A163" s="7">
        <v>161</v>
      </c>
      <c r="B163" s="7">
        <v>161</v>
      </c>
      <c r="C163" s="7">
        <v>3</v>
      </c>
      <c r="D163" s="7">
        <v>809</v>
      </c>
      <c r="E163" s="7">
        <v>273</v>
      </c>
      <c r="F163" s="7">
        <v>1</v>
      </c>
      <c r="G163" s="7">
        <v>1</v>
      </c>
      <c r="H163" s="7">
        <v>0</v>
      </c>
      <c r="I163" s="7">
        <v>0</v>
      </c>
      <c r="J163" s="7">
        <v>0</v>
      </c>
      <c r="K163" s="7">
        <v>0</v>
      </c>
      <c r="L163" s="7">
        <v>3</v>
      </c>
      <c r="M163" s="7">
        <v>1090</v>
      </c>
      <c r="N163" s="7">
        <v>0</v>
      </c>
      <c r="O163" s="7">
        <v>5</v>
      </c>
      <c r="P163" s="7">
        <v>1095</v>
      </c>
      <c r="Q163" s="7">
        <v>0</v>
      </c>
      <c r="R163" s="7">
        <v>923</v>
      </c>
      <c r="S163" s="14">
        <f t="shared" si="4"/>
        <v>536</v>
      </c>
      <c r="T163" s="17">
        <f t="shared" si="5"/>
        <v>118.63488624052006</v>
      </c>
      <c r="U163" s="4"/>
    </row>
    <row r="164" spans="1:21">
      <c r="A164" s="8">
        <v>162</v>
      </c>
      <c r="B164" s="8">
        <v>162</v>
      </c>
      <c r="C164" s="8">
        <v>2</v>
      </c>
      <c r="D164" s="8">
        <v>209</v>
      </c>
      <c r="E164" s="8">
        <v>112</v>
      </c>
      <c r="F164" s="8">
        <v>0</v>
      </c>
      <c r="G164" s="8">
        <v>0</v>
      </c>
      <c r="H164" s="8">
        <v>2</v>
      </c>
      <c r="I164" s="8">
        <v>0</v>
      </c>
      <c r="J164" s="8">
        <v>1</v>
      </c>
      <c r="K164" s="8">
        <v>0</v>
      </c>
      <c r="L164" s="8">
        <v>1</v>
      </c>
      <c r="M164" s="8">
        <v>327</v>
      </c>
      <c r="N164" s="8">
        <v>0</v>
      </c>
      <c r="O164" s="8">
        <v>4</v>
      </c>
      <c r="P164" s="8">
        <v>331</v>
      </c>
      <c r="Q164" s="8">
        <v>0</v>
      </c>
      <c r="R164" s="8">
        <v>476</v>
      </c>
      <c r="S164" s="15">
        <f t="shared" si="4"/>
        <v>97</v>
      </c>
      <c r="T164" s="15">
        <f t="shared" si="5"/>
        <v>69.537815126050418</v>
      </c>
      <c r="U164" s="4"/>
    </row>
    <row r="165" spans="1:21">
      <c r="A165" s="8">
        <v>163</v>
      </c>
      <c r="B165" s="8">
        <v>163</v>
      </c>
      <c r="C165" s="8">
        <v>4</v>
      </c>
      <c r="D165" s="8">
        <v>395</v>
      </c>
      <c r="E165" s="8">
        <v>186</v>
      </c>
      <c r="F165" s="8">
        <v>1</v>
      </c>
      <c r="G165" s="8">
        <v>0</v>
      </c>
      <c r="H165" s="8">
        <v>0</v>
      </c>
      <c r="I165" s="8">
        <v>2</v>
      </c>
      <c r="J165" s="8">
        <v>1</v>
      </c>
      <c r="K165" s="8">
        <v>0</v>
      </c>
      <c r="L165" s="8">
        <v>1</v>
      </c>
      <c r="M165" s="8">
        <v>590</v>
      </c>
      <c r="N165" s="8">
        <v>0</v>
      </c>
      <c r="O165" s="8">
        <v>11</v>
      </c>
      <c r="P165" s="8">
        <v>601</v>
      </c>
      <c r="Q165" s="8">
        <v>0</v>
      </c>
      <c r="R165" s="8">
        <v>858</v>
      </c>
      <c r="S165" s="15">
        <f t="shared" si="4"/>
        <v>209</v>
      </c>
      <c r="T165" s="15">
        <f t="shared" si="5"/>
        <v>70.046620046620049</v>
      </c>
      <c r="U165" s="4"/>
    </row>
    <row r="166" spans="1:21">
      <c r="A166" s="8">
        <v>164</v>
      </c>
      <c r="B166" s="8">
        <v>164</v>
      </c>
      <c r="C166" s="8">
        <v>7</v>
      </c>
      <c r="D166" s="8">
        <v>570</v>
      </c>
      <c r="E166" s="8">
        <v>184</v>
      </c>
      <c r="F166" s="8">
        <v>1</v>
      </c>
      <c r="G166" s="8">
        <v>0</v>
      </c>
      <c r="H166" s="8">
        <v>0</v>
      </c>
      <c r="I166" s="8">
        <v>0</v>
      </c>
      <c r="J166" s="8">
        <v>1</v>
      </c>
      <c r="K166" s="8">
        <v>2</v>
      </c>
      <c r="L166" s="8">
        <v>2</v>
      </c>
      <c r="M166" s="8">
        <v>767</v>
      </c>
      <c r="N166" s="8">
        <v>0</v>
      </c>
      <c r="O166" s="8">
        <v>8</v>
      </c>
      <c r="P166" s="8">
        <v>775</v>
      </c>
      <c r="Q166" s="8">
        <v>0</v>
      </c>
      <c r="R166" s="8">
        <v>1156</v>
      </c>
      <c r="S166" s="15">
        <f t="shared" si="4"/>
        <v>386</v>
      </c>
      <c r="T166" s="15">
        <f t="shared" si="5"/>
        <v>67.041522491349482</v>
      </c>
      <c r="U166" s="4"/>
    </row>
    <row r="167" spans="1:21">
      <c r="A167" s="8">
        <v>165</v>
      </c>
      <c r="B167" s="8">
        <v>165</v>
      </c>
      <c r="C167" s="8">
        <v>0</v>
      </c>
      <c r="D167" s="8">
        <v>327</v>
      </c>
      <c r="E167" s="8">
        <v>217</v>
      </c>
      <c r="F167" s="8">
        <v>2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1</v>
      </c>
      <c r="M167" s="8">
        <v>547</v>
      </c>
      <c r="N167" s="8">
        <v>0</v>
      </c>
      <c r="O167" s="8">
        <v>5</v>
      </c>
      <c r="P167" s="8">
        <v>552</v>
      </c>
      <c r="Q167" s="8">
        <v>0</v>
      </c>
      <c r="R167" s="8">
        <v>852</v>
      </c>
      <c r="S167" s="15">
        <f t="shared" si="4"/>
        <v>110</v>
      </c>
      <c r="T167" s="15">
        <f t="shared" si="5"/>
        <v>64.788732394366207</v>
      </c>
      <c r="U167" s="4"/>
    </row>
    <row r="168" spans="1:21">
      <c r="A168" s="8">
        <v>166</v>
      </c>
      <c r="B168" s="8">
        <v>166</v>
      </c>
      <c r="C168" s="8">
        <v>2</v>
      </c>
      <c r="D168" s="8">
        <v>378</v>
      </c>
      <c r="E168" s="8">
        <v>226</v>
      </c>
      <c r="F168" s="8">
        <v>1</v>
      </c>
      <c r="G168" s="8">
        <v>0</v>
      </c>
      <c r="H168" s="8">
        <v>0</v>
      </c>
      <c r="I168" s="8">
        <v>1</v>
      </c>
      <c r="J168" s="8">
        <v>1</v>
      </c>
      <c r="K168" s="8">
        <v>3</v>
      </c>
      <c r="L168" s="8">
        <v>1</v>
      </c>
      <c r="M168" s="8">
        <v>613</v>
      </c>
      <c r="N168" s="8">
        <v>0</v>
      </c>
      <c r="O168" s="8">
        <v>5</v>
      </c>
      <c r="P168" s="8">
        <v>618</v>
      </c>
      <c r="Q168" s="8">
        <v>0</v>
      </c>
      <c r="R168" s="8">
        <v>855</v>
      </c>
      <c r="S168" s="15">
        <f t="shared" si="4"/>
        <v>152</v>
      </c>
      <c r="T168" s="15">
        <f t="shared" si="5"/>
        <v>72.280701754385973</v>
      </c>
      <c r="U168" s="4"/>
    </row>
    <row r="169" spans="1:21">
      <c r="A169" s="8">
        <v>167</v>
      </c>
      <c r="B169" s="8">
        <v>167</v>
      </c>
      <c r="C169" s="8">
        <v>1</v>
      </c>
      <c r="D169" s="8">
        <v>259</v>
      </c>
      <c r="E169" s="8">
        <v>241</v>
      </c>
      <c r="F169" s="8">
        <v>6</v>
      </c>
      <c r="G169" s="8">
        <v>0</v>
      </c>
      <c r="H169" s="8">
        <v>1</v>
      </c>
      <c r="I169" s="8">
        <v>0</v>
      </c>
      <c r="J169" s="8">
        <v>0</v>
      </c>
      <c r="K169" s="8">
        <v>0</v>
      </c>
      <c r="L169" s="8">
        <v>0</v>
      </c>
      <c r="M169" s="8">
        <v>508</v>
      </c>
      <c r="N169" s="8">
        <v>0</v>
      </c>
      <c r="O169" s="8">
        <v>7</v>
      </c>
      <c r="P169" s="8">
        <v>515</v>
      </c>
      <c r="Q169" s="8">
        <v>0</v>
      </c>
      <c r="R169" s="8">
        <v>722</v>
      </c>
      <c r="S169" s="15">
        <f t="shared" si="4"/>
        <v>18</v>
      </c>
      <c r="T169" s="15">
        <f t="shared" si="5"/>
        <v>71.32963988919667</v>
      </c>
      <c r="U169" s="4"/>
    </row>
    <row r="170" spans="1:21">
      <c r="A170" s="9">
        <v>168</v>
      </c>
      <c r="B170" s="12">
        <v>168</v>
      </c>
      <c r="C170" s="9">
        <v>8</v>
      </c>
      <c r="D170" s="9">
        <v>248</v>
      </c>
      <c r="E170" s="9">
        <v>317</v>
      </c>
      <c r="F170" s="9">
        <v>2</v>
      </c>
      <c r="G170" s="9">
        <v>0</v>
      </c>
      <c r="H170" s="9">
        <v>0</v>
      </c>
      <c r="I170" s="9">
        <v>1</v>
      </c>
      <c r="J170" s="9">
        <v>2</v>
      </c>
      <c r="K170" s="9">
        <v>0</v>
      </c>
      <c r="L170" s="9">
        <v>1</v>
      </c>
      <c r="M170" s="9">
        <v>579</v>
      </c>
      <c r="N170" s="9">
        <v>0</v>
      </c>
      <c r="O170" s="9">
        <v>7</v>
      </c>
      <c r="P170" s="9">
        <v>586</v>
      </c>
      <c r="Q170" s="9">
        <v>0</v>
      </c>
      <c r="R170" s="9">
        <v>747</v>
      </c>
      <c r="S170" s="16">
        <f t="shared" si="4"/>
        <v>69</v>
      </c>
      <c r="T170" s="16">
        <f t="shared" si="5"/>
        <v>78.447121820615791</v>
      </c>
      <c r="U170" s="4"/>
    </row>
    <row r="171" spans="1:21">
      <c r="A171" s="9">
        <v>169</v>
      </c>
      <c r="B171" s="9">
        <v>169</v>
      </c>
      <c r="C171" s="9">
        <v>4</v>
      </c>
      <c r="D171" s="9">
        <v>193</v>
      </c>
      <c r="E171" s="9">
        <v>500</v>
      </c>
      <c r="F171" s="9">
        <v>6</v>
      </c>
      <c r="G171" s="9">
        <v>0</v>
      </c>
      <c r="H171" s="9">
        <v>1</v>
      </c>
      <c r="I171" s="9">
        <v>1</v>
      </c>
      <c r="J171" s="9">
        <v>0</v>
      </c>
      <c r="K171" s="9">
        <v>3</v>
      </c>
      <c r="L171" s="9">
        <v>2</v>
      </c>
      <c r="M171" s="9">
        <v>710</v>
      </c>
      <c r="N171" s="9">
        <v>0</v>
      </c>
      <c r="O171" s="9">
        <v>2</v>
      </c>
      <c r="P171" s="9">
        <v>712</v>
      </c>
      <c r="Q171" s="9">
        <v>0</v>
      </c>
      <c r="R171" s="9">
        <v>1078</v>
      </c>
      <c r="S171" s="16">
        <f t="shared" si="4"/>
        <v>307</v>
      </c>
      <c r="T171" s="16">
        <f t="shared" si="5"/>
        <v>66.048237476808907</v>
      </c>
      <c r="U171" s="4"/>
    </row>
    <row r="172" spans="1:21">
      <c r="A172" s="9">
        <v>170</v>
      </c>
      <c r="B172" s="9">
        <v>170</v>
      </c>
      <c r="C172" s="9">
        <v>3</v>
      </c>
      <c r="D172" s="9">
        <v>278</v>
      </c>
      <c r="E172" s="9">
        <v>388</v>
      </c>
      <c r="F172" s="9">
        <v>5</v>
      </c>
      <c r="G172" s="9">
        <v>0</v>
      </c>
      <c r="H172" s="9">
        <v>0</v>
      </c>
      <c r="I172" s="9">
        <v>1</v>
      </c>
      <c r="J172" s="9">
        <v>0</v>
      </c>
      <c r="K172" s="9">
        <v>7</v>
      </c>
      <c r="L172" s="9">
        <v>0</v>
      </c>
      <c r="M172" s="9">
        <v>682</v>
      </c>
      <c r="N172" s="9">
        <v>0</v>
      </c>
      <c r="O172" s="9">
        <v>6</v>
      </c>
      <c r="P172" s="9">
        <v>688</v>
      </c>
      <c r="Q172" s="9">
        <v>0</v>
      </c>
      <c r="R172" s="9">
        <v>968</v>
      </c>
      <c r="S172" s="16">
        <f t="shared" si="4"/>
        <v>110</v>
      </c>
      <c r="T172" s="16">
        <f t="shared" si="5"/>
        <v>71.074380165289256</v>
      </c>
      <c r="U172" s="4"/>
    </row>
    <row r="173" spans="1:21">
      <c r="A173" s="8">
        <v>171</v>
      </c>
      <c r="B173" s="8">
        <v>171</v>
      </c>
      <c r="C173" s="8">
        <v>3</v>
      </c>
      <c r="D173" s="8">
        <v>366</v>
      </c>
      <c r="E173" s="8">
        <v>302</v>
      </c>
      <c r="F173" s="8">
        <v>1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3</v>
      </c>
      <c r="M173" s="8">
        <v>675</v>
      </c>
      <c r="N173" s="8">
        <v>0</v>
      </c>
      <c r="O173" s="8">
        <v>4</v>
      </c>
      <c r="P173" s="8">
        <v>679</v>
      </c>
      <c r="Q173" s="8">
        <v>0</v>
      </c>
      <c r="R173" s="8">
        <v>1113</v>
      </c>
      <c r="S173" s="15">
        <f t="shared" si="4"/>
        <v>64</v>
      </c>
      <c r="T173" s="15">
        <f t="shared" si="5"/>
        <v>61.0062893081761</v>
      </c>
      <c r="U173" s="4"/>
    </row>
    <row r="174" spans="1:21">
      <c r="A174" s="8">
        <v>172</v>
      </c>
      <c r="B174" s="8">
        <v>172</v>
      </c>
      <c r="C174" s="8">
        <v>2</v>
      </c>
      <c r="D174" s="8">
        <v>366</v>
      </c>
      <c r="E174" s="8">
        <v>174</v>
      </c>
      <c r="F174" s="8">
        <v>1</v>
      </c>
      <c r="G174" s="8">
        <v>0</v>
      </c>
      <c r="H174" s="8">
        <v>1</v>
      </c>
      <c r="I174" s="8">
        <v>0</v>
      </c>
      <c r="J174" s="8">
        <v>0</v>
      </c>
      <c r="K174" s="8">
        <v>1</v>
      </c>
      <c r="L174" s="8">
        <v>0</v>
      </c>
      <c r="M174" s="8">
        <v>545</v>
      </c>
      <c r="N174" s="8">
        <v>0</v>
      </c>
      <c r="O174" s="8">
        <v>15</v>
      </c>
      <c r="P174" s="8">
        <v>560</v>
      </c>
      <c r="Q174" s="8">
        <v>0</v>
      </c>
      <c r="R174" s="8">
        <v>793</v>
      </c>
      <c r="S174" s="15">
        <f t="shared" si="4"/>
        <v>192</v>
      </c>
      <c r="T174" s="15">
        <f t="shared" si="5"/>
        <v>70.617906683480456</v>
      </c>
      <c r="U174" s="4"/>
    </row>
    <row r="175" spans="1:21">
      <c r="A175" s="9">
        <v>173</v>
      </c>
      <c r="B175" s="9">
        <v>173</v>
      </c>
      <c r="C175" s="9">
        <v>3</v>
      </c>
      <c r="D175" s="9">
        <v>300</v>
      </c>
      <c r="E175" s="9">
        <v>348</v>
      </c>
      <c r="F175" s="9">
        <v>2</v>
      </c>
      <c r="G175" s="9">
        <v>0</v>
      </c>
      <c r="H175" s="9">
        <v>0</v>
      </c>
      <c r="I175" s="9">
        <v>0</v>
      </c>
      <c r="J175" s="9">
        <v>1</v>
      </c>
      <c r="K175" s="9">
        <v>1</v>
      </c>
      <c r="L175" s="9">
        <v>1</v>
      </c>
      <c r="M175" s="9">
        <v>656</v>
      </c>
      <c r="N175" s="9">
        <v>0</v>
      </c>
      <c r="O175" s="9">
        <v>6</v>
      </c>
      <c r="P175" s="9">
        <v>662</v>
      </c>
      <c r="Q175" s="9">
        <v>0</v>
      </c>
      <c r="R175" s="9">
        <v>850</v>
      </c>
      <c r="S175" s="16">
        <f t="shared" si="4"/>
        <v>48</v>
      </c>
      <c r="T175" s="16">
        <f t="shared" si="5"/>
        <v>77.882352941176464</v>
      </c>
      <c r="U175" s="4"/>
    </row>
    <row r="176" spans="1:21">
      <c r="A176" s="9">
        <v>174</v>
      </c>
      <c r="B176" s="9">
        <v>174</v>
      </c>
      <c r="C176" s="9">
        <v>0</v>
      </c>
      <c r="D176" s="9">
        <v>176</v>
      </c>
      <c r="E176" s="9">
        <v>195</v>
      </c>
      <c r="F176" s="9">
        <v>1</v>
      </c>
      <c r="G176" s="9">
        <v>0</v>
      </c>
      <c r="H176" s="9">
        <v>0</v>
      </c>
      <c r="I176" s="9">
        <v>1</v>
      </c>
      <c r="J176" s="9">
        <v>0</v>
      </c>
      <c r="K176" s="9">
        <v>1</v>
      </c>
      <c r="L176" s="9">
        <v>0</v>
      </c>
      <c r="M176" s="9">
        <v>374</v>
      </c>
      <c r="N176" s="9">
        <v>0</v>
      </c>
      <c r="O176" s="9">
        <v>3</v>
      </c>
      <c r="P176" s="9">
        <v>377</v>
      </c>
      <c r="Q176" s="9">
        <v>0</v>
      </c>
      <c r="R176" s="9">
        <v>498</v>
      </c>
      <c r="S176" s="16">
        <f t="shared" si="4"/>
        <v>19</v>
      </c>
      <c r="T176" s="16">
        <f t="shared" si="5"/>
        <v>75.702811244979912</v>
      </c>
      <c r="U176" s="4"/>
    </row>
    <row r="177" spans="1:21">
      <c r="A177" s="9">
        <v>175</v>
      </c>
      <c r="B177" s="9">
        <v>175</v>
      </c>
      <c r="C177" s="9">
        <v>2</v>
      </c>
      <c r="D177" s="9">
        <v>236</v>
      </c>
      <c r="E177" s="9">
        <v>305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3</v>
      </c>
      <c r="L177" s="9">
        <v>3</v>
      </c>
      <c r="M177" s="9">
        <v>549</v>
      </c>
      <c r="N177" s="9">
        <v>0</v>
      </c>
      <c r="O177" s="9">
        <v>12</v>
      </c>
      <c r="P177" s="9">
        <v>561</v>
      </c>
      <c r="Q177" s="9">
        <v>0</v>
      </c>
      <c r="R177" s="9">
        <v>804</v>
      </c>
      <c r="S177" s="16">
        <f t="shared" si="4"/>
        <v>69</v>
      </c>
      <c r="T177" s="16">
        <f t="shared" si="5"/>
        <v>69.776119402985074</v>
      </c>
      <c r="U177" s="4"/>
    </row>
    <row r="178" spans="1:21">
      <c r="A178" s="8">
        <v>176</v>
      </c>
      <c r="B178" s="8">
        <v>176</v>
      </c>
      <c r="C178" s="8">
        <v>3</v>
      </c>
      <c r="D178" s="8">
        <v>133</v>
      </c>
      <c r="E178" s="8">
        <v>120</v>
      </c>
      <c r="F178" s="8">
        <v>1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257</v>
      </c>
      <c r="N178" s="8">
        <v>0</v>
      </c>
      <c r="O178" s="8">
        <v>2</v>
      </c>
      <c r="P178" s="8">
        <v>259</v>
      </c>
      <c r="Q178" s="8">
        <v>0</v>
      </c>
      <c r="R178" s="8">
        <v>377</v>
      </c>
      <c r="S178" s="15">
        <f t="shared" si="4"/>
        <v>13</v>
      </c>
      <c r="T178" s="15">
        <f t="shared" si="5"/>
        <v>68.700265251989393</v>
      </c>
      <c r="U178" s="4"/>
    </row>
    <row r="179" spans="1:21">
      <c r="A179" s="9">
        <v>177</v>
      </c>
      <c r="B179" s="9">
        <v>177</v>
      </c>
      <c r="C179" s="9">
        <v>2</v>
      </c>
      <c r="D179" s="9">
        <v>201</v>
      </c>
      <c r="E179" s="9">
        <v>253</v>
      </c>
      <c r="F179" s="9">
        <v>0</v>
      </c>
      <c r="G179" s="9">
        <v>0</v>
      </c>
      <c r="H179" s="9">
        <v>0</v>
      </c>
      <c r="I179" s="9">
        <v>0</v>
      </c>
      <c r="J179" s="9">
        <v>1</v>
      </c>
      <c r="K179" s="9">
        <v>0</v>
      </c>
      <c r="L179" s="9">
        <v>0</v>
      </c>
      <c r="M179" s="9">
        <v>457</v>
      </c>
      <c r="N179" s="9">
        <v>0</v>
      </c>
      <c r="O179" s="9">
        <v>3</v>
      </c>
      <c r="P179" s="9">
        <v>460</v>
      </c>
      <c r="Q179" s="9">
        <v>0</v>
      </c>
      <c r="R179" s="9">
        <v>598</v>
      </c>
      <c r="S179" s="16">
        <f t="shared" si="4"/>
        <v>52</v>
      </c>
      <c r="T179" s="16">
        <f t="shared" si="5"/>
        <v>76.923076923076934</v>
      </c>
      <c r="U179" s="4"/>
    </row>
    <row r="180" spans="1:21">
      <c r="A180" s="8">
        <v>178</v>
      </c>
      <c r="B180" s="8">
        <v>178</v>
      </c>
      <c r="C180" s="8">
        <v>5</v>
      </c>
      <c r="D180" s="8">
        <v>358</v>
      </c>
      <c r="E180" s="8">
        <v>348</v>
      </c>
      <c r="F180" s="8">
        <v>0</v>
      </c>
      <c r="G180" s="8">
        <v>0</v>
      </c>
      <c r="H180" s="8">
        <v>3</v>
      </c>
      <c r="I180" s="8">
        <v>1</v>
      </c>
      <c r="J180" s="8">
        <v>0</v>
      </c>
      <c r="K180" s="8">
        <v>1</v>
      </c>
      <c r="L180" s="8">
        <v>1</v>
      </c>
      <c r="M180" s="8">
        <v>717</v>
      </c>
      <c r="N180" s="8">
        <v>0</v>
      </c>
      <c r="O180" s="8">
        <v>3</v>
      </c>
      <c r="P180" s="8">
        <v>720</v>
      </c>
      <c r="Q180" s="8">
        <v>0</v>
      </c>
      <c r="R180" s="8">
        <v>1176</v>
      </c>
      <c r="S180" s="15">
        <f t="shared" si="4"/>
        <v>10</v>
      </c>
      <c r="T180" s="15">
        <f t="shared" si="5"/>
        <v>61.224489795918366</v>
      </c>
      <c r="U180" s="4"/>
    </row>
    <row r="181" spans="1:21">
      <c r="A181" s="9">
        <v>179</v>
      </c>
      <c r="B181" s="9">
        <v>179</v>
      </c>
      <c r="C181" s="9">
        <v>0</v>
      </c>
      <c r="D181" s="9">
        <v>259</v>
      </c>
      <c r="E181" s="9">
        <v>351</v>
      </c>
      <c r="F181" s="9">
        <v>1</v>
      </c>
      <c r="G181" s="9">
        <v>0</v>
      </c>
      <c r="H181" s="9">
        <v>0</v>
      </c>
      <c r="I181" s="9">
        <v>0</v>
      </c>
      <c r="J181" s="9">
        <v>0</v>
      </c>
      <c r="K181" s="9">
        <v>1</v>
      </c>
      <c r="L181" s="9">
        <v>0</v>
      </c>
      <c r="M181" s="9">
        <v>612</v>
      </c>
      <c r="N181" s="9">
        <v>0</v>
      </c>
      <c r="O181" s="9">
        <v>19</v>
      </c>
      <c r="P181" s="9">
        <v>631</v>
      </c>
      <c r="Q181" s="9">
        <v>0</v>
      </c>
      <c r="R181" s="9">
        <v>1009</v>
      </c>
      <c r="S181" s="16">
        <f t="shared" si="4"/>
        <v>92</v>
      </c>
      <c r="T181" s="16">
        <f t="shared" si="5"/>
        <v>62.537165510406346</v>
      </c>
      <c r="U181" s="4"/>
    </row>
    <row r="182" spans="1:21">
      <c r="A182" s="9">
        <v>180</v>
      </c>
      <c r="B182" s="9">
        <v>180</v>
      </c>
      <c r="C182" s="9">
        <v>0</v>
      </c>
      <c r="D182" s="9">
        <v>215</v>
      </c>
      <c r="E182" s="9">
        <v>308</v>
      </c>
      <c r="F182" s="9">
        <v>1</v>
      </c>
      <c r="G182" s="9">
        <v>0</v>
      </c>
      <c r="H182" s="9">
        <v>0</v>
      </c>
      <c r="I182" s="9">
        <v>0</v>
      </c>
      <c r="J182" s="9">
        <v>0</v>
      </c>
      <c r="K182" s="9">
        <v>1</v>
      </c>
      <c r="L182" s="9">
        <v>0</v>
      </c>
      <c r="M182" s="9">
        <v>525</v>
      </c>
      <c r="N182" s="9">
        <v>0</v>
      </c>
      <c r="O182" s="9">
        <v>7</v>
      </c>
      <c r="P182" s="9">
        <v>532</v>
      </c>
      <c r="Q182" s="9">
        <v>0</v>
      </c>
      <c r="R182" s="9">
        <v>802</v>
      </c>
      <c r="S182" s="16">
        <f t="shared" si="4"/>
        <v>93</v>
      </c>
      <c r="T182" s="16">
        <f t="shared" si="5"/>
        <v>66.334164588528679</v>
      </c>
      <c r="U182" s="4"/>
    </row>
    <row r="183" spans="1:21">
      <c r="A183" s="8">
        <v>181</v>
      </c>
      <c r="B183" s="8">
        <v>181</v>
      </c>
      <c r="C183" s="8">
        <v>1</v>
      </c>
      <c r="D183" s="8">
        <v>384</v>
      </c>
      <c r="E183" s="8">
        <v>364</v>
      </c>
      <c r="F183" s="8">
        <v>3</v>
      </c>
      <c r="G183" s="8">
        <v>2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754</v>
      </c>
      <c r="N183" s="8">
        <v>0</v>
      </c>
      <c r="O183" s="8">
        <v>7</v>
      </c>
      <c r="P183" s="8">
        <v>761</v>
      </c>
      <c r="Q183" s="8">
        <v>0</v>
      </c>
      <c r="R183" s="8">
        <v>1101</v>
      </c>
      <c r="S183" s="15">
        <f t="shared" si="4"/>
        <v>20</v>
      </c>
      <c r="T183" s="15">
        <f t="shared" si="5"/>
        <v>69.118982742960938</v>
      </c>
      <c r="U183" s="4"/>
    </row>
    <row r="184" spans="1:21">
      <c r="A184" s="8">
        <v>182</v>
      </c>
      <c r="B184" s="8">
        <v>182</v>
      </c>
      <c r="C184" s="8">
        <v>4</v>
      </c>
      <c r="D184" s="8">
        <v>399</v>
      </c>
      <c r="E184" s="8">
        <v>357</v>
      </c>
      <c r="F184" s="8">
        <v>2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762</v>
      </c>
      <c r="N184" s="8">
        <v>0</v>
      </c>
      <c r="O184" s="8">
        <v>11</v>
      </c>
      <c r="P184" s="8">
        <v>773</v>
      </c>
      <c r="Q184" s="8">
        <v>0</v>
      </c>
      <c r="R184" s="8">
        <v>1030</v>
      </c>
      <c r="S184" s="15">
        <f t="shared" si="4"/>
        <v>42</v>
      </c>
      <c r="T184" s="15">
        <f t="shared" si="5"/>
        <v>75.048543689320397</v>
      </c>
      <c r="U184" s="4"/>
    </row>
    <row r="185" spans="1:21">
      <c r="A185" s="8">
        <v>183</v>
      </c>
      <c r="B185" s="8">
        <v>183</v>
      </c>
      <c r="C185" s="8">
        <v>4</v>
      </c>
      <c r="D185" s="8">
        <v>487</v>
      </c>
      <c r="E185" s="8">
        <v>174</v>
      </c>
      <c r="F185" s="8">
        <v>0</v>
      </c>
      <c r="G185" s="8">
        <v>0</v>
      </c>
      <c r="H185" s="8">
        <v>1</v>
      </c>
      <c r="I185" s="8">
        <v>1</v>
      </c>
      <c r="J185" s="8">
        <v>1</v>
      </c>
      <c r="K185" s="8">
        <v>0</v>
      </c>
      <c r="L185" s="8">
        <v>1</v>
      </c>
      <c r="M185" s="8">
        <v>669</v>
      </c>
      <c r="N185" s="8">
        <v>0</v>
      </c>
      <c r="O185" s="8">
        <v>8</v>
      </c>
      <c r="P185" s="8">
        <v>677</v>
      </c>
      <c r="Q185" s="8">
        <v>0</v>
      </c>
      <c r="R185" s="8">
        <v>1036</v>
      </c>
      <c r="S185" s="15">
        <f t="shared" si="4"/>
        <v>313</v>
      </c>
      <c r="T185" s="15">
        <f t="shared" si="5"/>
        <v>65.34749034749035</v>
      </c>
      <c r="U185" s="4"/>
    </row>
    <row r="186" spans="1:21">
      <c r="A186" s="8">
        <v>184</v>
      </c>
      <c r="B186" s="8">
        <v>184</v>
      </c>
      <c r="C186" s="8">
        <v>3</v>
      </c>
      <c r="D186" s="8">
        <v>438</v>
      </c>
      <c r="E186" s="8">
        <v>223</v>
      </c>
      <c r="F186" s="8">
        <v>3</v>
      </c>
      <c r="G186" s="8">
        <v>0</v>
      </c>
      <c r="H186" s="8">
        <v>0</v>
      </c>
      <c r="I186" s="8">
        <v>0</v>
      </c>
      <c r="J186" s="8">
        <v>0</v>
      </c>
      <c r="K186" s="8">
        <v>2</v>
      </c>
      <c r="L186" s="8">
        <v>1</v>
      </c>
      <c r="M186" s="8">
        <v>670</v>
      </c>
      <c r="N186" s="8">
        <v>0</v>
      </c>
      <c r="O186" s="8">
        <v>1</v>
      </c>
      <c r="P186" s="8">
        <v>671</v>
      </c>
      <c r="Q186" s="8">
        <v>0</v>
      </c>
      <c r="R186" s="8">
        <v>973</v>
      </c>
      <c r="S186" s="15">
        <f t="shared" si="4"/>
        <v>215</v>
      </c>
      <c r="T186" s="15">
        <f t="shared" si="5"/>
        <v>68.961973278520034</v>
      </c>
      <c r="U186" s="4"/>
    </row>
    <row r="187" spans="1:21">
      <c r="A187" s="8">
        <v>185</v>
      </c>
      <c r="B187" s="8">
        <v>185</v>
      </c>
      <c r="C187" s="8">
        <v>2</v>
      </c>
      <c r="D187" s="8">
        <v>337</v>
      </c>
      <c r="E187" s="8">
        <v>134</v>
      </c>
      <c r="F187" s="8">
        <v>1</v>
      </c>
      <c r="G187" s="8">
        <v>0</v>
      </c>
      <c r="H187" s="8">
        <v>0</v>
      </c>
      <c r="I187" s="8">
        <v>1</v>
      </c>
      <c r="J187" s="8">
        <v>0</v>
      </c>
      <c r="K187" s="8">
        <v>0</v>
      </c>
      <c r="L187" s="8">
        <v>1</v>
      </c>
      <c r="M187" s="8">
        <v>476</v>
      </c>
      <c r="N187" s="8">
        <v>0</v>
      </c>
      <c r="O187" s="8">
        <v>0</v>
      </c>
      <c r="P187" s="8">
        <v>476</v>
      </c>
      <c r="Q187" s="8">
        <v>0</v>
      </c>
      <c r="R187" s="8">
        <v>754</v>
      </c>
      <c r="S187" s="15">
        <f t="shared" si="4"/>
        <v>203</v>
      </c>
      <c r="T187" s="15">
        <f t="shared" si="5"/>
        <v>63.129973474801062</v>
      </c>
      <c r="U187" s="4"/>
    </row>
    <row r="188" spans="1:21">
      <c r="A188" s="8">
        <v>186</v>
      </c>
      <c r="B188" s="8">
        <v>186</v>
      </c>
      <c r="C188" s="8">
        <v>1</v>
      </c>
      <c r="D188" s="8">
        <v>305</v>
      </c>
      <c r="E188" s="8">
        <v>108</v>
      </c>
      <c r="F188" s="8">
        <v>1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1</v>
      </c>
      <c r="M188" s="8">
        <v>416</v>
      </c>
      <c r="N188" s="8">
        <v>0</v>
      </c>
      <c r="O188" s="8">
        <v>4</v>
      </c>
      <c r="P188" s="8">
        <v>420</v>
      </c>
      <c r="Q188" s="8">
        <v>0</v>
      </c>
      <c r="R188" s="8">
        <v>596</v>
      </c>
      <c r="S188" s="15">
        <f t="shared" si="4"/>
        <v>197</v>
      </c>
      <c r="T188" s="15">
        <f t="shared" si="5"/>
        <v>70.469798657718115</v>
      </c>
      <c r="U188" s="4"/>
    </row>
    <row r="189" spans="1:21">
      <c r="A189" s="8">
        <v>187</v>
      </c>
      <c r="B189" s="8">
        <v>187</v>
      </c>
      <c r="C189" s="8">
        <v>14</v>
      </c>
      <c r="D189" s="8">
        <v>386</v>
      </c>
      <c r="E189" s="8">
        <v>242</v>
      </c>
      <c r="F189" s="8">
        <v>1</v>
      </c>
      <c r="G189" s="8">
        <v>1</v>
      </c>
      <c r="H189" s="8">
        <v>0</v>
      </c>
      <c r="I189" s="8">
        <v>1</v>
      </c>
      <c r="J189" s="8">
        <v>0</v>
      </c>
      <c r="K189" s="8">
        <v>1</v>
      </c>
      <c r="L189" s="8">
        <v>0</v>
      </c>
      <c r="M189" s="8">
        <v>646</v>
      </c>
      <c r="N189" s="8">
        <v>0</v>
      </c>
      <c r="O189" s="8">
        <v>2</v>
      </c>
      <c r="P189" s="8">
        <v>648</v>
      </c>
      <c r="Q189" s="8">
        <v>0</v>
      </c>
      <c r="R189" s="8">
        <v>912</v>
      </c>
      <c r="S189" s="15">
        <f t="shared" si="4"/>
        <v>144</v>
      </c>
      <c r="T189" s="15">
        <f t="shared" si="5"/>
        <v>71.05263157894737</v>
      </c>
      <c r="U189" s="4"/>
    </row>
    <row r="190" spans="1:21">
      <c r="A190" s="8">
        <v>188</v>
      </c>
      <c r="B190" s="8">
        <v>188</v>
      </c>
      <c r="C190" s="8">
        <v>8</v>
      </c>
      <c r="D190" s="8">
        <v>383</v>
      </c>
      <c r="E190" s="8">
        <v>256</v>
      </c>
      <c r="F190" s="8">
        <v>1</v>
      </c>
      <c r="G190" s="8">
        <v>0</v>
      </c>
      <c r="H190" s="8">
        <v>0</v>
      </c>
      <c r="I190" s="8">
        <v>0</v>
      </c>
      <c r="J190" s="8">
        <v>1</v>
      </c>
      <c r="K190" s="8">
        <v>0</v>
      </c>
      <c r="L190" s="8">
        <v>0</v>
      </c>
      <c r="M190" s="8">
        <v>649</v>
      </c>
      <c r="N190" s="8">
        <v>0</v>
      </c>
      <c r="O190" s="8">
        <v>7</v>
      </c>
      <c r="P190" s="8">
        <v>656</v>
      </c>
      <c r="Q190" s="8">
        <v>0</v>
      </c>
      <c r="R190" s="8">
        <v>959</v>
      </c>
      <c r="S190" s="15">
        <f t="shared" si="4"/>
        <v>127</v>
      </c>
      <c r="T190" s="15">
        <f t="shared" si="5"/>
        <v>68.404588112617319</v>
      </c>
      <c r="U190" s="4"/>
    </row>
    <row r="191" spans="1:21">
      <c r="A191" s="8">
        <v>189</v>
      </c>
      <c r="B191" s="8">
        <v>189</v>
      </c>
      <c r="C191" s="8">
        <v>2</v>
      </c>
      <c r="D191" s="8">
        <v>497</v>
      </c>
      <c r="E191" s="8">
        <v>234</v>
      </c>
      <c r="F191" s="8">
        <v>4</v>
      </c>
      <c r="G191" s="8">
        <v>0</v>
      </c>
      <c r="H191" s="8">
        <v>1</v>
      </c>
      <c r="I191" s="8">
        <v>0</v>
      </c>
      <c r="J191" s="8">
        <v>2</v>
      </c>
      <c r="K191" s="8">
        <v>3</v>
      </c>
      <c r="L191" s="8">
        <v>3</v>
      </c>
      <c r="M191" s="8">
        <v>746</v>
      </c>
      <c r="N191" s="8">
        <v>0</v>
      </c>
      <c r="O191" s="8">
        <v>9</v>
      </c>
      <c r="P191" s="8">
        <v>755</v>
      </c>
      <c r="Q191" s="8">
        <v>0</v>
      </c>
      <c r="R191" s="8">
        <v>974</v>
      </c>
      <c r="S191" s="15">
        <f t="shared" si="4"/>
        <v>263</v>
      </c>
      <c r="T191" s="15">
        <f t="shared" si="5"/>
        <v>77.515400410677614</v>
      </c>
      <c r="U191" s="4"/>
    </row>
    <row r="192" spans="1:21">
      <c r="A192" s="8">
        <v>190</v>
      </c>
      <c r="B192" s="8">
        <v>190</v>
      </c>
      <c r="C192" s="8">
        <v>2</v>
      </c>
      <c r="D192" s="8">
        <v>520</v>
      </c>
      <c r="E192" s="8">
        <v>310</v>
      </c>
      <c r="F192" s="8">
        <v>3</v>
      </c>
      <c r="G192" s="8">
        <v>1</v>
      </c>
      <c r="H192" s="8">
        <v>0</v>
      </c>
      <c r="I192" s="8">
        <v>0</v>
      </c>
      <c r="J192" s="8">
        <v>0</v>
      </c>
      <c r="K192" s="8">
        <v>1</v>
      </c>
      <c r="L192" s="8">
        <v>0</v>
      </c>
      <c r="M192" s="8">
        <v>837</v>
      </c>
      <c r="N192" s="8">
        <v>0</v>
      </c>
      <c r="O192" s="8">
        <v>7</v>
      </c>
      <c r="P192" s="8">
        <v>844</v>
      </c>
      <c r="Q192" s="8">
        <v>0</v>
      </c>
      <c r="R192" s="8">
        <v>1150</v>
      </c>
      <c r="S192" s="15">
        <f t="shared" si="4"/>
        <v>210</v>
      </c>
      <c r="T192" s="15">
        <f t="shared" si="5"/>
        <v>73.391304347826093</v>
      </c>
      <c r="U192" s="4"/>
    </row>
    <row r="193" spans="1:21">
      <c r="A193" s="8">
        <v>191</v>
      </c>
      <c r="B193" s="8">
        <v>191</v>
      </c>
      <c r="C193" s="8">
        <v>12</v>
      </c>
      <c r="D193" s="8">
        <v>560</v>
      </c>
      <c r="E193" s="8">
        <v>391</v>
      </c>
      <c r="F193" s="8">
        <v>4</v>
      </c>
      <c r="G193" s="8">
        <v>0</v>
      </c>
      <c r="H193" s="8">
        <v>0</v>
      </c>
      <c r="I193" s="8">
        <v>1</v>
      </c>
      <c r="J193" s="8">
        <v>3</v>
      </c>
      <c r="K193" s="8">
        <v>0</v>
      </c>
      <c r="L193" s="8">
        <v>2</v>
      </c>
      <c r="M193" s="8">
        <v>973</v>
      </c>
      <c r="N193" s="8">
        <v>0</v>
      </c>
      <c r="O193" s="8">
        <v>9</v>
      </c>
      <c r="P193" s="8">
        <v>982</v>
      </c>
      <c r="Q193" s="8">
        <v>0</v>
      </c>
      <c r="R193" s="8">
        <v>1267</v>
      </c>
      <c r="S193" s="15">
        <f t="shared" si="4"/>
        <v>169</v>
      </c>
      <c r="T193" s="15">
        <f t="shared" si="5"/>
        <v>77.505919494869772</v>
      </c>
      <c r="U193" s="4"/>
    </row>
    <row r="194" spans="1:21">
      <c r="A194" s="9">
        <v>192</v>
      </c>
      <c r="B194" s="9">
        <v>192</v>
      </c>
      <c r="C194" s="9">
        <v>11</v>
      </c>
      <c r="D194" s="9">
        <v>367</v>
      </c>
      <c r="E194" s="9">
        <v>380</v>
      </c>
      <c r="F194" s="9">
        <v>3</v>
      </c>
      <c r="G194" s="9">
        <v>0</v>
      </c>
      <c r="H194" s="9">
        <v>1</v>
      </c>
      <c r="I194" s="9">
        <v>0</v>
      </c>
      <c r="J194" s="9">
        <v>1</v>
      </c>
      <c r="K194" s="9">
        <v>3</v>
      </c>
      <c r="L194" s="9">
        <v>0</v>
      </c>
      <c r="M194" s="9">
        <v>766</v>
      </c>
      <c r="N194" s="9">
        <v>0</v>
      </c>
      <c r="O194" s="9">
        <v>2</v>
      </c>
      <c r="P194" s="9">
        <v>768</v>
      </c>
      <c r="Q194" s="9">
        <v>0</v>
      </c>
      <c r="R194" s="9">
        <v>1021</v>
      </c>
      <c r="S194" s="16">
        <f t="shared" si="4"/>
        <v>13</v>
      </c>
      <c r="T194" s="16">
        <f t="shared" si="5"/>
        <v>75.220372184133197</v>
      </c>
      <c r="U194" s="4"/>
    </row>
    <row r="195" spans="1:21">
      <c r="A195" s="8">
        <v>193</v>
      </c>
      <c r="B195" s="8">
        <v>193</v>
      </c>
      <c r="C195" s="8">
        <v>7</v>
      </c>
      <c r="D195" s="8">
        <v>442</v>
      </c>
      <c r="E195" s="8">
        <v>235</v>
      </c>
      <c r="F195" s="8">
        <v>3</v>
      </c>
      <c r="G195" s="8">
        <v>2</v>
      </c>
      <c r="H195" s="8">
        <v>0</v>
      </c>
      <c r="I195" s="8">
        <v>1</v>
      </c>
      <c r="J195" s="8">
        <v>0</v>
      </c>
      <c r="K195" s="8">
        <v>2</v>
      </c>
      <c r="L195" s="8">
        <v>4</v>
      </c>
      <c r="M195" s="8">
        <v>696</v>
      </c>
      <c r="N195" s="8">
        <v>0</v>
      </c>
      <c r="O195" s="8">
        <v>5</v>
      </c>
      <c r="P195" s="8">
        <v>701</v>
      </c>
      <c r="Q195" s="8">
        <v>0</v>
      </c>
      <c r="R195" s="8">
        <v>969</v>
      </c>
      <c r="S195" s="15">
        <f t="shared" ref="S195:S258" si="6">MAX(D195,E195)-MIN(D195,E195)</f>
        <v>207</v>
      </c>
      <c r="T195" s="15">
        <f t="shared" si="5"/>
        <v>72.342621259029926</v>
      </c>
      <c r="U195" s="4"/>
    </row>
    <row r="196" spans="1:21">
      <c r="A196" s="8">
        <v>194</v>
      </c>
      <c r="B196" s="8">
        <v>194</v>
      </c>
      <c r="C196" s="8">
        <v>2</v>
      </c>
      <c r="D196" s="8">
        <v>382</v>
      </c>
      <c r="E196" s="8">
        <v>285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1</v>
      </c>
      <c r="L196" s="8">
        <v>0</v>
      </c>
      <c r="M196" s="8">
        <v>670</v>
      </c>
      <c r="N196" s="8">
        <v>0</v>
      </c>
      <c r="O196" s="8">
        <v>14</v>
      </c>
      <c r="P196" s="8">
        <v>684</v>
      </c>
      <c r="Q196" s="8">
        <v>0</v>
      </c>
      <c r="R196" s="8">
        <v>987</v>
      </c>
      <c r="S196" s="15">
        <f t="shared" si="6"/>
        <v>97</v>
      </c>
      <c r="T196" s="15">
        <f t="shared" ref="T196:T259" si="7">(P196/R196)*100</f>
        <v>69.300911854103347</v>
      </c>
      <c r="U196" s="4"/>
    </row>
    <row r="197" spans="1:21">
      <c r="A197" s="8">
        <v>195</v>
      </c>
      <c r="B197" s="8">
        <v>195</v>
      </c>
      <c r="C197" s="8">
        <v>1</v>
      </c>
      <c r="D197" s="8">
        <v>127</v>
      </c>
      <c r="E197" s="8">
        <v>111</v>
      </c>
      <c r="F197" s="8">
        <v>0</v>
      </c>
      <c r="G197" s="8">
        <v>1</v>
      </c>
      <c r="H197" s="8">
        <v>0</v>
      </c>
      <c r="I197" s="8">
        <v>0</v>
      </c>
      <c r="J197" s="8">
        <v>0</v>
      </c>
      <c r="K197" s="8">
        <v>1</v>
      </c>
      <c r="L197" s="8">
        <v>0</v>
      </c>
      <c r="M197" s="8">
        <v>241</v>
      </c>
      <c r="N197" s="8">
        <v>0</v>
      </c>
      <c r="O197" s="8">
        <v>1</v>
      </c>
      <c r="P197" s="8">
        <v>242</v>
      </c>
      <c r="Q197" s="8">
        <v>0</v>
      </c>
      <c r="R197" s="8">
        <v>442</v>
      </c>
      <c r="S197" s="15">
        <f t="shared" si="6"/>
        <v>16</v>
      </c>
      <c r="T197" s="15">
        <f t="shared" si="7"/>
        <v>54.751131221719461</v>
      </c>
      <c r="U197" s="4"/>
    </row>
    <row r="198" spans="1:21">
      <c r="A198" s="8">
        <v>196</v>
      </c>
      <c r="B198" s="11">
        <v>196</v>
      </c>
      <c r="C198" s="8">
        <v>3</v>
      </c>
      <c r="D198" s="8">
        <v>492</v>
      </c>
      <c r="E198" s="8">
        <v>303</v>
      </c>
      <c r="F198" s="8">
        <v>3</v>
      </c>
      <c r="G198" s="8">
        <v>2</v>
      </c>
      <c r="H198" s="8">
        <v>2</v>
      </c>
      <c r="I198" s="8">
        <v>0</v>
      </c>
      <c r="J198" s="8">
        <v>2</v>
      </c>
      <c r="K198" s="8">
        <v>2</v>
      </c>
      <c r="L198" s="8">
        <v>0</v>
      </c>
      <c r="M198" s="8">
        <v>809</v>
      </c>
      <c r="N198" s="8">
        <v>0</v>
      </c>
      <c r="O198" s="8">
        <v>10</v>
      </c>
      <c r="P198" s="8">
        <v>819</v>
      </c>
      <c r="Q198" s="8">
        <v>0</v>
      </c>
      <c r="R198" s="8">
        <v>1226</v>
      </c>
      <c r="S198" s="15">
        <f t="shared" si="6"/>
        <v>189</v>
      </c>
      <c r="T198" s="15">
        <f t="shared" si="7"/>
        <v>66.80261011419249</v>
      </c>
      <c r="U198" s="4"/>
    </row>
    <row r="199" spans="1:21">
      <c r="A199" s="8">
        <v>197</v>
      </c>
      <c r="B199" s="8">
        <v>197</v>
      </c>
      <c r="C199" s="8">
        <v>4</v>
      </c>
      <c r="D199" s="8">
        <v>315</v>
      </c>
      <c r="E199" s="8">
        <v>229</v>
      </c>
      <c r="F199" s="8">
        <v>1</v>
      </c>
      <c r="G199" s="8">
        <v>0</v>
      </c>
      <c r="H199" s="8">
        <v>0</v>
      </c>
      <c r="I199" s="8">
        <v>1</v>
      </c>
      <c r="J199" s="8">
        <v>1</v>
      </c>
      <c r="K199" s="8">
        <v>0</v>
      </c>
      <c r="L199" s="8">
        <v>2</v>
      </c>
      <c r="M199" s="8">
        <v>553</v>
      </c>
      <c r="N199" s="8">
        <v>0</v>
      </c>
      <c r="O199" s="8">
        <v>5</v>
      </c>
      <c r="P199" s="8">
        <v>558</v>
      </c>
      <c r="Q199" s="8">
        <v>0</v>
      </c>
      <c r="R199" s="8">
        <v>832</v>
      </c>
      <c r="S199" s="15">
        <f t="shared" si="6"/>
        <v>86</v>
      </c>
      <c r="T199" s="15">
        <f t="shared" si="7"/>
        <v>67.067307692307693</v>
      </c>
      <c r="U199" s="4"/>
    </row>
    <row r="200" spans="1:21">
      <c r="A200" s="8">
        <v>198</v>
      </c>
      <c r="B200" s="8">
        <v>198</v>
      </c>
      <c r="C200" s="8">
        <v>1</v>
      </c>
      <c r="D200" s="8">
        <v>332</v>
      </c>
      <c r="E200" s="8">
        <v>218</v>
      </c>
      <c r="F200" s="8">
        <v>2</v>
      </c>
      <c r="G200" s="8">
        <v>1</v>
      </c>
      <c r="H200" s="8">
        <v>0</v>
      </c>
      <c r="I200" s="8">
        <v>1</v>
      </c>
      <c r="J200" s="8">
        <v>1</v>
      </c>
      <c r="K200" s="8">
        <v>6</v>
      </c>
      <c r="L200" s="8">
        <v>0</v>
      </c>
      <c r="M200" s="8">
        <v>562</v>
      </c>
      <c r="N200" s="8">
        <v>0</v>
      </c>
      <c r="O200" s="8">
        <v>9</v>
      </c>
      <c r="P200" s="8">
        <v>571</v>
      </c>
      <c r="Q200" s="8">
        <v>0</v>
      </c>
      <c r="R200" s="8">
        <v>766</v>
      </c>
      <c r="S200" s="15">
        <f t="shared" si="6"/>
        <v>114</v>
      </c>
      <c r="T200" s="15">
        <f t="shared" si="7"/>
        <v>74.543080939947785</v>
      </c>
      <c r="U200" s="4"/>
    </row>
    <row r="201" spans="1:21">
      <c r="A201" s="8">
        <v>199</v>
      </c>
      <c r="B201" s="8">
        <v>199</v>
      </c>
      <c r="C201" s="8">
        <v>2</v>
      </c>
      <c r="D201" s="8">
        <v>465</v>
      </c>
      <c r="E201" s="8">
        <v>327</v>
      </c>
      <c r="F201" s="8">
        <v>5</v>
      </c>
      <c r="G201" s="8">
        <v>0</v>
      </c>
      <c r="H201" s="8">
        <v>1</v>
      </c>
      <c r="I201" s="8">
        <v>0</v>
      </c>
      <c r="J201" s="8">
        <v>0</v>
      </c>
      <c r="K201" s="8">
        <v>1</v>
      </c>
      <c r="L201" s="8">
        <v>4</v>
      </c>
      <c r="M201" s="8">
        <v>805</v>
      </c>
      <c r="N201" s="8">
        <v>0</v>
      </c>
      <c r="O201" s="8">
        <v>10</v>
      </c>
      <c r="P201" s="8">
        <v>815</v>
      </c>
      <c r="Q201" s="8">
        <v>0</v>
      </c>
      <c r="R201" s="8">
        <v>1061</v>
      </c>
      <c r="S201" s="15">
        <f t="shared" si="6"/>
        <v>138</v>
      </c>
      <c r="T201" s="15">
        <f t="shared" si="7"/>
        <v>76.814326107445808</v>
      </c>
      <c r="U201" s="4"/>
    </row>
    <row r="202" spans="1:21">
      <c r="A202" s="8">
        <v>200</v>
      </c>
      <c r="B202" s="8">
        <v>200</v>
      </c>
      <c r="C202" s="8">
        <v>2</v>
      </c>
      <c r="D202" s="8">
        <v>409</v>
      </c>
      <c r="E202" s="8">
        <v>289</v>
      </c>
      <c r="F202" s="8">
        <v>2</v>
      </c>
      <c r="G202" s="8">
        <v>1</v>
      </c>
      <c r="H202" s="8">
        <v>1</v>
      </c>
      <c r="I202" s="8">
        <v>1</v>
      </c>
      <c r="J202" s="8">
        <v>2</v>
      </c>
      <c r="K202" s="8">
        <v>1</v>
      </c>
      <c r="L202" s="8">
        <v>2</v>
      </c>
      <c r="M202" s="8">
        <v>710</v>
      </c>
      <c r="N202" s="8">
        <v>0</v>
      </c>
      <c r="O202" s="8">
        <v>12</v>
      </c>
      <c r="P202" s="8">
        <v>722</v>
      </c>
      <c r="Q202" s="8">
        <v>0</v>
      </c>
      <c r="R202" s="8">
        <v>1224</v>
      </c>
      <c r="S202" s="15">
        <f t="shared" si="6"/>
        <v>120</v>
      </c>
      <c r="T202" s="15">
        <f t="shared" si="7"/>
        <v>58.986928104575163</v>
      </c>
      <c r="U202" s="4"/>
    </row>
    <row r="203" spans="1:21">
      <c r="A203" s="9">
        <v>201</v>
      </c>
      <c r="B203" s="9">
        <v>201</v>
      </c>
      <c r="C203" s="9">
        <v>4</v>
      </c>
      <c r="D203" s="9">
        <v>194</v>
      </c>
      <c r="E203" s="9">
        <v>243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1</v>
      </c>
      <c r="L203" s="9">
        <v>0</v>
      </c>
      <c r="M203" s="9">
        <v>442</v>
      </c>
      <c r="N203" s="9">
        <v>0</v>
      </c>
      <c r="O203" s="9">
        <v>1</v>
      </c>
      <c r="P203" s="9">
        <v>443</v>
      </c>
      <c r="Q203" s="9">
        <v>0</v>
      </c>
      <c r="R203" s="9">
        <v>716</v>
      </c>
      <c r="S203" s="16">
        <f t="shared" si="6"/>
        <v>49</v>
      </c>
      <c r="T203" s="16">
        <f t="shared" si="7"/>
        <v>61.871508379888276</v>
      </c>
      <c r="U203" s="4"/>
    </row>
    <row r="204" spans="1:21">
      <c r="A204" s="8">
        <v>202</v>
      </c>
      <c r="B204" s="8">
        <v>202</v>
      </c>
      <c r="C204" s="8">
        <v>2</v>
      </c>
      <c r="D204" s="8">
        <v>232</v>
      </c>
      <c r="E204" s="8">
        <v>164</v>
      </c>
      <c r="F204" s="8">
        <v>1</v>
      </c>
      <c r="G204" s="8">
        <v>0</v>
      </c>
      <c r="H204" s="8">
        <v>0</v>
      </c>
      <c r="I204" s="8">
        <v>0</v>
      </c>
      <c r="J204" s="8">
        <v>0</v>
      </c>
      <c r="K204" s="8">
        <v>10</v>
      </c>
      <c r="L204" s="8">
        <v>2</v>
      </c>
      <c r="M204" s="8">
        <v>411</v>
      </c>
      <c r="N204" s="8">
        <v>0</v>
      </c>
      <c r="O204" s="8">
        <v>5</v>
      </c>
      <c r="P204" s="8">
        <v>416</v>
      </c>
      <c r="Q204" s="8">
        <v>0</v>
      </c>
      <c r="R204" s="8">
        <v>689</v>
      </c>
      <c r="S204" s="15">
        <f t="shared" si="6"/>
        <v>68</v>
      </c>
      <c r="T204" s="15">
        <f t="shared" si="7"/>
        <v>60.377358490566039</v>
      </c>
      <c r="U204" s="4"/>
    </row>
    <row r="205" spans="1:21">
      <c r="A205" s="8">
        <v>203</v>
      </c>
      <c r="B205" s="8">
        <v>203</v>
      </c>
      <c r="C205" s="8">
        <v>3</v>
      </c>
      <c r="D205" s="8">
        <v>506</v>
      </c>
      <c r="E205" s="8">
        <v>264</v>
      </c>
      <c r="F205" s="8">
        <v>6</v>
      </c>
      <c r="G205" s="8">
        <v>0</v>
      </c>
      <c r="H205" s="8">
        <v>1</v>
      </c>
      <c r="I205" s="8">
        <v>1</v>
      </c>
      <c r="J205" s="8">
        <v>0</v>
      </c>
      <c r="K205" s="8">
        <v>4</v>
      </c>
      <c r="L205" s="8">
        <v>3</v>
      </c>
      <c r="M205" s="8">
        <v>788</v>
      </c>
      <c r="N205" s="8">
        <v>0</v>
      </c>
      <c r="O205" s="8">
        <v>5</v>
      </c>
      <c r="P205" s="8">
        <v>793</v>
      </c>
      <c r="Q205" s="8">
        <v>0</v>
      </c>
      <c r="R205" s="8">
        <v>1180</v>
      </c>
      <c r="S205" s="15">
        <f t="shared" si="6"/>
        <v>242</v>
      </c>
      <c r="T205" s="15">
        <f t="shared" si="7"/>
        <v>67.20338983050847</v>
      </c>
      <c r="U205" s="4"/>
    </row>
    <row r="206" spans="1:21">
      <c r="A206" s="8">
        <v>204</v>
      </c>
      <c r="B206" s="8">
        <v>204</v>
      </c>
      <c r="C206" s="8">
        <v>5</v>
      </c>
      <c r="D206" s="8">
        <v>621</v>
      </c>
      <c r="E206" s="8">
        <v>427</v>
      </c>
      <c r="F206" s="8">
        <v>1</v>
      </c>
      <c r="G206" s="8">
        <v>1</v>
      </c>
      <c r="H206" s="8">
        <v>0</v>
      </c>
      <c r="I206" s="8">
        <v>1</v>
      </c>
      <c r="J206" s="8">
        <v>1</v>
      </c>
      <c r="K206" s="8">
        <v>1</v>
      </c>
      <c r="L206" s="8">
        <v>0</v>
      </c>
      <c r="M206" s="8">
        <v>1058</v>
      </c>
      <c r="N206" s="8">
        <v>0</v>
      </c>
      <c r="O206" s="8">
        <v>6</v>
      </c>
      <c r="P206" s="8">
        <v>1064</v>
      </c>
      <c r="Q206" s="8">
        <v>0</v>
      </c>
      <c r="R206" s="8">
        <v>1485</v>
      </c>
      <c r="S206" s="15">
        <f t="shared" si="6"/>
        <v>194</v>
      </c>
      <c r="T206" s="15">
        <f t="shared" si="7"/>
        <v>71.649831649831654</v>
      </c>
      <c r="U206" s="4"/>
    </row>
    <row r="207" spans="1:21">
      <c r="A207" s="8">
        <v>205</v>
      </c>
      <c r="B207" s="8">
        <v>205</v>
      </c>
      <c r="C207" s="8">
        <v>10</v>
      </c>
      <c r="D207" s="8">
        <v>353</v>
      </c>
      <c r="E207" s="8">
        <v>186</v>
      </c>
      <c r="F207" s="8">
        <v>3</v>
      </c>
      <c r="G207" s="8">
        <v>0</v>
      </c>
      <c r="H207" s="8">
        <v>2</v>
      </c>
      <c r="I207" s="8">
        <v>0</v>
      </c>
      <c r="J207" s="8">
        <v>3</v>
      </c>
      <c r="K207" s="8">
        <v>1</v>
      </c>
      <c r="L207" s="8">
        <v>1</v>
      </c>
      <c r="M207" s="8">
        <v>559</v>
      </c>
      <c r="N207" s="8">
        <v>0</v>
      </c>
      <c r="O207" s="8">
        <v>6</v>
      </c>
      <c r="P207" s="8">
        <v>565</v>
      </c>
      <c r="Q207" s="8">
        <v>0</v>
      </c>
      <c r="R207" s="8">
        <v>821</v>
      </c>
      <c r="S207" s="15">
        <f t="shared" si="6"/>
        <v>167</v>
      </c>
      <c r="T207" s="15">
        <f t="shared" si="7"/>
        <v>68.818514007308167</v>
      </c>
      <c r="U207" s="4"/>
    </row>
    <row r="208" spans="1:21">
      <c r="A208" s="8">
        <v>206</v>
      </c>
      <c r="B208" s="8">
        <v>206</v>
      </c>
      <c r="C208" s="8">
        <v>4</v>
      </c>
      <c r="D208" s="8">
        <v>407</v>
      </c>
      <c r="E208" s="8">
        <v>259</v>
      </c>
      <c r="F208" s="8">
        <v>1</v>
      </c>
      <c r="G208" s="8">
        <v>2</v>
      </c>
      <c r="H208" s="8">
        <v>4</v>
      </c>
      <c r="I208" s="8">
        <v>0</v>
      </c>
      <c r="J208" s="8">
        <v>2</v>
      </c>
      <c r="K208" s="8">
        <v>1</v>
      </c>
      <c r="L208" s="8">
        <v>3</v>
      </c>
      <c r="M208" s="8">
        <v>683</v>
      </c>
      <c r="N208" s="8">
        <v>0</v>
      </c>
      <c r="O208" s="8">
        <v>6</v>
      </c>
      <c r="P208" s="8">
        <v>689</v>
      </c>
      <c r="Q208" s="8">
        <v>0</v>
      </c>
      <c r="R208" s="8">
        <v>937</v>
      </c>
      <c r="S208" s="15">
        <f t="shared" si="6"/>
        <v>148</v>
      </c>
      <c r="T208" s="15">
        <f t="shared" si="7"/>
        <v>73.532550693703314</v>
      </c>
      <c r="U208" s="4"/>
    </row>
    <row r="209" spans="1:21">
      <c r="A209" s="8">
        <v>207</v>
      </c>
      <c r="B209" s="8">
        <v>207</v>
      </c>
      <c r="C209" s="8">
        <v>2</v>
      </c>
      <c r="D209" s="8">
        <v>480</v>
      </c>
      <c r="E209" s="8">
        <v>260</v>
      </c>
      <c r="F209" s="8">
        <v>2</v>
      </c>
      <c r="G209" s="8">
        <v>1</v>
      </c>
      <c r="H209" s="8">
        <v>1</v>
      </c>
      <c r="I209" s="8">
        <v>0</v>
      </c>
      <c r="J209" s="8">
        <v>3</v>
      </c>
      <c r="K209" s="8">
        <v>1</v>
      </c>
      <c r="L209" s="8">
        <v>1</v>
      </c>
      <c r="M209" s="8">
        <v>751</v>
      </c>
      <c r="N209" s="8">
        <v>0</v>
      </c>
      <c r="O209" s="8">
        <v>8</v>
      </c>
      <c r="P209" s="8">
        <v>759</v>
      </c>
      <c r="Q209" s="8">
        <v>0</v>
      </c>
      <c r="R209" s="8">
        <v>1021</v>
      </c>
      <c r="S209" s="15">
        <f t="shared" si="6"/>
        <v>220</v>
      </c>
      <c r="T209" s="15">
        <f t="shared" si="7"/>
        <v>74.338883447600395</v>
      </c>
      <c r="U209" s="4"/>
    </row>
    <row r="210" spans="1:21">
      <c r="A210" s="8">
        <v>208</v>
      </c>
      <c r="B210" s="8">
        <v>208</v>
      </c>
      <c r="C210" s="8">
        <v>5</v>
      </c>
      <c r="D210" s="8">
        <v>490</v>
      </c>
      <c r="E210" s="8">
        <v>231</v>
      </c>
      <c r="F210" s="8">
        <v>1</v>
      </c>
      <c r="G210" s="8">
        <v>0</v>
      </c>
      <c r="H210" s="8">
        <v>0</v>
      </c>
      <c r="I210" s="8">
        <v>0</v>
      </c>
      <c r="J210" s="8">
        <v>0</v>
      </c>
      <c r="K210" s="8">
        <v>1</v>
      </c>
      <c r="L210" s="8">
        <v>0</v>
      </c>
      <c r="M210" s="8">
        <v>728</v>
      </c>
      <c r="N210" s="8">
        <v>0</v>
      </c>
      <c r="O210" s="8">
        <v>5</v>
      </c>
      <c r="P210" s="8">
        <v>733</v>
      </c>
      <c r="Q210" s="8">
        <v>0</v>
      </c>
      <c r="R210" s="8">
        <v>1131</v>
      </c>
      <c r="S210" s="15">
        <f t="shared" si="6"/>
        <v>259</v>
      </c>
      <c r="T210" s="15">
        <f t="shared" si="7"/>
        <v>64.809902740937218</v>
      </c>
      <c r="U210" s="4"/>
    </row>
    <row r="211" spans="1:21">
      <c r="A211" s="8">
        <v>209</v>
      </c>
      <c r="B211" s="8">
        <v>209</v>
      </c>
      <c r="C211" s="8">
        <v>3</v>
      </c>
      <c r="D211" s="8">
        <v>437</v>
      </c>
      <c r="E211" s="8">
        <v>298</v>
      </c>
      <c r="F211" s="8">
        <v>4</v>
      </c>
      <c r="G211" s="8">
        <v>0</v>
      </c>
      <c r="H211" s="8">
        <v>1</v>
      </c>
      <c r="I211" s="8">
        <v>0</v>
      </c>
      <c r="J211" s="8">
        <v>3</v>
      </c>
      <c r="K211" s="8">
        <v>2</v>
      </c>
      <c r="L211" s="8">
        <v>1</v>
      </c>
      <c r="M211" s="8">
        <v>749</v>
      </c>
      <c r="N211" s="8">
        <v>0</v>
      </c>
      <c r="O211" s="8">
        <v>8</v>
      </c>
      <c r="P211" s="8">
        <v>757</v>
      </c>
      <c r="Q211" s="8">
        <v>0</v>
      </c>
      <c r="R211" s="8">
        <v>1286</v>
      </c>
      <c r="S211" s="15">
        <f t="shared" si="6"/>
        <v>139</v>
      </c>
      <c r="T211" s="15">
        <f t="shared" si="7"/>
        <v>58.864696734059095</v>
      </c>
      <c r="U211" s="4"/>
    </row>
    <row r="212" spans="1:21">
      <c r="A212" s="8">
        <v>210</v>
      </c>
      <c r="B212" s="8">
        <v>210</v>
      </c>
      <c r="C212" s="8">
        <v>5</v>
      </c>
      <c r="D212" s="8">
        <v>419</v>
      </c>
      <c r="E212" s="8">
        <v>295</v>
      </c>
      <c r="F212" s="8">
        <v>4</v>
      </c>
      <c r="G212" s="8">
        <v>0</v>
      </c>
      <c r="H212" s="8">
        <v>2</v>
      </c>
      <c r="I212" s="8">
        <v>0</v>
      </c>
      <c r="J212" s="8">
        <v>1</v>
      </c>
      <c r="K212" s="8">
        <v>1</v>
      </c>
      <c r="L212" s="8">
        <v>0</v>
      </c>
      <c r="M212" s="8">
        <v>727</v>
      </c>
      <c r="N212" s="8">
        <v>0</v>
      </c>
      <c r="O212" s="8">
        <v>4</v>
      </c>
      <c r="P212" s="8">
        <v>731</v>
      </c>
      <c r="Q212" s="8">
        <v>0</v>
      </c>
      <c r="R212" s="8">
        <v>1128</v>
      </c>
      <c r="S212" s="15">
        <f t="shared" si="6"/>
        <v>124</v>
      </c>
      <c r="T212" s="15">
        <f t="shared" si="7"/>
        <v>64.804964539007088</v>
      </c>
      <c r="U212" s="4"/>
    </row>
    <row r="213" spans="1:21">
      <c r="A213" s="8">
        <v>211</v>
      </c>
      <c r="B213" s="8">
        <v>211</v>
      </c>
      <c r="C213" s="8">
        <v>10</v>
      </c>
      <c r="D213" s="8">
        <v>313</v>
      </c>
      <c r="E213" s="8">
        <v>169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1</v>
      </c>
      <c r="L213" s="8">
        <v>1</v>
      </c>
      <c r="M213" s="8">
        <v>494</v>
      </c>
      <c r="N213" s="8">
        <v>0</v>
      </c>
      <c r="O213" s="8">
        <v>9</v>
      </c>
      <c r="P213" s="8">
        <v>503</v>
      </c>
      <c r="Q213" s="8">
        <v>0</v>
      </c>
      <c r="R213" s="8">
        <v>767</v>
      </c>
      <c r="S213" s="15">
        <f t="shared" si="6"/>
        <v>144</v>
      </c>
      <c r="T213" s="15">
        <f t="shared" si="7"/>
        <v>65.580182529335076</v>
      </c>
      <c r="U213" s="4"/>
    </row>
    <row r="214" spans="1:21">
      <c r="A214" s="8">
        <v>212</v>
      </c>
      <c r="B214" s="8">
        <v>212</v>
      </c>
      <c r="C214" s="8">
        <v>0</v>
      </c>
      <c r="D214" s="8">
        <v>281</v>
      </c>
      <c r="E214" s="8">
        <v>215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2</v>
      </c>
      <c r="L214" s="8">
        <v>0</v>
      </c>
      <c r="M214" s="8">
        <v>498</v>
      </c>
      <c r="N214" s="8">
        <v>0</v>
      </c>
      <c r="O214" s="8">
        <v>2</v>
      </c>
      <c r="P214" s="8">
        <v>500</v>
      </c>
      <c r="Q214" s="8">
        <v>0</v>
      </c>
      <c r="R214" s="8">
        <v>807</v>
      </c>
      <c r="S214" s="15">
        <f t="shared" si="6"/>
        <v>66</v>
      </c>
      <c r="T214" s="15">
        <f t="shared" si="7"/>
        <v>61.957868649318456</v>
      </c>
      <c r="U214" s="4"/>
    </row>
    <row r="215" spans="1:21">
      <c r="A215" s="8">
        <v>213</v>
      </c>
      <c r="B215" s="8">
        <v>213</v>
      </c>
      <c r="C215" s="8">
        <v>1</v>
      </c>
      <c r="D215" s="8">
        <v>314</v>
      </c>
      <c r="E215" s="8">
        <v>269</v>
      </c>
      <c r="F215" s="8">
        <v>3</v>
      </c>
      <c r="G215" s="8">
        <v>0</v>
      </c>
      <c r="H215" s="8">
        <v>0</v>
      </c>
      <c r="I215" s="8">
        <v>0</v>
      </c>
      <c r="J215" s="8">
        <v>0</v>
      </c>
      <c r="K215" s="8">
        <v>1</v>
      </c>
      <c r="L215" s="8">
        <v>0</v>
      </c>
      <c r="M215" s="8">
        <v>588</v>
      </c>
      <c r="N215" s="8">
        <v>0</v>
      </c>
      <c r="O215" s="8">
        <v>2</v>
      </c>
      <c r="P215" s="8">
        <v>590</v>
      </c>
      <c r="Q215" s="8">
        <v>0</v>
      </c>
      <c r="R215" s="8">
        <v>837</v>
      </c>
      <c r="S215" s="15">
        <f t="shared" si="6"/>
        <v>45</v>
      </c>
      <c r="T215" s="15">
        <f t="shared" si="7"/>
        <v>70.489844683393059</v>
      </c>
      <c r="U215" s="4"/>
    </row>
    <row r="216" spans="1:21">
      <c r="A216" s="9">
        <v>214</v>
      </c>
      <c r="B216" s="9">
        <v>214</v>
      </c>
      <c r="C216" s="9">
        <v>0</v>
      </c>
      <c r="D216" s="9">
        <v>319</v>
      </c>
      <c r="E216" s="9">
        <v>380</v>
      </c>
      <c r="F216" s="9">
        <v>1</v>
      </c>
      <c r="G216" s="9">
        <v>0</v>
      </c>
      <c r="H216" s="9">
        <v>0</v>
      </c>
      <c r="I216" s="9">
        <v>0</v>
      </c>
      <c r="J216" s="9">
        <v>3</v>
      </c>
      <c r="K216" s="9">
        <v>2</v>
      </c>
      <c r="L216" s="9">
        <v>0</v>
      </c>
      <c r="M216" s="9">
        <v>705</v>
      </c>
      <c r="N216" s="9">
        <v>0</v>
      </c>
      <c r="O216" s="9">
        <v>3</v>
      </c>
      <c r="P216" s="9">
        <v>708</v>
      </c>
      <c r="Q216" s="9">
        <v>0</v>
      </c>
      <c r="R216" s="9">
        <v>964</v>
      </c>
      <c r="S216" s="16">
        <f t="shared" si="6"/>
        <v>61</v>
      </c>
      <c r="T216" s="16">
        <f t="shared" si="7"/>
        <v>73.443983402489636</v>
      </c>
      <c r="U216" s="4"/>
    </row>
    <row r="217" spans="1:21">
      <c r="A217" s="8">
        <v>215</v>
      </c>
      <c r="B217" s="8">
        <v>215</v>
      </c>
      <c r="C217" s="8">
        <v>2</v>
      </c>
      <c r="D217" s="8">
        <v>279</v>
      </c>
      <c r="E217" s="8">
        <v>258</v>
      </c>
      <c r="F217" s="8">
        <v>0</v>
      </c>
      <c r="G217" s="8">
        <v>0</v>
      </c>
      <c r="H217" s="8">
        <v>1</v>
      </c>
      <c r="I217" s="8">
        <v>0</v>
      </c>
      <c r="J217" s="8">
        <v>0</v>
      </c>
      <c r="K217" s="8">
        <v>0</v>
      </c>
      <c r="L217" s="8">
        <v>0</v>
      </c>
      <c r="M217" s="8">
        <v>540</v>
      </c>
      <c r="N217" s="8">
        <v>0</v>
      </c>
      <c r="O217" s="8">
        <v>15</v>
      </c>
      <c r="P217" s="8">
        <v>555</v>
      </c>
      <c r="Q217" s="8">
        <v>0</v>
      </c>
      <c r="R217" s="8">
        <v>769</v>
      </c>
      <c r="S217" s="15">
        <f t="shared" si="6"/>
        <v>21</v>
      </c>
      <c r="T217" s="15">
        <f t="shared" si="7"/>
        <v>72.171651495448629</v>
      </c>
      <c r="U217" s="4"/>
    </row>
    <row r="218" spans="1:21">
      <c r="A218" s="8">
        <v>216</v>
      </c>
      <c r="B218" s="8">
        <v>216</v>
      </c>
      <c r="C218" s="8">
        <v>1</v>
      </c>
      <c r="D218" s="8">
        <v>278</v>
      </c>
      <c r="E218" s="8">
        <v>169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448</v>
      </c>
      <c r="N218" s="8">
        <v>0</v>
      </c>
      <c r="O218" s="8">
        <v>5</v>
      </c>
      <c r="P218" s="8">
        <v>453</v>
      </c>
      <c r="Q218" s="8">
        <v>0</v>
      </c>
      <c r="R218" s="8">
        <v>646</v>
      </c>
      <c r="S218" s="15">
        <f t="shared" si="6"/>
        <v>109</v>
      </c>
      <c r="T218" s="15">
        <f t="shared" si="7"/>
        <v>70.12383900928792</v>
      </c>
      <c r="U218" s="4"/>
    </row>
    <row r="219" spans="1:21">
      <c r="A219" s="8">
        <v>217</v>
      </c>
      <c r="B219" s="8">
        <v>217</v>
      </c>
      <c r="C219" s="8">
        <v>2</v>
      </c>
      <c r="D219" s="8">
        <v>290</v>
      </c>
      <c r="E219" s="8">
        <v>247</v>
      </c>
      <c r="F219" s="8">
        <v>1</v>
      </c>
      <c r="G219" s="8">
        <v>0</v>
      </c>
      <c r="H219" s="8">
        <v>1</v>
      </c>
      <c r="I219" s="8">
        <v>0</v>
      </c>
      <c r="J219" s="8">
        <v>0</v>
      </c>
      <c r="K219" s="8">
        <v>0</v>
      </c>
      <c r="L219" s="8">
        <v>0</v>
      </c>
      <c r="M219" s="8">
        <v>541</v>
      </c>
      <c r="N219" s="8">
        <v>0</v>
      </c>
      <c r="O219" s="8">
        <v>8</v>
      </c>
      <c r="P219" s="8">
        <v>549</v>
      </c>
      <c r="Q219" s="8">
        <v>0</v>
      </c>
      <c r="R219" s="8">
        <v>780</v>
      </c>
      <c r="S219" s="15">
        <f t="shared" si="6"/>
        <v>43</v>
      </c>
      <c r="T219" s="15">
        <f t="shared" si="7"/>
        <v>70.384615384615387</v>
      </c>
      <c r="U219" s="4"/>
    </row>
    <row r="220" spans="1:21">
      <c r="A220" s="8">
        <v>218</v>
      </c>
      <c r="B220" s="8">
        <v>218</v>
      </c>
      <c r="C220" s="8">
        <v>3</v>
      </c>
      <c r="D220" s="8">
        <v>235</v>
      </c>
      <c r="E220" s="8">
        <v>125</v>
      </c>
      <c r="F220" s="8">
        <v>1</v>
      </c>
      <c r="G220" s="8">
        <v>0</v>
      </c>
      <c r="H220" s="8">
        <v>0</v>
      </c>
      <c r="I220" s="8">
        <v>0</v>
      </c>
      <c r="J220" s="8">
        <v>0</v>
      </c>
      <c r="K220" s="8">
        <v>2</v>
      </c>
      <c r="L220" s="8">
        <v>0</v>
      </c>
      <c r="M220" s="8">
        <v>366</v>
      </c>
      <c r="N220" s="8">
        <v>0</v>
      </c>
      <c r="O220" s="8">
        <v>4</v>
      </c>
      <c r="P220" s="8">
        <v>370</v>
      </c>
      <c r="Q220" s="8">
        <v>0</v>
      </c>
      <c r="R220" s="8">
        <v>533</v>
      </c>
      <c r="S220" s="15">
        <f t="shared" si="6"/>
        <v>110</v>
      </c>
      <c r="T220" s="15">
        <f t="shared" si="7"/>
        <v>69.418386491557229</v>
      </c>
      <c r="U220" s="4"/>
    </row>
    <row r="221" spans="1:21">
      <c r="A221" s="8">
        <v>219</v>
      </c>
      <c r="B221" s="8">
        <v>219</v>
      </c>
      <c r="C221" s="8">
        <v>6</v>
      </c>
      <c r="D221" s="8">
        <v>378</v>
      </c>
      <c r="E221" s="8">
        <v>309</v>
      </c>
      <c r="F221" s="8">
        <v>1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1</v>
      </c>
      <c r="M221" s="8">
        <v>695</v>
      </c>
      <c r="N221" s="8">
        <v>0</v>
      </c>
      <c r="O221" s="8">
        <v>14</v>
      </c>
      <c r="P221" s="8">
        <v>709</v>
      </c>
      <c r="Q221" s="8">
        <v>0</v>
      </c>
      <c r="R221" s="8">
        <v>1114</v>
      </c>
      <c r="S221" s="15">
        <f t="shared" si="6"/>
        <v>69</v>
      </c>
      <c r="T221" s="15">
        <f t="shared" si="7"/>
        <v>63.644524236983848</v>
      </c>
      <c r="U221" s="4"/>
    </row>
    <row r="222" spans="1:21">
      <c r="A222" s="8">
        <v>220</v>
      </c>
      <c r="B222" s="8">
        <v>220</v>
      </c>
      <c r="C222" s="8">
        <v>5</v>
      </c>
      <c r="D222" s="8">
        <v>320</v>
      </c>
      <c r="E222" s="8">
        <v>287</v>
      </c>
      <c r="F222" s="8">
        <v>1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613</v>
      </c>
      <c r="N222" s="8">
        <v>0</v>
      </c>
      <c r="O222" s="8">
        <v>13</v>
      </c>
      <c r="P222" s="8">
        <v>626</v>
      </c>
      <c r="Q222" s="8">
        <v>0</v>
      </c>
      <c r="R222" s="8">
        <v>891</v>
      </c>
      <c r="S222" s="15">
        <f t="shared" si="6"/>
        <v>33</v>
      </c>
      <c r="T222" s="15">
        <f t="shared" si="7"/>
        <v>70.258136924803594</v>
      </c>
      <c r="U222" s="4"/>
    </row>
    <row r="223" spans="1:21">
      <c r="A223" s="8">
        <v>221</v>
      </c>
      <c r="B223" s="8">
        <v>221</v>
      </c>
      <c r="C223" s="8">
        <v>5</v>
      </c>
      <c r="D223" s="8">
        <v>445</v>
      </c>
      <c r="E223" s="8">
        <v>255</v>
      </c>
      <c r="F223" s="8">
        <v>4</v>
      </c>
      <c r="G223" s="8">
        <v>0</v>
      </c>
      <c r="H223" s="8">
        <v>0</v>
      </c>
      <c r="I223" s="8">
        <v>0</v>
      </c>
      <c r="J223" s="8">
        <v>1</v>
      </c>
      <c r="K223" s="8">
        <v>0</v>
      </c>
      <c r="L223" s="8">
        <v>1</v>
      </c>
      <c r="M223" s="8">
        <v>711</v>
      </c>
      <c r="N223" s="8">
        <v>0</v>
      </c>
      <c r="O223" s="8">
        <v>10</v>
      </c>
      <c r="P223" s="8">
        <v>721</v>
      </c>
      <c r="Q223" s="8">
        <v>0</v>
      </c>
      <c r="R223" s="8">
        <v>975</v>
      </c>
      <c r="S223" s="15">
        <f t="shared" si="6"/>
        <v>190</v>
      </c>
      <c r="T223" s="15">
        <f t="shared" si="7"/>
        <v>73.948717948717942</v>
      </c>
      <c r="U223" s="4"/>
    </row>
    <row r="224" spans="1:21">
      <c r="A224" s="8">
        <v>222</v>
      </c>
      <c r="B224" s="8">
        <v>222</v>
      </c>
      <c r="C224" s="8">
        <v>1</v>
      </c>
      <c r="D224" s="8">
        <v>239</v>
      </c>
      <c r="E224" s="8">
        <v>236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2</v>
      </c>
      <c r="M224" s="8">
        <v>478</v>
      </c>
      <c r="N224" s="8">
        <v>0</v>
      </c>
      <c r="O224" s="8">
        <v>8</v>
      </c>
      <c r="P224" s="8">
        <v>486</v>
      </c>
      <c r="Q224" s="8">
        <v>0</v>
      </c>
      <c r="R224" s="8">
        <v>683</v>
      </c>
      <c r="S224" s="15">
        <f t="shared" si="6"/>
        <v>3</v>
      </c>
      <c r="T224" s="15">
        <f t="shared" si="7"/>
        <v>71.15666178623718</v>
      </c>
      <c r="U224" s="4"/>
    </row>
    <row r="225" spans="1:21">
      <c r="A225" s="8">
        <v>223</v>
      </c>
      <c r="B225" s="8">
        <v>223</v>
      </c>
      <c r="C225" s="8">
        <v>3</v>
      </c>
      <c r="D225" s="8">
        <v>496</v>
      </c>
      <c r="E225" s="8">
        <v>292</v>
      </c>
      <c r="F225" s="8">
        <v>2</v>
      </c>
      <c r="G225" s="8">
        <v>0</v>
      </c>
      <c r="H225" s="8">
        <v>1</v>
      </c>
      <c r="I225" s="8">
        <v>1</v>
      </c>
      <c r="J225" s="8">
        <v>2</v>
      </c>
      <c r="K225" s="8">
        <v>0</v>
      </c>
      <c r="L225" s="8">
        <v>0</v>
      </c>
      <c r="M225" s="8">
        <v>797</v>
      </c>
      <c r="N225" s="8">
        <v>0</v>
      </c>
      <c r="O225" s="8">
        <v>9</v>
      </c>
      <c r="P225" s="8">
        <v>806</v>
      </c>
      <c r="Q225" s="8">
        <v>0</v>
      </c>
      <c r="R225" s="8">
        <v>1258</v>
      </c>
      <c r="S225" s="15">
        <f t="shared" si="6"/>
        <v>204</v>
      </c>
      <c r="T225" s="15">
        <f t="shared" si="7"/>
        <v>64.069952305246431</v>
      </c>
      <c r="U225" s="4"/>
    </row>
    <row r="226" spans="1:21">
      <c r="A226" s="9">
        <v>224</v>
      </c>
      <c r="B226" s="9">
        <v>224</v>
      </c>
      <c r="C226" s="9">
        <v>4</v>
      </c>
      <c r="D226" s="9">
        <v>106</v>
      </c>
      <c r="E226" s="9">
        <v>180</v>
      </c>
      <c r="F226" s="9">
        <v>0</v>
      </c>
      <c r="G226" s="9">
        <v>2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292</v>
      </c>
      <c r="N226" s="9">
        <v>0</v>
      </c>
      <c r="O226" s="9">
        <v>3</v>
      </c>
      <c r="P226" s="9">
        <v>295</v>
      </c>
      <c r="Q226" s="9">
        <v>0</v>
      </c>
      <c r="R226" s="9">
        <v>758</v>
      </c>
      <c r="S226" s="16">
        <f t="shared" si="6"/>
        <v>74</v>
      </c>
      <c r="T226" s="14">
        <f t="shared" si="7"/>
        <v>38.918205804749341</v>
      </c>
      <c r="U226" s="4"/>
    </row>
    <row r="227" spans="1:21">
      <c r="A227" s="8">
        <v>225</v>
      </c>
      <c r="B227" s="8">
        <v>225</v>
      </c>
      <c r="C227" s="8">
        <v>3</v>
      </c>
      <c r="D227" s="8">
        <v>476</v>
      </c>
      <c r="E227" s="8">
        <v>254</v>
      </c>
      <c r="F227" s="8">
        <v>1</v>
      </c>
      <c r="G227" s="8">
        <v>0</v>
      </c>
      <c r="H227" s="8">
        <v>0</v>
      </c>
      <c r="I227" s="8">
        <v>0</v>
      </c>
      <c r="J227" s="8">
        <v>1</v>
      </c>
      <c r="K227" s="8">
        <v>1</v>
      </c>
      <c r="L227" s="8">
        <v>0</v>
      </c>
      <c r="M227" s="8">
        <v>736</v>
      </c>
      <c r="N227" s="8">
        <v>0</v>
      </c>
      <c r="O227" s="8">
        <v>6</v>
      </c>
      <c r="P227" s="8">
        <v>742</v>
      </c>
      <c r="Q227" s="8">
        <v>0</v>
      </c>
      <c r="R227" s="8">
        <v>947</v>
      </c>
      <c r="S227" s="15">
        <f t="shared" si="6"/>
        <v>222</v>
      </c>
      <c r="T227" s="15">
        <f t="shared" si="7"/>
        <v>78.352692713833164</v>
      </c>
      <c r="U227" s="4"/>
    </row>
    <row r="228" spans="1:21">
      <c r="A228" s="8">
        <v>226</v>
      </c>
      <c r="B228" s="8">
        <v>226</v>
      </c>
      <c r="C228" s="8">
        <v>2</v>
      </c>
      <c r="D228" s="8">
        <v>503</v>
      </c>
      <c r="E228" s="8">
        <v>310</v>
      </c>
      <c r="F228" s="8">
        <v>1</v>
      </c>
      <c r="G228" s="8">
        <v>0</v>
      </c>
      <c r="H228" s="8">
        <v>0</v>
      </c>
      <c r="I228" s="8">
        <v>1</v>
      </c>
      <c r="J228" s="8">
        <v>3</v>
      </c>
      <c r="K228" s="8">
        <v>4</v>
      </c>
      <c r="L228" s="8">
        <v>2</v>
      </c>
      <c r="M228" s="8">
        <v>826</v>
      </c>
      <c r="N228" s="8">
        <v>0</v>
      </c>
      <c r="O228" s="8">
        <v>6</v>
      </c>
      <c r="P228" s="8">
        <v>832</v>
      </c>
      <c r="Q228" s="8">
        <v>0</v>
      </c>
      <c r="R228" s="8">
        <v>1290</v>
      </c>
      <c r="S228" s="15">
        <f t="shared" si="6"/>
        <v>193</v>
      </c>
      <c r="T228" s="15">
        <f t="shared" si="7"/>
        <v>64.496124031007753</v>
      </c>
      <c r="U228" s="4"/>
    </row>
    <row r="229" spans="1:21">
      <c r="A229" s="8">
        <v>227</v>
      </c>
      <c r="B229" s="8">
        <v>227</v>
      </c>
      <c r="C229" s="8">
        <v>6</v>
      </c>
      <c r="D229" s="8">
        <v>502</v>
      </c>
      <c r="E229" s="8">
        <v>297</v>
      </c>
      <c r="F229" s="8">
        <v>0</v>
      </c>
      <c r="G229" s="8">
        <v>0</v>
      </c>
      <c r="H229" s="8">
        <v>0</v>
      </c>
      <c r="I229" s="8">
        <v>0</v>
      </c>
      <c r="J229" s="8">
        <v>1</v>
      </c>
      <c r="K229" s="8">
        <v>3</v>
      </c>
      <c r="L229" s="8">
        <v>2</v>
      </c>
      <c r="M229" s="8">
        <v>811</v>
      </c>
      <c r="N229" s="8">
        <v>0</v>
      </c>
      <c r="O229" s="8">
        <v>15</v>
      </c>
      <c r="P229" s="8">
        <v>826</v>
      </c>
      <c r="Q229" s="8">
        <v>0</v>
      </c>
      <c r="R229" s="8">
        <v>1229</v>
      </c>
      <c r="S229" s="15">
        <f t="shared" si="6"/>
        <v>205</v>
      </c>
      <c r="T229" s="15">
        <f t="shared" si="7"/>
        <v>67.209113100081368</v>
      </c>
      <c r="U229" s="4"/>
    </row>
    <row r="230" spans="1:21">
      <c r="A230" s="9">
        <v>228</v>
      </c>
      <c r="B230" s="9">
        <v>228</v>
      </c>
      <c r="C230" s="9">
        <v>5</v>
      </c>
      <c r="D230" s="9">
        <v>106</v>
      </c>
      <c r="E230" s="9">
        <v>187</v>
      </c>
      <c r="F230" s="9">
        <v>4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302</v>
      </c>
      <c r="N230" s="9">
        <v>0</v>
      </c>
      <c r="O230" s="9">
        <v>1</v>
      </c>
      <c r="P230" s="9">
        <v>303</v>
      </c>
      <c r="Q230" s="9">
        <v>0</v>
      </c>
      <c r="R230" s="9">
        <v>354</v>
      </c>
      <c r="S230" s="16">
        <f t="shared" si="6"/>
        <v>81</v>
      </c>
      <c r="T230" s="14">
        <f t="shared" si="7"/>
        <v>85.593220338983059</v>
      </c>
      <c r="U230" s="4"/>
    </row>
    <row r="231" spans="1:21">
      <c r="A231" s="9">
        <v>229</v>
      </c>
      <c r="B231" s="9">
        <v>229</v>
      </c>
      <c r="C231" s="9">
        <v>3</v>
      </c>
      <c r="D231" s="9">
        <v>279</v>
      </c>
      <c r="E231" s="9">
        <v>433</v>
      </c>
      <c r="F231" s="9">
        <v>3</v>
      </c>
      <c r="G231" s="9">
        <v>0</v>
      </c>
      <c r="H231" s="9">
        <v>0</v>
      </c>
      <c r="I231" s="9">
        <v>1</v>
      </c>
      <c r="J231" s="9">
        <v>2</v>
      </c>
      <c r="K231" s="9">
        <v>2</v>
      </c>
      <c r="L231" s="9">
        <v>1</v>
      </c>
      <c r="M231" s="9">
        <v>724</v>
      </c>
      <c r="N231" s="9">
        <v>0</v>
      </c>
      <c r="O231" s="9">
        <v>1</v>
      </c>
      <c r="P231" s="9">
        <v>725</v>
      </c>
      <c r="Q231" s="9">
        <v>0</v>
      </c>
      <c r="R231" s="9">
        <v>900</v>
      </c>
      <c r="S231" s="16">
        <f t="shared" si="6"/>
        <v>154</v>
      </c>
      <c r="T231" s="14">
        <f t="shared" si="7"/>
        <v>80.555555555555557</v>
      </c>
      <c r="U231" s="5"/>
    </row>
    <row r="232" spans="1:21">
      <c r="A232" s="8">
        <v>230</v>
      </c>
      <c r="B232" s="8">
        <v>230</v>
      </c>
      <c r="C232" s="8">
        <v>2</v>
      </c>
      <c r="D232" s="8">
        <v>255</v>
      </c>
      <c r="E232" s="8">
        <v>165</v>
      </c>
      <c r="F232" s="8">
        <v>1</v>
      </c>
      <c r="G232" s="8">
        <v>1</v>
      </c>
      <c r="H232" s="8">
        <v>0</v>
      </c>
      <c r="I232" s="8">
        <v>0</v>
      </c>
      <c r="J232" s="8">
        <v>0</v>
      </c>
      <c r="K232" s="8">
        <v>1</v>
      </c>
      <c r="L232" s="8">
        <v>1</v>
      </c>
      <c r="M232" s="8">
        <v>426</v>
      </c>
      <c r="N232" s="8">
        <v>0</v>
      </c>
      <c r="O232" s="8">
        <v>1</v>
      </c>
      <c r="P232" s="8">
        <v>427</v>
      </c>
      <c r="Q232" s="8">
        <v>0</v>
      </c>
      <c r="R232" s="8">
        <v>543</v>
      </c>
      <c r="S232" s="15">
        <f t="shared" si="6"/>
        <v>90</v>
      </c>
      <c r="T232" s="15">
        <f t="shared" si="7"/>
        <v>78.637200736648253</v>
      </c>
      <c r="U232" s="5"/>
    </row>
    <row r="233" spans="1:21">
      <c r="A233" s="8">
        <v>231</v>
      </c>
      <c r="B233" s="8">
        <v>231</v>
      </c>
      <c r="C233" s="8">
        <v>5</v>
      </c>
      <c r="D233" s="8">
        <v>289</v>
      </c>
      <c r="E233" s="8">
        <v>193</v>
      </c>
      <c r="F233" s="8">
        <v>3</v>
      </c>
      <c r="G233" s="8">
        <v>0</v>
      </c>
      <c r="H233" s="8">
        <v>1</v>
      </c>
      <c r="I233" s="8">
        <v>0</v>
      </c>
      <c r="J233" s="8">
        <v>5</v>
      </c>
      <c r="K233" s="8">
        <v>3</v>
      </c>
      <c r="L233" s="8">
        <v>3</v>
      </c>
      <c r="M233" s="8">
        <v>502</v>
      </c>
      <c r="N233" s="8">
        <v>0</v>
      </c>
      <c r="O233" s="8">
        <v>3</v>
      </c>
      <c r="P233" s="8">
        <v>505</v>
      </c>
      <c r="Q233" s="8">
        <v>0</v>
      </c>
      <c r="R233" s="8">
        <v>616</v>
      </c>
      <c r="S233" s="15">
        <f t="shared" si="6"/>
        <v>96</v>
      </c>
      <c r="T233" s="15">
        <f t="shared" si="7"/>
        <v>81.980519480519476</v>
      </c>
      <c r="U233" s="5"/>
    </row>
    <row r="234" spans="1:21">
      <c r="A234" s="8">
        <v>232</v>
      </c>
      <c r="B234" s="8">
        <v>232</v>
      </c>
      <c r="C234" s="8">
        <v>6</v>
      </c>
      <c r="D234" s="8">
        <v>217</v>
      </c>
      <c r="E234" s="8">
        <v>167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1</v>
      </c>
      <c r="L234" s="8">
        <v>2</v>
      </c>
      <c r="M234" s="8">
        <v>393</v>
      </c>
      <c r="N234" s="8">
        <v>0</v>
      </c>
      <c r="O234" s="8">
        <v>0</v>
      </c>
      <c r="P234" s="8">
        <v>393</v>
      </c>
      <c r="Q234" s="8">
        <v>0</v>
      </c>
      <c r="R234" s="8">
        <v>452</v>
      </c>
      <c r="S234" s="15">
        <f t="shared" si="6"/>
        <v>50</v>
      </c>
      <c r="T234" s="15">
        <f t="shared" si="7"/>
        <v>86.946902654867259</v>
      </c>
      <c r="U234" s="4"/>
    </row>
    <row r="235" spans="1:21">
      <c r="A235" s="8">
        <v>233</v>
      </c>
      <c r="B235" s="8">
        <v>233</v>
      </c>
      <c r="C235" s="8">
        <v>4</v>
      </c>
      <c r="D235" s="8">
        <v>306</v>
      </c>
      <c r="E235" s="8">
        <v>305</v>
      </c>
      <c r="F235" s="8">
        <v>2</v>
      </c>
      <c r="G235" s="8">
        <v>0</v>
      </c>
      <c r="H235" s="8">
        <v>1</v>
      </c>
      <c r="I235" s="8">
        <v>0</v>
      </c>
      <c r="J235" s="8">
        <v>0</v>
      </c>
      <c r="K235" s="8">
        <v>2</v>
      </c>
      <c r="L235" s="8">
        <v>0</v>
      </c>
      <c r="M235" s="8">
        <v>620</v>
      </c>
      <c r="N235" s="8">
        <v>0</v>
      </c>
      <c r="O235" s="8">
        <v>1</v>
      </c>
      <c r="P235" s="8">
        <v>621</v>
      </c>
      <c r="Q235" s="8">
        <v>0</v>
      </c>
      <c r="R235" s="8">
        <v>832</v>
      </c>
      <c r="S235" s="15">
        <f t="shared" si="6"/>
        <v>1</v>
      </c>
      <c r="T235" s="15">
        <f t="shared" si="7"/>
        <v>74.639423076923066</v>
      </c>
      <c r="U235" s="4"/>
    </row>
    <row r="236" spans="1:21">
      <c r="A236" s="8">
        <v>234</v>
      </c>
      <c r="B236" s="8">
        <v>234</v>
      </c>
      <c r="C236" s="8">
        <v>9</v>
      </c>
      <c r="D236" s="8">
        <v>529</v>
      </c>
      <c r="E236" s="8">
        <v>275</v>
      </c>
      <c r="F236" s="8">
        <v>3</v>
      </c>
      <c r="G236" s="8">
        <v>1</v>
      </c>
      <c r="H236" s="8">
        <v>0</v>
      </c>
      <c r="I236" s="8">
        <v>0</v>
      </c>
      <c r="J236" s="8">
        <v>0</v>
      </c>
      <c r="K236" s="8">
        <v>1</v>
      </c>
      <c r="L236" s="8">
        <v>2</v>
      </c>
      <c r="M236" s="8">
        <v>820</v>
      </c>
      <c r="N236" s="8">
        <v>0</v>
      </c>
      <c r="O236" s="8">
        <v>6</v>
      </c>
      <c r="P236" s="8">
        <v>826</v>
      </c>
      <c r="Q236" s="8">
        <v>0</v>
      </c>
      <c r="R236" s="8">
        <v>1196</v>
      </c>
      <c r="S236" s="15">
        <f t="shared" si="6"/>
        <v>254</v>
      </c>
      <c r="T236" s="15">
        <f t="shared" si="7"/>
        <v>69.063545150501668</v>
      </c>
      <c r="U236" s="4"/>
    </row>
    <row r="237" spans="1:21">
      <c r="A237" s="8">
        <v>235</v>
      </c>
      <c r="B237" s="8">
        <v>235</v>
      </c>
      <c r="C237" s="8">
        <v>4</v>
      </c>
      <c r="D237" s="8">
        <v>726</v>
      </c>
      <c r="E237" s="8">
        <v>275</v>
      </c>
      <c r="F237" s="8">
        <v>1</v>
      </c>
      <c r="G237" s="8">
        <v>0</v>
      </c>
      <c r="H237" s="8">
        <v>0</v>
      </c>
      <c r="I237" s="8">
        <v>0</v>
      </c>
      <c r="J237" s="8">
        <v>2</v>
      </c>
      <c r="K237" s="8">
        <v>1</v>
      </c>
      <c r="L237" s="8">
        <v>1</v>
      </c>
      <c r="M237" s="8">
        <v>1010</v>
      </c>
      <c r="N237" s="8">
        <v>0</v>
      </c>
      <c r="O237" s="8">
        <v>7</v>
      </c>
      <c r="P237" s="8">
        <v>1017</v>
      </c>
      <c r="Q237" s="8">
        <v>0</v>
      </c>
      <c r="R237" s="8">
        <v>1467</v>
      </c>
      <c r="S237" s="15">
        <f t="shared" si="6"/>
        <v>451</v>
      </c>
      <c r="T237" s="15">
        <f t="shared" si="7"/>
        <v>69.325153374233125</v>
      </c>
      <c r="U237" s="4"/>
    </row>
    <row r="238" spans="1:21">
      <c r="A238" s="9">
        <v>236</v>
      </c>
      <c r="B238" s="9">
        <v>236</v>
      </c>
      <c r="C238" s="9">
        <v>3</v>
      </c>
      <c r="D238" s="9">
        <v>292</v>
      </c>
      <c r="E238" s="9">
        <v>337</v>
      </c>
      <c r="F238" s="9">
        <v>2</v>
      </c>
      <c r="G238" s="9">
        <v>1</v>
      </c>
      <c r="H238" s="9">
        <v>2</v>
      </c>
      <c r="I238" s="9">
        <v>1</v>
      </c>
      <c r="J238" s="9">
        <v>0</v>
      </c>
      <c r="K238" s="9">
        <v>0</v>
      </c>
      <c r="L238" s="9">
        <v>2</v>
      </c>
      <c r="M238" s="9">
        <v>640</v>
      </c>
      <c r="N238" s="9">
        <v>0</v>
      </c>
      <c r="O238" s="9">
        <v>4</v>
      </c>
      <c r="P238" s="9">
        <v>644</v>
      </c>
      <c r="Q238" s="9">
        <v>0</v>
      </c>
      <c r="R238" s="9">
        <v>748</v>
      </c>
      <c r="S238" s="16">
        <f t="shared" si="6"/>
        <v>45</v>
      </c>
      <c r="T238" s="14">
        <f t="shared" si="7"/>
        <v>86.096256684491976</v>
      </c>
      <c r="U238" s="4"/>
    </row>
    <row r="239" spans="1:21">
      <c r="A239" s="8">
        <v>237</v>
      </c>
      <c r="B239" s="8">
        <v>237</v>
      </c>
      <c r="C239" s="8">
        <v>2</v>
      </c>
      <c r="D239" s="8">
        <v>386</v>
      </c>
      <c r="E239" s="8">
        <v>222</v>
      </c>
      <c r="F239" s="8">
        <v>2</v>
      </c>
      <c r="G239" s="8">
        <v>1</v>
      </c>
      <c r="H239" s="8">
        <v>0</v>
      </c>
      <c r="I239" s="8">
        <v>0</v>
      </c>
      <c r="J239" s="8">
        <v>0</v>
      </c>
      <c r="K239" s="8">
        <v>2</v>
      </c>
      <c r="L239" s="8">
        <v>0</v>
      </c>
      <c r="M239" s="8">
        <v>615</v>
      </c>
      <c r="N239" s="8">
        <v>0</v>
      </c>
      <c r="O239" s="8">
        <v>1</v>
      </c>
      <c r="P239" s="8">
        <v>616</v>
      </c>
      <c r="Q239" s="8">
        <v>0</v>
      </c>
      <c r="R239" s="8">
        <v>706</v>
      </c>
      <c r="S239" s="15">
        <f t="shared" si="6"/>
        <v>164</v>
      </c>
      <c r="T239" s="15">
        <f t="shared" si="7"/>
        <v>87.252124645892351</v>
      </c>
      <c r="U239" s="4"/>
    </row>
    <row r="240" spans="1:21">
      <c r="A240" s="8">
        <v>238</v>
      </c>
      <c r="B240" s="8">
        <v>238</v>
      </c>
      <c r="C240" s="8">
        <v>2</v>
      </c>
      <c r="D240" s="8">
        <v>630</v>
      </c>
      <c r="E240" s="8">
        <v>314</v>
      </c>
      <c r="F240" s="8">
        <v>4</v>
      </c>
      <c r="G240" s="8">
        <v>1</v>
      </c>
      <c r="H240" s="8">
        <v>1</v>
      </c>
      <c r="I240" s="8">
        <v>0</v>
      </c>
      <c r="J240" s="8">
        <v>0</v>
      </c>
      <c r="K240" s="8">
        <v>1</v>
      </c>
      <c r="L240" s="8">
        <v>1</v>
      </c>
      <c r="M240" s="8">
        <v>954</v>
      </c>
      <c r="N240" s="8">
        <v>0</v>
      </c>
      <c r="O240" s="8">
        <v>6</v>
      </c>
      <c r="P240" s="8">
        <v>960</v>
      </c>
      <c r="Q240" s="8">
        <v>0</v>
      </c>
      <c r="R240" s="8">
        <v>1367</v>
      </c>
      <c r="S240" s="15">
        <f t="shared" si="6"/>
        <v>316</v>
      </c>
      <c r="T240" s="15">
        <f t="shared" si="7"/>
        <v>70.226773957571325</v>
      </c>
      <c r="U240" s="4"/>
    </row>
    <row r="241" spans="1:21">
      <c r="A241" s="8">
        <v>239</v>
      </c>
      <c r="B241" s="8">
        <v>239</v>
      </c>
      <c r="C241" s="8">
        <v>2</v>
      </c>
      <c r="D241" s="8">
        <v>573</v>
      </c>
      <c r="E241" s="8">
        <v>300</v>
      </c>
      <c r="F241" s="8">
        <v>3</v>
      </c>
      <c r="G241" s="8">
        <v>0</v>
      </c>
      <c r="H241" s="8">
        <v>2</v>
      </c>
      <c r="I241" s="8">
        <v>0</v>
      </c>
      <c r="J241" s="8">
        <v>0</v>
      </c>
      <c r="K241" s="8">
        <v>1</v>
      </c>
      <c r="L241" s="8">
        <v>0</v>
      </c>
      <c r="M241" s="8">
        <v>881</v>
      </c>
      <c r="N241" s="8">
        <v>0</v>
      </c>
      <c r="O241" s="8">
        <v>16</v>
      </c>
      <c r="P241" s="8">
        <v>897</v>
      </c>
      <c r="Q241" s="8">
        <v>0</v>
      </c>
      <c r="R241" s="8">
        <v>1236</v>
      </c>
      <c r="S241" s="15">
        <f t="shared" si="6"/>
        <v>273</v>
      </c>
      <c r="T241" s="15">
        <f t="shared" si="7"/>
        <v>72.572815533980588</v>
      </c>
      <c r="U241" s="4"/>
    </row>
    <row r="242" spans="1:21">
      <c r="A242" s="8">
        <v>240</v>
      </c>
      <c r="B242" s="8">
        <v>240</v>
      </c>
      <c r="C242" s="8">
        <v>4</v>
      </c>
      <c r="D242" s="8">
        <v>581</v>
      </c>
      <c r="E242" s="8">
        <v>349</v>
      </c>
      <c r="F242" s="8">
        <v>0</v>
      </c>
      <c r="G242" s="8">
        <v>0</v>
      </c>
      <c r="H242" s="8">
        <v>0</v>
      </c>
      <c r="I242" s="8">
        <v>0</v>
      </c>
      <c r="J242" s="8">
        <v>2</v>
      </c>
      <c r="K242" s="8">
        <v>1</v>
      </c>
      <c r="L242" s="8">
        <v>2</v>
      </c>
      <c r="M242" s="8">
        <v>939</v>
      </c>
      <c r="N242" s="8">
        <v>0</v>
      </c>
      <c r="O242" s="8">
        <v>7</v>
      </c>
      <c r="P242" s="8">
        <v>946</v>
      </c>
      <c r="Q242" s="8">
        <v>0</v>
      </c>
      <c r="R242" s="8">
        <v>1445</v>
      </c>
      <c r="S242" s="15">
        <f t="shared" si="6"/>
        <v>232</v>
      </c>
      <c r="T242" s="15">
        <f t="shared" si="7"/>
        <v>65.467128027681667</v>
      </c>
      <c r="U242" s="4"/>
    </row>
    <row r="243" spans="1:21">
      <c r="A243" s="8">
        <v>241</v>
      </c>
      <c r="B243" s="8">
        <v>241</v>
      </c>
      <c r="C243" s="8">
        <v>12</v>
      </c>
      <c r="D243" s="8">
        <v>609</v>
      </c>
      <c r="E243" s="8">
        <v>425</v>
      </c>
      <c r="F243" s="8">
        <v>2</v>
      </c>
      <c r="G243" s="8">
        <v>0</v>
      </c>
      <c r="H243" s="8">
        <v>1</v>
      </c>
      <c r="I243" s="8">
        <v>2</v>
      </c>
      <c r="J243" s="8">
        <v>2</v>
      </c>
      <c r="K243" s="8">
        <v>4</v>
      </c>
      <c r="L243" s="8">
        <v>1</v>
      </c>
      <c r="M243" s="8">
        <v>1058</v>
      </c>
      <c r="N243" s="8">
        <v>0</v>
      </c>
      <c r="O243" s="8">
        <v>10</v>
      </c>
      <c r="P243" s="8">
        <v>1068</v>
      </c>
      <c r="Q243" s="8">
        <v>0</v>
      </c>
      <c r="R243" s="8">
        <v>1486</v>
      </c>
      <c r="S243" s="15">
        <f t="shared" si="6"/>
        <v>184</v>
      </c>
      <c r="T243" s="15">
        <f t="shared" si="7"/>
        <v>71.870794078061905</v>
      </c>
      <c r="U243" s="4"/>
    </row>
    <row r="244" spans="1:21">
      <c r="A244" s="8">
        <v>242</v>
      </c>
      <c r="B244" s="8">
        <v>242</v>
      </c>
      <c r="C244" s="8">
        <v>7</v>
      </c>
      <c r="D244" s="8">
        <v>516</v>
      </c>
      <c r="E244" s="8">
        <v>308</v>
      </c>
      <c r="F244" s="8">
        <v>5</v>
      </c>
      <c r="G244" s="8">
        <v>3</v>
      </c>
      <c r="H244" s="8">
        <v>0</v>
      </c>
      <c r="I244" s="8">
        <v>4</v>
      </c>
      <c r="J244" s="8">
        <v>3</v>
      </c>
      <c r="K244" s="8">
        <v>0</v>
      </c>
      <c r="L244" s="8">
        <v>2</v>
      </c>
      <c r="M244" s="8">
        <v>848</v>
      </c>
      <c r="N244" s="8">
        <v>0</v>
      </c>
      <c r="O244" s="8">
        <v>8</v>
      </c>
      <c r="P244" s="8">
        <v>856</v>
      </c>
      <c r="Q244" s="8">
        <v>0</v>
      </c>
      <c r="R244" s="8">
        <v>1019</v>
      </c>
      <c r="S244" s="15">
        <f t="shared" si="6"/>
        <v>208</v>
      </c>
      <c r="T244" s="15">
        <f t="shared" si="7"/>
        <v>84.003925417075564</v>
      </c>
      <c r="U244" s="4"/>
    </row>
    <row r="245" spans="1:21">
      <c r="A245" s="8">
        <v>243</v>
      </c>
      <c r="B245" s="8">
        <v>243</v>
      </c>
      <c r="C245" s="8">
        <v>7</v>
      </c>
      <c r="D245" s="8">
        <v>462</v>
      </c>
      <c r="E245" s="8">
        <v>286</v>
      </c>
      <c r="F245" s="8">
        <v>4</v>
      </c>
      <c r="G245" s="8">
        <v>3</v>
      </c>
      <c r="H245" s="8">
        <v>0</v>
      </c>
      <c r="I245" s="8">
        <v>2</v>
      </c>
      <c r="J245" s="8">
        <v>0</v>
      </c>
      <c r="K245" s="8">
        <v>1</v>
      </c>
      <c r="L245" s="8">
        <v>1</v>
      </c>
      <c r="M245" s="8">
        <v>766</v>
      </c>
      <c r="N245" s="8">
        <v>0</v>
      </c>
      <c r="O245" s="8">
        <v>11</v>
      </c>
      <c r="P245" s="8">
        <v>777</v>
      </c>
      <c r="Q245" s="8">
        <v>0</v>
      </c>
      <c r="R245" s="8">
        <v>1046</v>
      </c>
      <c r="S245" s="15">
        <f t="shared" si="6"/>
        <v>176</v>
      </c>
      <c r="T245" s="15">
        <f t="shared" si="7"/>
        <v>74.282982791586988</v>
      </c>
      <c r="U245" s="4"/>
    </row>
    <row r="246" spans="1:21">
      <c r="A246" s="8">
        <v>244</v>
      </c>
      <c r="B246" s="8">
        <v>244</v>
      </c>
      <c r="C246" s="8">
        <v>2</v>
      </c>
      <c r="D246" s="8">
        <v>340</v>
      </c>
      <c r="E246" s="8">
        <v>232</v>
      </c>
      <c r="F246" s="8">
        <v>1</v>
      </c>
      <c r="G246" s="8">
        <v>0</v>
      </c>
      <c r="H246" s="8">
        <v>0</v>
      </c>
      <c r="I246" s="8">
        <v>1</v>
      </c>
      <c r="J246" s="8">
        <v>0</v>
      </c>
      <c r="K246" s="8">
        <v>0</v>
      </c>
      <c r="L246" s="8">
        <v>1</v>
      </c>
      <c r="M246" s="8">
        <v>577</v>
      </c>
      <c r="N246" s="8">
        <v>0</v>
      </c>
      <c r="O246" s="8">
        <v>1</v>
      </c>
      <c r="P246" s="8">
        <v>578</v>
      </c>
      <c r="Q246" s="8">
        <v>0</v>
      </c>
      <c r="R246" s="8">
        <v>696</v>
      </c>
      <c r="S246" s="15">
        <f t="shared" si="6"/>
        <v>108</v>
      </c>
      <c r="T246" s="15">
        <f t="shared" si="7"/>
        <v>83.045977011494259</v>
      </c>
      <c r="U246" s="4"/>
    </row>
    <row r="247" spans="1:21">
      <c r="A247" s="8">
        <v>245</v>
      </c>
      <c r="B247" s="8">
        <v>245</v>
      </c>
      <c r="C247" s="8">
        <v>1</v>
      </c>
      <c r="D247" s="8">
        <v>295</v>
      </c>
      <c r="E247" s="8">
        <v>235</v>
      </c>
      <c r="F247" s="8">
        <v>3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3</v>
      </c>
      <c r="M247" s="8">
        <v>537</v>
      </c>
      <c r="N247" s="8">
        <v>0</v>
      </c>
      <c r="O247" s="8">
        <v>3</v>
      </c>
      <c r="P247" s="8">
        <v>540</v>
      </c>
      <c r="Q247" s="8">
        <v>0</v>
      </c>
      <c r="R247" s="8">
        <v>629</v>
      </c>
      <c r="S247" s="15">
        <f t="shared" si="6"/>
        <v>60</v>
      </c>
      <c r="T247" s="15">
        <f t="shared" si="7"/>
        <v>85.850556438791742</v>
      </c>
      <c r="U247" s="4"/>
    </row>
    <row r="248" spans="1:21">
      <c r="A248" s="8">
        <v>246</v>
      </c>
      <c r="B248" s="8">
        <v>246</v>
      </c>
      <c r="C248" s="8">
        <v>2</v>
      </c>
      <c r="D248" s="8">
        <v>311</v>
      </c>
      <c r="E248" s="8">
        <v>191</v>
      </c>
      <c r="F248" s="8">
        <v>1</v>
      </c>
      <c r="G248" s="8">
        <v>1</v>
      </c>
      <c r="H248" s="8">
        <v>0</v>
      </c>
      <c r="I248" s="8">
        <v>0</v>
      </c>
      <c r="J248" s="8">
        <v>1</v>
      </c>
      <c r="K248" s="8">
        <v>0</v>
      </c>
      <c r="L248" s="8">
        <v>0</v>
      </c>
      <c r="M248" s="8">
        <v>507</v>
      </c>
      <c r="N248" s="8">
        <v>0</v>
      </c>
      <c r="O248" s="8">
        <v>2</v>
      </c>
      <c r="P248" s="8">
        <v>509</v>
      </c>
      <c r="Q248" s="8">
        <v>0</v>
      </c>
      <c r="R248" s="8">
        <v>630</v>
      </c>
      <c r="S248" s="15">
        <f t="shared" si="6"/>
        <v>120</v>
      </c>
      <c r="T248" s="15">
        <f t="shared" si="7"/>
        <v>80.793650793650798</v>
      </c>
      <c r="U248" s="4"/>
    </row>
    <row r="249" spans="1:21">
      <c r="A249" s="8">
        <v>247</v>
      </c>
      <c r="B249" s="8">
        <v>247</v>
      </c>
      <c r="C249" s="8">
        <v>2</v>
      </c>
      <c r="D249" s="8">
        <v>338</v>
      </c>
      <c r="E249" s="8">
        <v>260</v>
      </c>
      <c r="F249" s="8">
        <v>2</v>
      </c>
      <c r="G249" s="8">
        <v>0</v>
      </c>
      <c r="H249" s="8">
        <v>0</v>
      </c>
      <c r="I249" s="8">
        <v>1</v>
      </c>
      <c r="J249" s="8">
        <v>2</v>
      </c>
      <c r="K249" s="8">
        <v>3</v>
      </c>
      <c r="L249" s="8">
        <v>0</v>
      </c>
      <c r="M249" s="8">
        <v>608</v>
      </c>
      <c r="N249" s="8">
        <v>0</v>
      </c>
      <c r="O249" s="8">
        <v>3</v>
      </c>
      <c r="P249" s="8">
        <v>611</v>
      </c>
      <c r="Q249" s="8">
        <v>0</v>
      </c>
      <c r="R249" s="8">
        <v>763</v>
      </c>
      <c r="S249" s="15">
        <f t="shared" si="6"/>
        <v>78</v>
      </c>
      <c r="T249" s="15">
        <f t="shared" si="7"/>
        <v>80.078636959370911</v>
      </c>
      <c r="U249" s="4"/>
    </row>
    <row r="250" spans="1:21">
      <c r="A250" s="8">
        <v>248</v>
      </c>
      <c r="B250" s="8">
        <v>248</v>
      </c>
      <c r="C250" s="8">
        <v>5</v>
      </c>
      <c r="D250" s="8">
        <v>366</v>
      </c>
      <c r="E250" s="8">
        <v>149</v>
      </c>
      <c r="F250" s="8">
        <v>4</v>
      </c>
      <c r="G250" s="8">
        <v>1</v>
      </c>
      <c r="H250" s="8">
        <v>0</v>
      </c>
      <c r="I250" s="8">
        <v>0</v>
      </c>
      <c r="J250" s="8">
        <v>1</v>
      </c>
      <c r="K250" s="8">
        <v>2</v>
      </c>
      <c r="L250" s="8">
        <v>2</v>
      </c>
      <c r="M250" s="8">
        <v>530</v>
      </c>
      <c r="N250" s="8">
        <v>0</v>
      </c>
      <c r="O250" s="8">
        <v>1</v>
      </c>
      <c r="P250" s="8">
        <v>531</v>
      </c>
      <c r="Q250" s="8">
        <v>0</v>
      </c>
      <c r="R250" s="8">
        <v>636</v>
      </c>
      <c r="S250" s="15">
        <f t="shared" si="6"/>
        <v>217</v>
      </c>
      <c r="T250" s="15">
        <f t="shared" si="7"/>
        <v>83.490566037735846</v>
      </c>
      <c r="U250" s="4"/>
    </row>
    <row r="251" spans="1:21">
      <c r="A251" s="8">
        <v>249</v>
      </c>
      <c r="B251" s="8">
        <v>249</v>
      </c>
      <c r="C251" s="8">
        <v>4</v>
      </c>
      <c r="D251" s="8">
        <v>263</v>
      </c>
      <c r="E251" s="8">
        <v>259</v>
      </c>
      <c r="F251" s="8">
        <v>6</v>
      </c>
      <c r="G251" s="8">
        <v>2</v>
      </c>
      <c r="H251" s="8">
        <v>0</v>
      </c>
      <c r="I251" s="8">
        <v>0</v>
      </c>
      <c r="J251" s="8">
        <v>0</v>
      </c>
      <c r="K251" s="8">
        <v>4</v>
      </c>
      <c r="L251" s="8">
        <v>2</v>
      </c>
      <c r="M251" s="8">
        <v>540</v>
      </c>
      <c r="N251" s="8">
        <v>0</v>
      </c>
      <c r="O251" s="8">
        <v>7</v>
      </c>
      <c r="P251" s="8">
        <v>547</v>
      </c>
      <c r="Q251" s="8">
        <v>0</v>
      </c>
      <c r="R251" s="8">
        <v>741</v>
      </c>
      <c r="S251" s="15">
        <f t="shared" si="6"/>
        <v>4</v>
      </c>
      <c r="T251" s="15">
        <f t="shared" si="7"/>
        <v>73.819163292847506</v>
      </c>
      <c r="U251" s="4"/>
    </row>
    <row r="252" spans="1:21">
      <c r="A252" s="8">
        <v>250</v>
      </c>
      <c r="B252" s="8">
        <v>250</v>
      </c>
      <c r="C252" s="8">
        <v>3</v>
      </c>
      <c r="D252" s="8">
        <v>299</v>
      </c>
      <c r="E252" s="8">
        <v>123</v>
      </c>
      <c r="F252" s="8">
        <v>1</v>
      </c>
      <c r="G252" s="8">
        <v>0</v>
      </c>
      <c r="H252" s="8">
        <v>0</v>
      </c>
      <c r="I252" s="8">
        <v>0</v>
      </c>
      <c r="J252" s="8">
        <v>2</v>
      </c>
      <c r="K252" s="8">
        <v>5</v>
      </c>
      <c r="L252" s="8">
        <v>3</v>
      </c>
      <c r="M252" s="8">
        <v>436</v>
      </c>
      <c r="N252" s="8">
        <v>0</v>
      </c>
      <c r="O252" s="8">
        <v>3</v>
      </c>
      <c r="P252" s="8">
        <v>439</v>
      </c>
      <c r="Q252" s="8">
        <v>0</v>
      </c>
      <c r="R252" s="8">
        <v>550</v>
      </c>
      <c r="S252" s="15">
        <f t="shared" si="6"/>
        <v>176</v>
      </c>
      <c r="T252" s="15">
        <f t="shared" si="7"/>
        <v>79.818181818181827</v>
      </c>
      <c r="U252" s="4"/>
    </row>
    <row r="253" spans="1:21">
      <c r="A253" s="8">
        <v>251</v>
      </c>
      <c r="B253" s="8">
        <v>251</v>
      </c>
      <c r="C253" s="8">
        <v>2</v>
      </c>
      <c r="D253" s="8">
        <v>401</v>
      </c>
      <c r="E253" s="8">
        <v>355</v>
      </c>
      <c r="F253" s="8">
        <v>2</v>
      </c>
      <c r="G253" s="8">
        <v>1</v>
      </c>
      <c r="H253" s="8">
        <v>0</v>
      </c>
      <c r="I253" s="8">
        <v>0</v>
      </c>
      <c r="J253" s="8">
        <v>0</v>
      </c>
      <c r="K253" s="8">
        <v>1</v>
      </c>
      <c r="L253" s="8">
        <v>2</v>
      </c>
      <c r="M253" s="8">
        <v>764</v>
      </c>
      <c r="N253" s="8">
        <v>0</v>
      </c>
      <c r="O253" s="8">
        <v>3</v>
      </c>
      <c r="P253" s="8">
        <v>767</v>
      </c>
      <c r="Q253" s="8">
        <v>0</v>
      </c>
      <c r="R253" s="8">
        <v>1012</v>
      </c>
      <c r="S253" s="15">
        <f t="shared" si="6"/>
        <v>46</v>
      </c>
      <c r="T253" s="15">
        <f t="shared" si="7"/>
        <v>75.790513833992094</v>
      </c>
      <c r="U253" s="4"/>
    </row>
    <row r="254" spans="1:21">
      <c r="A254" s="8">
        <v>252</v>
      </c>
      <c r="B254" s="8">
        <v>252</v>
      </c>
      <c r="C254" s="8">
        <v>2</v>
      </c>
      <c r="D254" s="8">
        <v>396</v>
      </c>
      <c r="E254" s="8">
        <v>355</v>
      </c>
      <c r="F254" s="8">
        <v>1</v>
      </c>
      <c r="G254" s="8">
        <v>0</v>
      </c>
      <c r="H254" s="8">
        <v>0</v>
      </c>
      <c r="I254" s="8">
        <v>1</v>
      </c>
      <c r="J254" s="8">
        <v>0</v>
      </c>
      <c r="K254" s="8">
        <v>1</v>
      </c>
      <c r="L254" s="8">
        <v>4</v>
      </c>
      <c r="M254" s="8">
        <v>760</v>
      </c>
      <c r="N254" s="8">
        <v>0</v>
      </c>
      <c r="O254" s="8">
        <v>6</v>
      </c>
      <c r="P254" s="8">
        <v>766</v>
      </c>
      <c r="Q254" s="8">
        <v>0</v>
      </c>
      <c r="R254" s="8">
        <v>1006</v>
      </c>
      <c r="S254" s="15">
        <f t="shared" si="6"/>
        <v>41</v>
      </c>
      <c r="T254" s="15">
        <f t="shared" si="7"/>
        <v>76.143141153081501</v>
      </c>
      <c r="U254" s="4"/>
    </row>
    <row r="255" spans="1:21">
      <c r="A255" s="8">
        <v>253</v>
      </c>
      <c r="B255" s="8">
        <v>253</v>
      </c>
      <c r="C255" s="8">
        <v>1</v>
      </c>
      <c r="D255" s="8">
        <v>458</v>
      </c>
      <c r="E255" s="8">
        <v>258</v>
      </c>
      <c r="F255" s="8">
        <v>3</v>
      </c>
      <c r="G255" s="8">
        <v>0</v>
      </c>
      <c r="H255" s="8">
        <v>0</v>
      </c>
      <c r="I255" s="8">
        <v>0</v>
      </c>
      <c r="J255" s="8">
        <v>4</v>
      </c>
      <c r="K255" s="8">
        <v>4</v>
      </c>
      <c r="L255" s="8">
        <v>2</v>
      </c>
      <c r="M255" s="8">
        <v>730</v>
      </c>
      <c r="N255" s="8">
        <v>0</v>
      </c>
      <c r="O255" s="8">
        <v>4</v>
      </c>
      <c r="P255" s="8">
        <v>734</v>
      </c>
      <c r="Q255" s="8">
        <v>0</v>
      </c>
      <c r="R255" s="8">
        <v>920</v>
      </c>
      <c r="S255" s="15">
        <f t="shared" si="6"/>
        <v>200</v>
      </c>
      <c r="T255" s="15">
        <f t="shared" si="7"/>
        <v>79.782608695652172</v>
      </c>
      <c r="U255" s="4"/>
    </row>
    <row r="256" spans="1:21">
      <c r="A256" s="8">
        <v>254</v>
      </c>
      <c r="B256" s="8">
        <v>254</v>
      </c>
      <c r="C256" s="8">
        <v>6</v>
      </c>
      <c r="D256" s="8">
        <v>317</v>
      </c>
      <c r="E256" s="8">
        <v>259</v>
      </c>
      <c r="F256" s="8">
        <v>2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2</v>
      </c>
      <c r="M256" s="8">
        <v>586</v>
      </c>
      <c r="N256" s="8">
        <v>0</v>
      </c>
      <c r="O256" s="8">
        <v>5</v>
      </c>
      <c r="P256" s="8">
        <v>591</v>
      </c>
      <c r="Q256" s="8">
        <v>0</v>
      </c>
      <c r="R256" s="8">
        <v>674</v>
      </c>
      <c r="S256" s="15">
        <f t="shared" si="6"/>
        <v>58</v>
      </c>
      <c r="T256" s="15">
        <f t="shared" si="7"/>
        <v>87.685459940652819</v>
      </c>
      <c r="U256" s="4"/>
    </row>
    <row r="257" spans="1:21">
      <c r="A257" s="8">
        <v>255</v>
      </c>
      <c r="B257" s="8">
        <v>255</v>
      </c>
      <c r="C257" s="8">
        <v>12</v>
      </c>
      <c r="D257" s="8">
        <v>392</v>
      </c>
      <c r="E257" s="8">
        <v>361</v>
      </c>
      <c r="F257" s="8">
        <v>7</v>
      </c>
      <c r="G257" s="8">
        <v>0</v>
      </c>
      <c r="H257" s="8">
        <v>1</v>
      </c>
      <c r="I257" s="8">
        <v>3</v>
      </c>
      <c r="J257" s="8">
        <v>3</v>
      </c>
      <c r="K257" s="8">
        <v>4</v>
      </c>
      <c r="L257" s="8">
        <v>4</v>
      </c>
      <c r="M257" s="8">
        <v>787</v>
      </c>
      <c r="N257" s="8">
        <v>0</v>
      </c>
      <c r="O257" s="8">
        <v>7</v>
      </c>
      <c r="P257" s="8">
        <v>794</v>
      </c>
      <c r="Q257" s="8">
        <v>0</v>
      </c>
      <c r="R257" s="8">
        <v>1033</v>
      </c>
      <c r="S257" s="15">
        <f t="shared" si="6"/>
        <v>31</v>
      </c>
      <c r="T257" s="15">
        <f t="shared" si="7"/>
        <v>76.863504356243951</v>
      </c>
      <c r="U257" s="4"/>
    </row>
    <row r="258" spans="1:21">
      <c r="A258" s="8">
        <v>256</v>
      </c>
      <c r="B258" s="8">
        <v>256</v>
      </c>
      <c r="C258" s="8">
        <v>13</v>
      </c>
      <c r="D258" s="8">
        <v>274</v>
      </c>
      <c r="E258" s="8">
        <v>212</v>
      </c>
      <c r="F258" s="8">
        <v>1</v>
      </c>
      <c r="G258" s="8">
        <v>0</v>
      </c>
      <c r="H258" s="8">
        <v>1</v>
      </c>
      <c r="I258" s="8">
        <v>0</v>
      </c>
      <c r="J258" s="8">
        <v>1</v>
      </c>
      <c r="K258" s="8">
        <v>3</v>
      </c>
      <c r="L258" s="8">
        <v>3</v>
      </c>
      <c r="M258" s="8">
        <v>508</v>
      </c>
      <c r="N258" s="8">
        <v>0</v>
      </c>
      <c r="O258" s="8">
        <v>9</v>
      </c>
      <c r="P258" s="8">
        <v>517</v>
      </c>
      <c r="Q258" s="8">
        <v>0</v>
      </c>
      <c r="R258" s="8">
        <v>618</v>
      </c>
      <c r="S258" s="15">
        <f t="shared" si="6"/>
        <v>62</v>
      </c>
      <c r="T258" s="15">
        <f t="shared" si="7"/>
        <v>83.656957928802584</v>
      </c>
      <c r="U258" s="4"/>
    </row>
    <row r="259" spans="1:21">
      <c r="A259" s="8">
        <v>257</v>
      </c>
      <c r="B259" s="8">
        <v>257</v>
      </c>
      <c r="C259" s="8">
        <v>6</v>
      </c>
      <c r="D259" s="8">
        <v>313</v>
      </c>
      <c r="E259" s="8">
        <v>191</v>
      </c>
      <c r="F259" s="8">
        <v>0</v>
      </c>
      <c r="G259" s="8">
        <v>0</v>
      </c>
      <c r="H259" s="8">
        <v>0</v>
      </c>
      <c r="I259" s="8">
        <v>1</v>
      </c>
      <c r="J259" s="8">
        <v>1</v>
      </c>
      <c r="K259" s="8">
        <v>0</v>
      </c>
      <c r="L259" s="8">
        <v>0</v>
      </c>
      <c r="M259" s="8">
        <v>512</v>
      </c>
      <c r="N259" s="8">
        <v>0</v>
      </c>
      <c r="O259" s="8">
        <v>3</v>
      </c>
      <c r="P259" s="8">
        <v>515</v>
      </c>
      <c r="Q259" s="8">
        <v>0</v>
      </c>
      <c r="R259" s="8">
        <v>622</v>
      </c>
      <c r="S259" s="15">
        <f t="shared" ref="S259:S280" si="8">MAX(D259,E259)-MIN(D259,E259)</f>
        <v>122</v>
      </c>
      <c r="T259" s="15">
        <f t="shared" si="7"/>
        <v>82.79742765273312</v>
      </c>
      <c r="U259" s="4"/>
    </row>
    <row r="260" spans="1:21">
      <c r="A260" s="9">
        <v>258</v>
      </c>
      <c r="B260" s="9">
        <v>258</v>
      </c>
      <c r="C260" s="9">
        <v>9</v>
      </c>
      <c r="D260" s="9">
        <v>194</v>
      </c>
      <c r="E260" s="9">
        <v>504</v>
      </c>
      <c r="F260" s="9">
        <v>7</v>
      </c>
      <c r="G260" s="9">
        <v>0</v>
      </c>
      <c r="H260" s="9">
        <v>0</v>
      </c>
      <c r="I260" s="9">
        <v>0</v>
      </c>
      <c r="J260" s="9">
        <v>2</v>
      </c>
      <c r="K260" s="9">
        <v>4</v>
      </c>
      <c r="L260" s="9">
        <v>1</v>
      </c>
      <c r="M260" s="9">
        <v>721</v>
      </c>
      <c r="N260" s="9">
        <v>0</v>
      </c>
      <c r="O260" s="9">
        <v>2</v>
      </c>
      <c r="P260" s="9">
        <v>723</v>
      </c>
      <c r="Q260" s="9">
        <v>0</v>
      </c>
      <c r="R260" s="9">
        <v>1052</v>
      </c>
      <c r="S260" s="16">
        <f t="shared" si="8"/>
        <v>310</v>
      </c>
      <c r="T260" s="16">
        <f t="shared" ref="T260:T277" si="9">(P260/R260)*100</f>
        <v>68.726235741444867</v>
      </c>
      <c r="U260" s="4"/>
    </row>
    <row r="261" spans="1:21">
      <c r="A261" s="9">
        <v>259</v>
      </c>
      <c r="B261" s="9">
        <v>259</v>
      </c>
      <c r="C261" s="9">
        <v>11</v>
      </c>
      <c r="D261" s="9">
        <v>204</v>
      </c>
      <c r="E261" s="9">
        <v>310</v>
      </c>
      <c r="F261" s="9">
        <v>6</v>
      </c>
      <c r="G261" s="9">
        <v>1</v>
      </c>
      <c r="H261" s="9">
        <v>0</v>
      </c>
      <c r="I261" s="9">
        <v>0</v>
      </c>
      <c r="J261" s="9">
        <v>3</v>
      </c>
      <c r="K261" s="9">
        <v>0</v>
      </c>
      <c r="L261" s="9">
        <v>1</v>
      </c>
      <c r="M261" s="9">
        <v>536</v>
      </c>
      <c r="N261" s="9">
        <v>0</v>
      </c>
      <c r="O261" s="9">
        <v>2</v>
      </c>
      <c r="P261" s="9">
        <v>538</v>
      </c>
      <c r="Q261" s="9">
        <v>0</v>
      </c>
      <c r="R261" s="9">
        <v>667</v>
      </c>
      <c r="S261" s="16">
        <f t="shared" si="8"/>
        <v>106</v>
      </c>
      <c r="T261" s="16">
        <f t="shared" si="9"/>
        <v>80.659670164917543</v>
      </c>
      <c r="U261" s="4"/>
    </row>
    <row r="262" spans="1:21">
      <c r="A262" s="9">
        <v>260</v>
      </c>
      <c r="B262" s="9">
        <v>260</v>
      </c>
      <c r="C262" s="9">
        <v>13</v>
      </c>
      <c r="D262" s="9">
        <v>233</v>
      </c>
      <c r="E262" s="9">
        <v>249</v>
      </c>
      <c r="F262" s="9">
        <v>3</v>
      </c>
      <c r="G262" s="9">
        <v>0</v>
      </c>
      <c r="H262" s="9">
        <v>0</v>
      </c>
      <c r="I262" s="9">
        <v>0</v>
      </c>
      <c r="J262" s="9">
        <v>0</v>
      </c>
      <c r="K262" s="9">
        <v>1</v>
      </c>
      <c r="L262" s="9">
        <v>0</v>
      </c>
      <c r="M262" s="9">
        <v>499</v>
      </c>
      <c r="N262" s="9">
        <v>0</v>
      </c>
      <c r="O262" s="9">
        <v>1</v>
      </c>
      <c r="P262" s="9">
        <v>500</v>
      </c>
      <c r="Q262" s="9">
        <v>0</v>
      </c>
      <c r="R262" s="9">
        <v>584</v>
      </c>
      <c r="S262" s="16">
        <f t="shared" si="8"/>
        <v>16</v>
      </c>
      <c r="T262" s="16">
        <f t="shared" si="9"/>
        <v>85.61643835616438</v>
      </c>
      <c r="U262" s="4"/>
    </row>
    <row r="263" spans="1:21">
      <c r="A263" s="8">
        <v>261</v>
      </c>
      <c r="B263" s="8">
        <v>261</v>
      </c>
      <c r="C263" s="8">
        <v>3</v>
      </c>
      <c r="D263" s="8">
        <v>432</v>
      </c>
      <c r="E263" s="8">
        <v>255</v>
      </c>
      <c r="F263" s="8">
        <v>3</v>
      </c>
      <c r="G263" s="8">
        <v>0</v>
      </c>
      <c r="H263" s="8">
        <v>0</v>
      </c>
      <c r="I263" s="8">
        <v>1</v>
      </c>
      <c r="J263" s="8">
        <v>2</v>
      </c>
      <c r="K263" s="8">
        <v>1</v>
      </c>
      <c r="L263" s="8">
        <v>1</v>
      </c>
      <c r="M263" s="8">
        <v>698</v>
      </c>
      <c r="N263" s="8">
        <v>0</v>
      </c>
      <c r="O263" s="8">
        <v>2</v>
      </c>
      <c r="P263" s="8">
        <v>700</v>
      </c>
      <c r="Q263" s="8">
        <v>0</v>
      </c>
      <c r="R263" s="8">
        <v>803</v>
      </c>
      <c r="S263" s="15">
        <f t="shared" si="8"/>
        <v>177</v>
      </c>
      <c r="T263" s="15">
        <f t="shared" si="9"/>
        <v>87.173100871731009</v>
      </c>
      <c r="U263" s="4"/>
    </row>
    <row r="264" spans="1:21">
      <c r="A264" s="8">
        <v>262</v>
      </c>
      <c r="B264" s="8">
        <v>262</v>
      </c>
      <c r="C264" s="8">
        <v>4</v>
      </c>
      <c r="D264" s="8">
        <v>301</v>
      </c>
      <c r="E264" s="8">
        <v>284</v>
      </c>
      <c r="F264" s="8">
        <v>5</v>
      </c>
      <c r="G264" s="8">
        <v>0</v>
      </c>
      <c r="H264" s="8">
        <v>0</v>
      </c>
      <c r="I264" s="8">
        <v>1</v>
      </c>
      <c r="J264" s="8">
        <v>3</v>
      </c>
      <c r="K264" s="8">
        <v>4</v>
      </c>
      <c r="L264" s="8">
        <v>3</v>
      </c>
      <c r="M264" s="8">
        <v>605</v>
      </c>
      <c r="N264" s="8">
        <v>0</v>
      </c>
      <c r="O264" s="8">
        <v>1</v>
      </c>
      <c r="P264" s="8">
        <v>606</v>
      </c>
      <c r="Q264" s="8">
        <v>0</v>
      </c>
      <c r="R264" s="8">
        <v>744</v>
      </c>
      <c r="S264" s="15">
        <f t="shared" si="8"/>
        <v>17</v>
      </c>
      <c r="T264" s="15">
        <f t="shared" si="9"/>
        <v>81.451612903225808</v>
      </c>
      <c r="U264" s="4"/>
    </row>
    <row r="265" spans="1:21">
      <c r="A265" s="9">
        <v>263</v>
      </c>
      <c r="B265" s="9">
        <v>263</v>
      </c>
      <c r="C265" s="9">
        <v>6</v>
      </c>
      <c r="D265" s="9">
        <v>253</v>
      </c>
      <c r="E265" s="9">
        <v>354</v>
      </c>
      <c r="F265" s="9">
        <v>1</v>
      </c>
      <c r="G265" s="9">
        <v>1</v>
      </c>
      <c r="H265" s="9">
        <v>0</v>
      </c>
      <c r="I265" s="9">
        <v>0</v>
      </c>
      <c r="J265" s="9">
        <v>0</v>
      </c>
      <c r="K265" s="9">
        <v>5</v>
      </c>
      <c r="L265" s="9">
        <v>1</v>
      </c>
      <c r="M265" s="9">
        <v>621</v>
      </c>
      <c r="N265" s="9">
        <v>0</v>
      </c>
      <c r="O265" s="9">
        <v>1</v>
      </c>
      <c r="P265" s="9">
        <v>622</v>
      </c>
      <c r="Q265" s="9">
        <v>0</v>
      </c>
      <c r="R265" s="9">
        <v>704</v>
      </c>
      <c r="S265" s="16">
        <f t="shared" si="8"/>
        <v>101</v>
      </c>
      <c r="T265" s="14">
        <f t="shared" si="9"/>
        <v>88.352272727272734</v>
      </c>
      <c r="U265" s="4"/>
    </row>
    <row r="266" spans="1:21">
      <c r="A266" s="8">
        <v>264</v>
      </c>
      <c r="B266" s="8">
        <v>264</v>
      </c>
      <c r="C266" s="8">
        <v>5</v>
      </c>
      <c r="D266" s="8">
        <v>815</v>
      </c>
      <c r="E266" s="8">
        <v>227</v>
      </c>
      <c r="F266" s="8">
        <v>1</v>
      </c>
      <c r="G266" s="8">
        <v>1</v>
      </c>
      <c r="H266" s="8">
        <v>2</v>
      </c>
      <c r="I266" s="8">
        <v>4</v>
      </c>
      <c r="J266" s="8">
        <v>3</v>
      </c>
      <c r="K266" s="8">
        <v>1</v>
      </c>
      <c r="L266" s="8">
        <v>1</v>
      </c>
      <c r="M266" s="8">
        <v>1060</v>
      </c>
      <c r="N266" s="8">
        <v>0</v>
      </c>
      <c r="O266" s="8">
        <v>7</v>
      </c>
      <c r="P266" s="8">
        <v>1067</v>
      </c>
      <c r="Q266" s="8">
        <v>0</v>
      </c>
      <c r="R266" s="8">
        <v>1306</v>
      </c>
      <c r="S266" s="15">
        <f t="shared" si="8"/>
        <v>588</v>
      </c>
      <c r="T266" s="15">
        <f t="shared" si="9"/>
        <v>81.699846860643191</v>
      </c>
      <c r="U266" s="4"/>
    </row>
    <row r="267" spans="1:21">
      <c r="A267" s="8">
        <v>265</v>
      </c>
      <c r="B267" s="8">
        <v>265</v>
      </c>
      <c r="C267" s="8">
        <v>9</v>
      </c>
      <c r="D267" s="8">
        <v>704</v>
      </c>
      <c r="E267" s="8">
        <v>296</v>
      </c>
      <c r="F267" s="8">
        <v>3</v>
      </c>
      <c r="G267" s="8">
        <v>3</v>
      </c>
      <c r="H267" s="8">
        <v>4</v>
      </c>
      <c r="I267" s="8">
        <v>0</v>
      </c>
      <c r="J267" s="8">
        <v>5</v>
      </c>
      <c r="K267" s="8">
        <v>0</v>
      </c>
      <c r="L267" s="8">
        <v>3</v>
      </c>
      <c r="M267" s="8">
        <v>1027</v>
      </c>
      <c r="N267" s="8">
        <v>0</v>
      </c>
      <c r="O267" s="8">
        <v>8</v>
      </c>
      <c r="P267" s="8">
        <v>1035</v>
      </c>
      <c r="Q267" s="8">
        <v>0</v>
      </c>
      <c r="R267" s="8">
        <v>1360</v>
      </c>
      <c r="S267" s="15">
        <f t="shared" si="8"/>
        <v>408</v>
      </c>
      <c r="T267" s="15">
        <f t="shared" si="9"/>
        <v>76.10294117647058</v>
      </c>
      <c r="U267" s="4"/>
    </row>
    <row r="268" spans="1:21">
      <c r="A268" s="8">
        <v>266</v>
      </c>
      <c r="B268" s="8">
        <v>266</v>
      </c>
      <c r="C268" s="8">
        <v>2</v>
      </c>
      <c r="D268" s="8">
        <v>365</v>
      </c>
      <c r="E268" s="8">
        <v>253</v>
      </c>
      <c r="F268" s="8">
        <v>3</v>
      </c>
      <c r="G268" s="8">
        <v>1</v>
      </c>
      <c r="H268" s="8">
        <v>0</v>
      </c>
      <c r="I268" s="8">
        <v>0</v>
      </c>
      <c r="J268" s="8">
        <v>2</v>
      </c>
      <c r="K268" s="8">
        <v>0</v>
      </c>
      <c r="L268" s="8">
        <v>1</v>
      </c>
      <c r="M268" s="8">
        <v>627</v>
      </c>
      <c r="N268" s="8">
        <v>0</v>
      </c>
      <c r="O268" s="8">
        <v>1</v>
      </c>
      <c r="P268" s="8">
        <v>628</v>
      </c>
      <c r="Q268" s="8">
        <v>0</v>
      </c>
      <c r="R268" s="8">
        <v>746</v>
      </c>
      <c r="S268" s="15">
        <f t="shared" si="8"/>
        <v>112</v>
      </c>
      <c r="T268" s="15">
        <f t="shared" si="9"/>
        <v>84.182305630026804</v>
      </c>
      <c r="U268" s="4"/>
    </row>
    <row r="269" spans="1:21">
      <c r="A269" s="8">
        <v>267</v>
      </c>
      <c r="B269" s="8">
        <v>267</v>
      </c>
      <c r="C269" s="8">
        <v>2</v>
      </c>
      <c r="D269" s="8">
        <v>275</v>
      </c>
      <c r="E269" s="8">
        <v>105</v>
      </c>
      <c r="F269" s="8">
        <v>0</v>
      </c>
      <c r="G269" s="8">
        <v>0</v>
      </c>
      <c r="H269" s="8">
        <v>0</v>
      </c>
      <c r="I269" s="8">
        <v>0</v>
      </c>
      <c r="J269" s="8">
        <v>1</v>
      </c>
      <c r="K269" s="8">
        <v>0</v>
      </c>
      <c r="L269" s="8">
        <v>2</v>
      </c>
      <c r="M269" s="8">
        <v>385</v>
      </c>
      <c r="N269" s="8">
        <v>0</v>
      </c>
      <c r="O269" s="8">
        <v>4</v>
      </c>
      <c r="P269" s="8">
        <v>389</v>
      </c>
      <c r="Q269" s="8">
        <v>0</v>
      </c>
      <c r="R269" s="8">
        <v>526</v>
      </c>
      <c r="S269" s="15">
        <f t="shared" si="8"/>
        <v>170</v>
      </c>
      <c r="T269" s="15">
        <f t="shared" si="9"/>
        <v>73.954372623574145</v>
      </c>
      <c r="U269" s="4"/>
    </row>
    <row r="270" spans="1:21">
      <c r="A270" s="8">
        <v>268</v>
      </c>
      <c r="B270" s="8">
        <v>268</v>
      </c>
      <c r="C270" s="8">
        <v>14</v>
      </c>
      <c r="D270" s="8">
        <v>476</v>
      </c>
      <c r="E270" s="8">
        <v>291</v>
      </c>
      <c r="F270" s="8">
        <v>5</v>
      </c>
      <c r="G270" s="8">
        <v>2</v>
      </c>
      <c r="H270" s="8">
        <v>0</v>
      </c>
      <c r="I270" s="8">
        <v>0</v>
      </c>
      <c r="J270" s="8">
        <v>1</v>
      </c>
      <c r="K270" s="8">
        <v>3</v>
      </c>
      <c r="L270" s="8">
        <v>2</v>
      </c>
      <c r="M270" s="8">
        <v>794</v>
      </c>
      <c r="N270" s="8">
        <v>0</v>
      </c>
      <c r="O270" s="8">
        <v>2</v>
      </c>
      <c r="P270" s="8">
        <v>796</v>
      </c>
      <c r="Q270" s="8">
        <v>0</v>
      </c>
      <c r="R270" s="8">
        <v>1075</v>
      </c>
      <c r="S270" s="15">
        <f t="shared" si="8"/>
        <v>185</v>
      </c>
      <c r="T270" s="15">
        <f t="shared" si="9"/>
        <v>74.04651162790698</v>
      </c>
      <c r="U270" s="4"/>
    </row>
    <row r="271" spans="1:21">
      <c r="A271" s="8">
        <v>269</v>
      </c>
      <c r="B271" s="8">
        <v>269</v>
      </c>
      <c r="C271" s="8">
        <v>7</v>
      </c>
      <c r="D271" s="8">
        <v>497</v>
      </c>
      <c r="E271" s="8">
        <v>254</v>
      </c>
      <c r="F271" s="8">
        <v>3</v>
      </c>
      <c r="G271" s="8">
        <v>2</v>
      </c>
      <c r="H271" s="8">
        <v>1</v>
      </c>
      <c r="I271" s="8">
        <v>0</v>
      </c>
      <c r="J271" s="8">
        <v>1</v>
      </c>
      <c r="K271" s="8">
        <v>4</v>
      </c>
      <c r="L271" s="8">
        <v>3</v>
      </c>
      <c r="M271" s="8">
        <v>772</v>
      </c>
      <c r="N271" s="8">
        <v>0</v>
      </c>
      <c r="O271" s="8">
        <v>7</v>
      </c>
      <c r="P271" s="8">
        <v>779</v>
      </c>
      <c r="Q271" s="8">
        <v>0</v>
      </c>
      <c r="R271" s="8">
        <v>1065</v>
      </c>
      <c r="S271" s="15">
        <f t="shared" si="8"/>
        <v>243</v>
      </c>
      <c r="T271" s="15">
        <f t="shared" si="9"/>
        <v>73.145539906103281</v>
      </c>
      <c r="U271" s="4"/>
    </row>
    <row r="272" spans="1:21">
      <c r="A272" s="8">
        <v>270</v>
      </c>
      <c r="B272" s="8">
        <v>270</v>
      </c>
      <c r="C272" s="8">
        <v>0</v>
      </c>
      <c r="D272" s="8">
        <v>114</v>
      </c>
      <c r="E272" s="8">
        <v>64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178</v>
      </c>
      <c r="N272" s="8">
        <v>0</v>
      </c>
      <c r="O272" s="8">
        <v>0</v>
      </c>
      <c r="P272" s="8">
        <v>178</v>
      </c>
      <c r="Q272" s="8">
        <v>0</v>
      </c>
      <c r="R272" s="8">
        <v>222</v>
      </c>
      <c r="S272" s="15">
        <f t="shared" si="8"/>
        <v>50</v>
      </c>
      <c r="T272" s="15">
        <f t="shared" si="9"/>
        <v>80.180180180180187</v>
      </c>
      <c r="U272" s="4"/>
    </row>
    <row r="273" spans="1:21">
      <c r="A273" s="9">
        <v>271</v>
      </c>
      <c r="B273" s="9">
        <v>271</v>
      </c>
      <c r="C273" s="9">
        <v>5</v>
      </c>
      <c r="D273" s="9">
        <v>160</v>
      </c>
      <c r="E273" s="9">
        <v>161</v>
      </c>
      <c r="F273" s="9">
        <v>3</v>
      </c>
      <c r="G273" s="9">
        <v>0</v>
      </c>
      <c r="H273" s="9">
        <v>0</v>
      </c>
      <c r="I273" s="9">
        <v>1</v>
      </c>
      <c r="J273" s="9">
        <v>0</v>
      </c>
      <c r="K273" s="9">
        <v>0</v>
      </c>
      <c r="L273" s="9">
        <v>1</v>
      </c>
      <c r="M273" s="9">
        <v>331</v>
      </c>
      <c r="N273" s="9">
        <v>0</v>
      </c>
      <c r="O273" s="9">
        <v>2</v>
      </c>
      <c r="P273" s="9">
        <v>333</v>
      </c>
      <c r="Q273" s="9">
        <v>0</v>
      </c>
      <c r="R273" s="9">
        <v>397</v>
      </c>
      <c r="S273" s="16">
        <f t="shared" si="8"/>
        <v>1</v>
      </c>
      <c r="T273" s="16">
        <f t="shared" si="9"/>
        <v>83.879093198992436</v>
      </c>
      <c r="U273" s="4"/>
    </row>
    <row r="274" spans="1:21">
      <c r="A274" s="9">
        <v>272</v>
      </c>
      <c r="B274" s="9">
        <v>272</v>
      </c>
      <c r="C274" s="9">
        <v>0</v>
      </c>
      <c r="D274" s="9">
        <v>105</v>
      </c>
      <c r="E274" s="9">
        <v>145</v>
      </c>
      <c r="F274" s="9">
        <v>1</v>
      </c>
      <c r="G274" s="9">
        <v>2</v>
      </c>
      <c r="H274" s="9">
        <v>0</v>
      </c>
      <c r="I274" s="9">
        <v>0</v>
      </c>
      <c r="J274" s="9">
        <v>2</v>
      </c>
      <c r="K274" s="9">
        <v>0</v>
      </c>
      <c r="L274" s="9">
        <v>0</v>
      </c>
      <c r="M274" s="9">
        <v>255</v>
      </c>
      <c r="N274" s="9">
        <v>0</v>
      </c>
      <c r="O274" s="9">
        <v>2</v>
      </c>
      <c r="P274" s="9">
        <v>257</v>
      </c>
      <c r="Q274" s="9">
        <v>0</v>
      </c>
      <c r="R274" s="9">
        <v>364</v>
      </c>
      <c r="S274" s="16">
        <f t="shared" si="8"/>
        <v>40</v>
      </c>
      <c r="T274" s="16">
        <f t="shared" si="9"/>
        <v>70.604395604395606</v>
      </c>
      <c r="U274" s="4"/>
    </row>
    <row r="275" spans="1:21">
      <c r="A275" s="8">
        <v>273</v>
      </c>
      <c r="B275" s="8">
        <v>273</v>
      </c>
      <c r="C275" s="8">
        <v>7</v>
      </c>
      <c r="D275" s="8">
        <v>479</v>
      </c>
      <c r="E275" s="8">
        <v>334</v>
      </c>
      <c r="F275" s="8">
        <v>6</v>
      </c>
      <c r="G275" s="8">
        <v>0</v>
      </c>
      <c r="H275" s="8">
        <v>0</v>
      </c>
      <c r="I275" s="8">
        <v>0</v>
      </c>
      <c r="J275" s="8">
        <v>3</v>
      </c>
      <c r="K275" s="8">
        <v>6</v>
      </c>
      <c r="L275" s="8">
        <v>0</v>
      </c>
      <c r="M275" s="8">
        <v>835</v>
      </c>
      <c r="N275" s="8">
        <v>0</v>
      </c>
      <c r="O275" s="8">
        <v>5</v>
      </c>
      <c r="P275" s="8">
        <v>840</v>
      </c>
      <c r="Q275" s="8">
        <v>0</v>
      </c>
      <c r="R275" s="8">
        <v>1121</v>
      </c>
      <c r="S275" s="15">
        <f t="shared" si="8"/>
        <v>145</v>
      </c>
      <c r="T275" s="15">
        <f t="shared" si="9"/>
        <v>74.93309545049064</v>
      </c>
      <c r="U275" s="4"/>
    </row>
    <row r="276" spans="1:21">
      <c r="A276" s="9">
        <v>274</v>
      </c>
      <c r="B276" s="9">
        <v>274</v>
      </c>
      <c r="C276" s="9">
        <v>6</v>
      </c>
      <c r="D276" s="9">
        <v>118</v>
      </c>
      <c r="E276" s="9">
        <v>422</v>
      </c>
      <c r="F276" s="9">
        <v>4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2</v>
      </c>
      <c r="M276" s="9">
        <v>552</v>
      </c>
      <c r="N276" s="9">
        <v>0</v>
      </c>
      <c r="O276" s="9">
        <v>3</v>
      </c>
      <c r="P276" s="9">
        <v>555</v>
      </c>
      <c r="Q276" s="9">
        <v>0</v>
      </c>
      <c r="R276" s="9">
        <v>721</v>
      </c>
      <c r="S276" s="16">
        <f t="shared" si="8"/>
        <v>304</v>
      </c>
      <c r="T276" s="16">
        <f t="shared" si="9"/>
        <v>76.976421636615811</v>
      </c>
      <c r="U276" s="4"/>
    </row>
    <row r="277" spans="1:21">
      <c r="A277" s="9">
        <v>275</v>
      </c>
      <c r="B277" s="9">
        <v>275</v>
      </c>
      <c r="C277" s="9">
        <v>4</v>
      </c>
      <c r="D277" s="9">
        <v>197</v>
      </c>
      <c r="E277" s="9">
        <v>407</v>
      </c>
      <c r="F277" s="9">
        <v>7</v>
      </c>
      <c r="G277" s="9">
        <v>2</v>
      </c>
      <c r="H277" s="9">
        <v>0</v>
      </c>
      <c r="I277" s="9">
        <v>0</v>
      </c>
      <c r="J277" s="9">
        <v>2</v>
      </c>
      <c r="K277" s="9">
        <v>1</v>
      </c>
      <c r="L277" s="9">
        <v>0</v>
      </c>
      <c r="M277" s="9">
        <v>620</v>
      </c>
      <c r="N277" s="9">
        <v>0</v>
      </c>
      <c r="O277" s="9">
        <v>3</v>
      </c>
      <c r="P277" s="9">
        <v>623</v>
      </c>
      <c r="Q277" s="9">
        <v>0</v>
      </c>
      <c r="R277" s="9">
        <v>764</v>
      </c>
      <c r="S277" s="16">
        <f t="shared" si="8"/>
        <v>210</v>
      </c>
      <c r="T277" s="16">
        <f t="shared" si="9"/>
        <v>81.544502617801058</v>
      </c>
      <c r="U277" s="4"/>
    </row>
    <row r="278" spans="1:21">
      <c r="A278" s="35" t="s">
        <v>22</v>
      </c>
      <c r="B278" s="35"/>
      <c r="C278" s="6">
        <v>1148</v>
      </c>
      <c r="D278" s="6">
        <v>98460</v>
      </c>
      <c r="E278" s="6">
        <v>70788</v>
      </c>
      <c r="F278" s="6">
        <v>663</v>
      </c>
      <c r="G278" s="6">
        <v>113</v>
      </c>
      <c r="H278" s="6">
        <v>106</v>
      </c>
      <c r="I278" s="6">
        <v>115</v>
      </c>
      <c r="J278" s="6">
        <v>269</v>
      </c>
      <c r="K278" s="6">
        <v>405</v>
      </c>
      <c r="L278" s="6">
        <v>396</v>
      </c>
      <c r="M278" s="6">
        <v>172463</v>
      </c>
      <c r="N278" s="6">
        <v>0</v>
      </c>
      <c r="O278" s="6">
        <v>1288</v>
      </c>
      <c r="P278" s="6">
        <v>173751</v>
      </c>
      <c r="Q278" s="6">
        <v>0</v>
      </c>
      <c r="R278" s="6">
        <v>764</v>
      </c>
      <c r="S278" s="14">
        <f t="shared" si="8"/>
        <v>27672</v>
      </c>
      <c r="U278" s="4"/>
    </row>
    <row r="279" spans="1:21" ht="34.5">
      <c r="A279" s="13" t="s">
        <v>23</v>
      </c>
      <c r="B279" s="3"/>
      <c r="C279" s="3">
        <v>22</v>
      </c>
      <c r="D279" s="3">
        <v>786</v>
      </c>
      <c r="E279" s="3">
        <v>1648</v>
      </c>
      <c r="F279" s="3">
        <v>1</v>
      </c>
      <c r="G279" s="3">
        <v>1</v>
      </c>
      <c r="H279" s="3">
        <v>1</v>
      </c>
      <c r="I279" s="3">
        <v>1</v>
      </c>
      <c r="J279" s="3">
        <v>2</v>
      </c>
      <c r="K279" s="3">
        <v>0</v>
      </c>
      <c r="L279" s="3">
        <v>2</v>
      </c>
      <c r="M279" s="3">
        <v>2464</v>
      </c>
      <c r="N279" s="3">
        <v>119</v>
      </c>
      <c r="O279" s="3">
        <v>35</v>
      </c>
      <c r="P279" s="3">
        <v>2618</v>
      </c>
      <c r="Q279" s="3">
        <v>0</v>
      </c>
      <c r="R279" s="3"/>
      <c r="S279" s="14">
        <f t="shared" si="8"/>
        <v>862</v>
      </c>
      <c r="U279" s="4"/>
    </row>
    <row r="280" spans="1:21" ht="34.5">
      <c r="A280" s="13" t="s">
        <v>24</v>
      </c>
      <c r="B280" s="6"/>
      <c r="C280" s="6">
        <v>1170</v>
      </c>
      <c r="D280" s="6">
        <v>99246</v>
      </c>
      <c r="E280" s="6">
        <v>72436</v>
      </c>
      <c r="F280" s="6">
        <v>664</v>
      </c>
      <c r="G280" s="6">
        <v>114</v>
      </c>
      <c r="H280" s="6">
        <v>107</v>
      </c>
      <c r="I280" s="6">
        <v>116</v>
      </c>
      <c r="J280" s="6">
        <v>271</v>
      </c>
      <c r="K280" s="6">
        <v>405</v>
      </c>
      <c r="L280" s="6">
        <v>398</v>
      </c>
      <c r="M280" s="6">
        <v>174927</v>
      </c>
      <c r="N280" s="6">
        <v>119</v>
      </c>
      <c r="O280" s="6">
        <v>1323</v>
      </c>
      <c r="P280" s="6">
        <v>176369</v>
      </c>
      <c r="Q280" s="6">
        <v>0</v>
      </c>
      <c r="R280" s="6"/>
      <c r="S280" s="14">
        <f t="shared" si="8"/>
        <v>26810</v>
      </c>
      <c r="U280" s="4"/>
    </row>
  </sheetData>
  <autoFilter ref="A2:T280" xr:uid="{7C81E3C1-5A01-48F1-AA80-E145432B27DF}"/>
  <sortState xmlns:xlrd2="http://schemas.microsoft.com/office/spreadsheetml/2017/richdata2" ref="D3:E277">
    <sortCondition sortBy="cellColor" ref="D3:D277" dxfId="16"/>
  </sortState>
  <mergeCells count="1">
    <mergeCell ref="A278:B278"/>
  </mergeCells>
  <conditionalFormatting sqref="D3:D277">
    <cfRule type="expression" dxfId="15" priority="18">
      <formula>D3&lt;E3</formula>
    </cfRule>
    <cfRule type="expression" dxfId="14" priority="20">
      <formula>D3&gt;E3</formula>
    </cfRule>
  </conditionalFormatting>
  <conditionalFormatting sqref="E3:E277">
    <cfRule type="expression" dxfId="13" priority="17">
      <formula>D3&gt;E3</formula>
    </cfRule>
    <cfRule type="expression" dxfId="12" priority="19">
      <formula>E3&gt;D3</formula>
    </cfRule>
  </conditionalFormatting>
  <conditionalFormatting sqref="S3:S277">
    <cfRule type="cellIs" dxfId="11" priority="3" operator="lessThan">
      <formula>50</formula>
    </cfRule>
    <cfRule type="cellIs" dxfId="10" priority="4" operator="greaterThan">
      <formula>400</formula>
    </cfRule>
  </conditionalFormatting>
  <conditionalFormatting sqref="T3:T277">
    <cfRule type="cellIs" dxfId="9" priority="1" operator="lessThan">
      <formula>70</formula>
    </cfRule>
    <cfRule type="cellIs" dxfId="8" priority="2" operator="greaterThan">
      <formula>80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C626-2F5C-4EE3-B081-F2E4E86D0C83}">
  <dimension ref="A1:V35"/>
  <sheetViews>
    <sheetView topLeftCell="L1" workbookViewId="0">
      <selection activeCell="AI13" sqref="AI13"/>
    </sheetView>
  </sheetViews>
  <sheetFormatPr defaultRowHeight="14"/>
  <cols>
    <col min="19" max="19" width="14.75" customWidth="1"/>
    <col min="20" max="20" width="13.1640625" customWidth="1"/>
  </cols>
  <sheetData>
    <row r="1" spans="1:22" ht="57.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9" t="s">
        <v>18</v>
      </c>
      <c r="T1" s="19" t="s">
        <v>19</v>
      </c>
      <c r="U1" s="18" t="s">
        <v>25</v>
      </c>
      <c r="V1" s="18" t="s">
        <v>26</v>
      </c>
    </row>
    <row r="2" spans="1:22" ht="34.5">
      <c r="A2" s="1"/>
      <c r="B2" s="1"/>
      <c r="C2" s="5"/>
      <c r="D2" s="1" t="s">
        <v>20</v>
      </c>
      <c r="E2" s="1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4"/>
      <c r="T2" s="14"/>
      <c r="U2" s="10"/>
      <c r="V2" s="10"/>
    </row>
    <row r="3" spans="1:22">
      <c r="A3" s="8">
        <v>5</v>
      </c>
      <c r="B3" s="8">
        <v>5</v>
      </c>
      <c r="C3" s="8">
        <v>5</v>
      </c>
      <c r="D3" s="8">
        <v>222</v>
      </c>
      <c r="E3" s="8">
        <v>184</v>
      </c>
      <c r="F3" s="8">
        <v>2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1</v>
      </c>
      <c r="M3" s="8">
        <v>414</v>
      </c>
      <c r="N3" s="8">
        <v>0</v>
      </c>
      <c r="O3" s="8">
        <v>0</v>
      </c>
      <c r="P3" s="8">
        <v>414</v>
      </c>
      <c r="Q3" s="8">
        <v>0</v>
      </c>
      <c r="R3" s="8">
        <v>497</v>
      </c>
      <c r="S3" s="15">
        <v>38</v>
      </c>
      <c r="T3" s="15">
        <v>83.299798792756548</v>
      </c>
      <c r="U3" s="10">
        <f t="shared" ref="U3:U35" si="0">IF(D3&gt;E3,S3,NA())</f>
        <v>38</v>
      </c>
      <c r="V3" s="10" t="e">
        <f t="shared" ref="V3:V35" si="1">IF(E3&gt;D3,S3,NA())</f>
        <v>#N/A</v>
      </c>
    </row>
    <row r="4" spans="1:22">
      <c r="A4" s="9">
        <v>7</v>
      </c>
      <c r="B4" s="9">
        <v>7</v>
      </c>
      <c r="C4" s="9">
        <v>4</v>
      </c>
      <c r="D4" s="9">
        <v>198</v>
      </c>
      <c r="E4" s="9">
        <v>204</v>
      </c>
      <c r="F4" s="9">
        <v>1</v>
      </c>
      <c r="G4" s="9">
        <v>1</v>
      </c>
      <c r="H4" s="9">
        <v>0</v>
      </c>
      <c r="I4" s="9">
        <v>1</v>
      </c>
      <c r="J4" s="9">
        <v>0</v>
      </c>
      <c r="K4" s="9">
        <v>5</v>
      </c>
      <c r="L4" s="9">
        <v>2</v>
      </c>
      <c r="M4" s="9">
        <v>416</v>
      </c>
      <c r="N4" s="9">
        <v>0</v>
      </c>
      <c r="O4" s="9">
        <v>2</v>
      </c>
      <c r="P4" s="9">
        <v>418</v>
      </c>
      <c r="Q4" s="9">
        <v>0</v>
      </c>
      <c r="R4" s="9">
        <v>492</v>
      </c>
      <c r="S4" s="16">
        <v>6</v>
      </c>
      <c r="T4" s="16">
        <v>84.959349593495944</v>
      </c>
      <c r="U4" s="10" t="e">
        <f t="shared" si="0"/>
        <v>#N/A</v>
      </c>
      <c r="V4" s="10">
        <f t="shared" si="1"/>
        <v>6</v>
      </c>
    </row>
    <row r="5" spans="1:22">
      <c r="A5" s="9">
        <v>22</v>
      </c>
      <c r="B5" s="9">
        <v>22</v>
      </c>
      <c r="C5" s="9">
        <v>1</v>
      </c>
      <c r="D5" s="9">
        <v>214</v>
      </c>
      <c r="E5" s="9">
        <v>237</v>
      </c>
      <c r="F5" s="9">
        <v>3</v>
      </c>
      <c r="G5" s="9">
        <v>0</v>
      </c>
      <c r="H5" s="9">
        <v>0</v>
      </c>
      <c r="I5" s="9">
        <v>0</v>
      </c>
      <c r="J5" s="9">
        <v>1</v>
      </c>
      <c r="K5" s="9">
        <v>1</v>
      </c>
      <c r="L5" s="9">
        <v>4</v>
      </c>
      <c r="M5" s="9">
        <v>461</v>
      </c>
      <c r="N5" s="9">
        <v>0</v>
      </c>
      <c r="O5" s="9">
        <v>1</v>
      </c>
      <c r="P5" s="9">
        <v>462</v>
      </c>
      <c r="Q5" s="9">
        <v>0</v>
      </c>
      <c r="R5" s="9">
        <v>556</v>
      </c>
      <c r="S5" s="16">
        <v>23</v>
      </c>
      <c r="T5" s="16">
        <v>83.093525179856115</v>
      </c>
      <c r="U5" s="10" t="e">
        <f t="shared" si="0"/>
        <v>#N/A</v>
      </c>
      <c r="V5" s="10">
        <f t="shared" si="1"/>
        <v>23</v>
      </c>
    </row>
    <row r="6" spans="1:22">
      <c r="A6" s="9">
        <v>32</v>
      </c>
      <c r="B6" s="9">
        <v>32</v>
      </c>
      <c r="C6" s="9">
        <v>4</v>
      </c>
      <c r="D6" s="9">
        <v>169</v>
      </c>
      <c r="E6" s="9">
        <v>172</v>
      </c>
      <c r="F6" s="9">
        <v>3</v>
      </c>
      <c r="G6" s="9">
        <v>1</v>
      </c>
      <c r="H6" s="9">
        <v>0</v>
      </c>
      <c r="I6" s="9">
        <v>0</v>
      </c>
      <c r="J6" s="9">
        <v>1</v>
      </c>
      <c r="K6" s="9">
        <v>0</v>
      </c>
      <c r="L6" s="9">
        <v>1</v>
      </c>
      <c r="M6" s="9">
        <v>351</v>
      </c>
      <c r="N6" s="9">
        <v>0</v>
      </c>
      <c r="O6" s="9">
        <v>1</v>
      </c>
      <c r="P6" s="9">
        <v>352</v>
      </c>
      <c r="Q6" s="9">
        <v>0</v>
      </c>
      <c r="R6" s="9">
        <v>423</v>
      </c>
      <c r="S6" s="16">
        <v>3</v>
      </c>
      <c r="T6" s="14">
        <v>83.215130023640654</v>
      </c>
      <c r="U6" s="10" t="e">
        <f t="shared" si="0"/>
        <v>#N/A</v>
      </c>
      <c r="V6" s="10">
        <f t="shared" si="1"/>
        <v>3</v>
      </c>
    </row>
    <row r="7" spans="1:22">
      <c r="A7" s="9">
        <v>33</v>
      </c>
      <c r="B7" s="9">
        <v>33</v>
      </c>
      <c r="C7" s="9">
        <v>2</v>
      </c>
      <c r="D7" s="9">
        <v>360</v>
      </c>
      <c r="E7" s="9">
        <v>387</v>
      </c>
      <c r="F7" s="9">
        <v>1</v>
      </c>
      <c r="G7" s="9">
        <v>0</v>
      </c>
      <c r="H7" s="9">
        <v>0</v>
      </c>
      <c r="I7" s="9">
        <v>1</v>
      </c>
      <c r="J7" s="9">
        <v>0</v>
      </c>
      <c r="K7" s="9">
        <v>0</v>
      </c>
      <c r="L7" s="9">
        <v>2</v>
      </c>
      <c r="M7" s="9">
        <v>753</v>
      </c>
      <c r="N7" s="9">
        <v>0</v>
      </c>
      <c r="O7" s="9">
        <v>2</v>
      </c>
      <c r="P7" s="9">
        <v>755</v>
      </c>
      <c r="Q7" s="9">
        <v>0</v>
      </c>
      <c r="R7" s="9">
        <v>908</v>
      </c>
      <c r="S7" s="16">
        <v>27</v>
      </c>
      <c r="T7" s="14">
        <v>83.149779735682813</v>
      </c>
      <c r="U7" s="10" t="e">
        <f t="shared" si="0"/>
        <v>#N/A</v>
      </c>
      <c r="V7" s="10">
        <f t="shared" si="1"/>
        <v>27</v>
      </c>
    </row>
    <row r="8" spans="1:22">
      <c r="A8" s="8">
        <v>37</v>
      </c>
      <c r="B8" s="8">
        <v>37</v>
      </c>
      <c r="C8" s="8">
        <v>3</v>
      </c>
      <c r="D8" s="8">
        <v>198</v>
      </c>
      <c r="E8" s="8">
        <v>185</v>
      </c>
      <c r="F8" s="8">
        <v>2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</v>
      </c>
      <c r="M8" s="8">
        <v>390</v>
      </c>
      <c r="N8" s="8">
        <v>0</v>
      </c>
      <c r="O8" s="8">
        <v>2</v>
      </c>
      <c r="P8" s="8">
        <v>392</v>
      </c>
      <c r="Q8" s="8">
        <v>0</v>
      </c>
      <c r="R8" s="8">
        <v>449</v>
      </c>
      <c r="S8" s="15">
        <v>13</v>
      </c>
      <c r="T8" s="15">
        <v>87.305122494432069</v>
      </c>
      <c r="U8" s="10">
        <f t="shared" si="0"/>
        <v>13</v>
      </c>
      <c r="V8" s="10" t="e">
        <f t="shared" si="1"/>
        <v>#N/A</v>
      </c>
    </row>
    <row r="9" spans="1:22">
      <c r="A9" s="7">
        <v>68</v>
      </c>
      <c r="B9" s="7">
        <v>68</v>
      </c>
      <c r="C9" s="7">
        <v>0</v>
      </c>
      <c r="D9" s="7">
        <v>190</v>
      </c>
      <c r="E9" s="7">
        <v>173</v>
      </c>
      <c r="F9" s="7">
        <v>0</v>
      </c>
      <c r="G9" s="7">
        <v>0</v>
      </c>
      <c r="H9" s="7">
        <v>1</v>
      </c>
      <c r="I9" s="7">
        <v>0</v>
      </c>
      <c r="J9" s="7">
        <v>0</v>
      </c>
      <c r="K9" s="7">
        <v>2</v>
      </c>
      <c r="L9" s="7">
        <v>0</v>
      </c>
      <c r="M9" s="7">
        <v>366</v>
      </c>
      <c r="N9" s="7">
        <v>0</v>
      </c>
      <c r="O9" s="7">
        <v>0</v>
      </c>
      <c r="P9" s="7">
        <v>366</v>
      </c>
      <c r="Q9" s="7">
        <v>0</v>
      </c>
      <c r="R9" s="7">
        <v>395</v>
      </c>
      <c r="S9" s="14">
        <v>17</v>
      </c>
      <c r="T9" s="17">
        <v>92.658227848101276</v>
      </c>
      <c r="U9" s="10">
        <f t="shared" si="0"/>
        <v>17</v>
      </c>
      <c r="V9" s="10" t="e">
        <f t="shared" si="1"/>
        <v>#N/A</v>
      </c>
    </row>
    <row r="10" spans="1:22">
      <c r="A10" s="8">
        <v>72</v>
      </c>
      <c r="B10" s="8">
        <v>72</v>
      </c>
      <c r="C10" s="8">
        <v>13</v>
      </c>
      <c r="D10" s="8">
        <v>379</v>
      </c>
      <c r="E10" s="8">
        <v>374</v>
      </c>
      <c r="F10" s="8">
        <v>6</v>
      </c>
      <c r="G10" s="8">
        <v>0</v>
      </c>
      <c r="H10" s="8">
        <v>0</v>
      </c>
      <c r="I10" s="8">
        <v>0</v>
      </c>
      <c r="J10" s="8">
        <v>5</v>
      </c>
      <c r="K10" s="8">
        <v>4</v>
      </c>
      <c r="L10" s="8">
        <v>1</v>
      </c>
      <c r="M10" s="8">
        <v>782</v>
      </c>
      <c r="N10" s="8">
        <v>0</v>
      </c>
      <c r="O10" s="8">
        <v>4</v>
      </c>
      <c r="P10" s="8">
        <v>786</v>
      </c>
      <c r="Q10" s="8">
        <v>0</v>
      </c>
      <c r="R10" s="8">
        <v>939</v>
      </c>
      <c r="S10" s="15">
        <v>5</v>
      </c>
      <c r="T10" s="15">
        <v>83.70607028753993</v>
      </c>
      <c r="U10" s="10">
        <f t="shared" si="0"/>
        <v>5</v>
      </c>
      <c r="V10" s="10" t="e">
        <f t="shared" si="1"/>
        <v>#N/A</v>
      </c>
    </row>
    <row r="11" spans="1:22">
      <c r="A11" s="8">
        <v>74</v>
      </c>
      <c r="B11" s="8">
        <v>74</v>
      </c>
      <c r="C11" s="8">
        <v>21</v>
      </c>
      <c r="D11" s="8">
        <v>434</v>
      </c>
      <c r="E11" s="8">
        <v>407</v>
      </c>
      <c r="F11" s="8">
        <v>5</v>
      </c>
      <c r="G11" s="8">
        <v>0</v>
      </c>
      <c r="H11" s="8">
        <v>0</v>
      </c>
      <c r="I11" s="8">
        <v>1</v>
      </c>
      <c r="J11" s="8">
        <v>0</v>
      </c>
      <c r="K11" s="8">
        <v>1</v>
      </c>
      <c r="L11" s="8">
        <v>1</v>
      </c>
      <c r="M11" s="8">
        <v>870</v>
      </c>
      <c r="N11" s="8">
        <v>0</v>
      </c>
      <c r="O11" s="8">
        <v>7</v>
      </c>
      <c r="P11" s="8">
        <v>877</v>
      </c>
      <c r="Q11" s="8">
        <v>0</v>
      </c>
      <c r="R11" s="8">
        <v>1079</v>
      </c>
      <c r="S11" s="15">
        <v>27</v>
      </c>
      <c r="T11" s="15">
        <v>81.278962001853571</v>
      </c>
      <c r="U11" s="10">
        <f t="shared" si="0"/>
        <v>27</v>
      </c>
      <c r="V11" s="10" t="e">
        <f t="shared" si="1"/>
        <v>#N/A</v>
      </c>
    </row>
    <row r="12" spans="1:22">
      <c r="A12" s="9">
        <v>87</v>
      </c>
      <c r="B12" s="9">
        <v>87</v>
      </c>
      <c r="C12" s="9">
        <v>3</v>
      </c>
      <c r="D12" s="9">
        <v>144</v>
      </c>
      <c r="E12" s="9">
        <v>183</v>
      </c>
      <c r="F12" s="9">
        <v>3</v>
      </c>
      <c r="G12" s="9">
        <v>0</v>
      </c>
      <c r="H12" s="9">
        <v>0</v>
      </c>
      <c r="I12" s="9">
        <v>0</v>
      </c>
      <c r="J12" s="9">
        <v>0</v>
      </c>
      <c r="K12" s="9">
        <v>1</v>
      </c>
      <c r="L12" s="9">
        <v>0</v>
      </c>
      <c r="M12" s="9">
        <v>334</v>
      </c>
      <c r="N12" s="9">
        <v>0</v>
      </c>
      <c r="O12" s="9">
        <v>0</v>
      </c>
      <c r="P12" s="9">
        <v>334</v>
      </c>
      <c r="Q12" s="9">
        <v>0</v>
      </c>
      <c r="R12" s="9">
        <v>399</v>
      </c>
      <c r="S12" s="16">
        <v>39</v>
      </c>
      <c r="T12" s="14">
        <v>83.709273182957389</v>
      </c>
      <c r="U12" s="10" t="e">
        <f t="shared" si="0"/>
        <v>#N/A</v>
      </c>
      <c r="V12" s="10">
        <f t="shared" si="1"/>
        <v>39</v>
      </c>
    </row>
    <row r="13" spans="1:22">
      <c r="A13" s="8">
        <v>89</v>
      </c>
      <c r="B13" s="8">
        <v>89</v>
      </c>
      <c r="C13" s="8">
        <v>3</v>
      </c>
      <c r="D13" s="8">
        <v>265</v>
      </c>
      <c r="E13" s="8">
        <v>223</v>
      </c>
      <c r="F13" s="8">
        <v>6</v>
      </c>
      <c r="G13" s="8">
        <v>1</v>
      </c>
      <c r="H13" s="8">
        <v>0</v>
      </c>
      <c r="I13" s="8">
        <v>0</v>
      </c>
      <c r="J13" s="8">
        <v>0</v>
      </c>
      <c r="K13" s="8">
        <v>0</v>
      </c>
      <c r="L13" s="8">
        <v>2</v>
      </c>
      <c r="M13" s="8">
        <v>500</v>
      </c>
      <c r="N13" s="8">
        <v>0</v>
      </c>
      <c r="O13" s="8">
        <v>4</v>
      </c>
      <c r="P13" s="8">
        <v>504</v>
      </c>
      <c r="Q13" s="8">
        <v>0</v>
      </c>
      <c r="R13" s="8">
        <v>610</v>
      </c>
      <c r="S13" s="15">
        <v>42</v>
      </c>
      <c r="T13" s="15">
        <v>82.622950819672141</v>
      </c>
      <c r="U13" s="10">
        <f t="shared" si="0"/>
        <v>42</v>
      </c>
      <c r="V13" s="10" t="e">
        <f t="shared" si="1"/>
        <v>#N/A</v>
      </c>
    </row>
    <row r="14" spans="1:22">
      <c r="A14" s="3">
        <v>92</v>
      </c>
      <c r="B14" s="3">
        <v>92</v>
      </c>
      <c r="C14" s="3">
        <v>0</v>
      </c>
      <c r="D14" s="3">
        <v>110</v>
      </c>
      <c r="E14" s="3">
        <v>125</v>
      </c>
      <c r="F14" s="3">
        <v>2</v>
      </c>
      <c r="G14" s="3">
        <v>0</v>
      </c>
      <c r="H14" s="3">
        <v>0</v>
      </c>
      <c r="I14" s="3">
        <v>0</v>
      </c>
      <c r="J14" s="3">
        <v>0</v>
      </c>
      <c r="K14" s="3">
        <v>1</v>
      </c>
      <c r="L14" s="3">
        <v>1</v>
      </c>
      <c r="M14" s="3">
        <v>239</v>
      </c>
      <c r="N14" s="3">
        <v>0</v>
      </c>
      <c r="O14" s="3">
        <v>0</v>
      </c>
      <c r="P14" s="3">
        <v>239</v>
      </c>
      <c r="Q14" s="3">
        <v>0</v>
      </c>
      <c r="R14" s="3">
        <v>277</v>
      </c>
      <c r="S14" s="14">
        <v>15</v>
      </c>
      <c r="T14" s="14">
        <v>86.281588447653434</v>
      </c>
      <c r="U14" s="10" t="e">
        <f t="shared" si="0"/>
        <v>#N/A</v>
      </c>
      <c r="V14" s="10">
        <f t="shared" si="1"/>
        <v>15</v>
      </c>
    </row>
    <row r="15" spans="1:22">
      <c r="A15" s="8">
        <v>96</v>
      </c>
      <c r="B15" s="8">
        <v>96</v>
      </c>
      <c r="C15" s="8">
        <v>8</v>
      </c>
      <c r="D15" s="8">
        <v>488</v>
      </c>
      <c r="E15" s="8">
        <v>454</v>
      </c>
      <c r="F15" s="8">
        <v>5</v>
      </c>
      <c r="G15" s="8">
        <v>0</v>
      </c>
      <c r="H15" s="8">
        <v>0</v>
      </c>
      <c r="I15" s="8">
        <v>1</v>
      </c>
      <c r="J15" s="8">
        <v>3</v>
      </c>
      <c r="K15" s="8">
        <v>3</v>
      </c>
      <c r="L15" s="8">
        <v>3</v>
      </c>
      <c r="M15" s="8">
        <v>965</v>
      </c>
      <c r="N15" s="8">
        <v>0</v>
      </c>
      <c r="O15" s="8">
        <v>7</v>
      </c>
      <c r="P15" s="8">
        <v>972</v>
      </c>
      <c r="Q15" s="8">
        <v>0</v>
      </c>
      <c r="R15" s="8">
        <v>1192</v>
      </c>
      <c r="S15" s="15">
        <v>34</v>
      </c>
      <c r="T15" s="15">
        <v>81.543624161073822</v>
      </c>
      <c r="U15" s="10">
        <f t="shared" si="0"/>
        <v>34</v>
      </c>
      <c r="V15" s="10" t="e">
        <f t="shared" si="1"/>
        <v>#N/A</v>
      </c>
    </row>
    <row r="16" spans="1:22">
      <c r="A16" s="9">
        <v>99</v>
      </c>
      <c r="B16" s="9">
        <v>99</v>
      </c>
      <c r="C16" s="9">
        <v>3</v>
      </c>
      <c r="D16" s="9">
        <v>220</v>
      </c>
      <c r="E16" s="9">
        <v>241</v>
      </c>
      <c r="F16" s="9">
        <v>1</v>
      </c>
      <c r="G16" s="9">
        <v>0</v>
      </c>
      <c r="H16" s="9">
        <v>2</v>
      </c>
      <c r="I16" s="9">
        <v>0</v>
      </c>
      <c r="J16" s="9">
        <v>0</v>
      </c>
      <c r="K16" s="9">
        <v>1</v>
      </c>
      <c r="L16" s="9">
        <v>0</v>
      </c>
      <c r="M16" s="9">
        <v>468</v>
      </c>
      <c r="N16" s="9">
        <v>0</v>
      </c>
      <c r="O16" s="9">
        <v>5</v>
      </c>
      <c r="P16" s="9">
        <v>473</v>
      </c>
      <c r="Q16" s="9">
        <v>0</v>
      </c>
      <c r="R16" s="9">
        <v>689</v>
      </c>
      <c r="S16" s="16">
        <v>21</v>
      </c>
      <c r="T16" s="16">
        <v>68.650217706821479</v>
      </c>
      <c r="U16" s="10" t="e">
        <f t="shared" si="0"/>
        <v>#N/A</v>
      </c>
      <c r="V16" s="10">
        <f t="shared" si="1"/>
        <v>21</v>
      </c>
    </row>
    <row r="17" spans="1:22">
      <c r="A17" s="8">
        <v>115</v>
      </c>
      <c r="B17" s="8">
        <v>115</v>
      </c>
      <c r="C17" s="8">
        <v>1</v>
      </c>
      <c r="D17" s="8">
        <v>281</v>
      </c>
      <c r="E17" s="8">
        <v>270</v>
      </c>
      <c r="F17" s="8">
        <v>0</v>
      </c>
      <c r="G17" s="8">
        <v>0</v>
      </c>
      <c r="H17" s="8">
        <v>0</v>
      </c>
      <c r="I17" s="8">
        <v>0</v>
      </c>
      <c r="J17" s="8">
        <v>1</v>
      </c>
      <c r="K17" s="8">
        <v>0</v>
      </c>
      <c r="L17" s="8">
        <v>1</v>
      </c>
      <c r="M17" s="8">
        <v>554</v>
      </c>
      <c r="N17" s="8">
        <v>0</v>
      </c>
      <c r="O17" s="8">
        <v>2</v>
      </c>
      <c r="P17" s="8">
        <v>556</v>
      </c>
      <c r="Q17" s="8">
        <v>0</v>
      </c>
      <c r="R17" s="8">
        <v>837</v>
      </c>
      <c r="S17" s="15">
        <v>11</v>
      </c>
      <c r="T17" s="15">
        <v>66.427718040621258</v>
      </c>
      <c r="U17" s="10">
        <f t="shared" si="0"/>
        <v>11</v>
      </c>
      <c r="V17" s="10" t="e">
        <f t="shared" si="1"/>
        <v>#N/A</v>
      </c>
    </row>
    <row r="18" spans="1:22">
      <c r="A18" s="8">
        <v>131</v>
      </c>
      <c r="B18" s="8">
        <v>131</v>
      </c>
      <c r="C18" s="8">
        <v>1</v>
      </c>
      <c r="D18" s="8">
        <v>167</v>
      </c>
      <c r="E18" s="8">
        <v>123</v>
      </c>
      <c r="F18" s="8">
        <v>0</v>
      </c>
      <c r="G18" s="8">
        <v>0</v>
      </c>
      <c r="H18" s="8">
        <v>0</v>
      </c>
      <c r="I18" s="8">
        <v>1</v>
      </c>
      <c r="J18" s="8">
        <v>0</v>
      </c>
      <c r="K18" s="8">
        <v>0</v>
      </c>
      <c r="L18" s="8">
        <v>1</v>
      </c>
      <c r="M18" s="8">
        <v>293</v>
      </c>
      <c r="N18" s="8">
        <v>0</v>
      </c>
      <c r="O18" s="8">
        <v>5</v>
      </c>
      <c r="P18" s="8">
        <v>298</v>
      </c>
      <c r="Q18" s="8">
        <v>0</v>
      </c>
      <c r="R18" s="8">
        <v>362</v>
      </c>
      <c r="S18" s="15">
        <v>44</v>
      </c>
      <c r="T18" s="15">
        <v>82.320441988950279</v>
      </c>
      <c r="U18" s="10">
        <f t="shared" si="0"/>
        <v>44</v>
      </c>
      <c r="V18" s="10" t="e">
        <f t="shared" si="1"/>
        <v>#N/A</v>
      </c>
    </row>
    <row r="19" spans="1:22">
      <c r="A19" s="9">
        <v>134</v>
      </c>
      <c r="B19" s="9">
        <v>134</v>
      </c>
      <c r="C19" s="9">
        <v>0</v>
      </c>
      <c r="D19" s="9">
        <v>239</v>
      </c>
      <c r="E19" s="9">
        <v>242</v>
      </c>
      <c r="F19" s="9">
        <v>4</v>
      </c>
      <c r="G19" s="9">
        <v>1</v>
      </c>
      <c r="H19" s="9">
        <v>0</v>
      </c>
      <c r="I19" s="9">
        <v>0</v>
      </c>
      <c r="J19" s="9">
        <v>1</v>
      </c>
      <c r="K19" s="9">
        <v>0</v>
      </c>
      <c r="L19" s="9">
        <v>0</v>
      </c>
      <c r="M19" s="9">
        <v>487</v>
      </c>
      <c r="N19" s="9">
        <v>0</v>
      </c>
      <c r="O19" s="9">
        <v>5</v>
      </c>
      <c r="P19" s="9">
        <v>492</v>
      </c>
      <c r="Q19" s="9">
        <v>0</v>
      </c>
      <c r="R19" s="9">
        <v>613</v>
      </c>
      <c r="S19" s="16">
        <v>3</v>
      </c>
      <c r="T19" s="16">
        <v>80.261011419249598</v>
      </c>
      <c r="U19" s="10" t="e">
        <f t="shared" si="0"/>
        <v>#N/A</v>
      </c>
      <c r="V19" s="10">
        <f t="shared" si="1"/>
        <v>3</v>
      </c>
    </row>
    <row r="20" spans="1:22">
      <c r="A20" s="11">
        <v>140</v>
      </c>
      <c r="B20" s="11">
        <v>140</v>
      </c>
      <c r="C20" s="8">
        <v>2</v>
      </c>
      <c r="D20" s="8">
        <v>306</v>
      </c>
      <c r="E20" s="8">
        <v>280</v>
      </c>
      <c r="F20" s="8">
        <v>1</v>
      </c>
      <c r="G20" s="8">
        <v>0</v>
      </c>
      <c r="H20" s="8">
        <v>0</v>
      </c>
      <c r="I20" s="8">
        <v>4</v>
      </c>
      <c r="J20" s="8">
        <v>1</v>
      </c>
      <c r="K20" s="8">
        <v>0</v>
      </c>
      <c r="L20" s="8">
        <v>2</v>
      </c>
      <c r="M20" s="8">
        <v>596</v>
      </c>
      <c r="N20" s="8">
        <v>0</v>
      </c>
      <c r="O20" s="8">
        <v>6</v>
      </c>
      <c r="P20" s="8">
        <v>602</v>
      </c>
      <c r="Q20" s="8">
        <v>0</v>
      </c>
      <c r="R20" s="8">
        <v>864</v>
      </c>
      <c r="S20" s="15">
        <v>26</v>
      </c>
      <c r="T20" s="15">
        <v>69.675925925925924</v>
      </c>
      <c r="U20" s="10">
        <f t="shared" si="0"/>
        <v>26</v>
      </c>
      <c r="V20" s="10" t="e">
        <f t="shared" si="1"/>
        <v>#N/A</v>
      </c>
    </row>
    <row r="21" spans="1:22">
      <c r="A21" s="8">
        <v>156</v>
      </c>
      <c r="B21" s="8">
        <v>156</v>
      </c>
      <c r="C21" s="8">
        <v>4</v>
      </c>
      <c r="D21" s="8">
        <v>248</v>
      </c>
      <c r="E21" s="8">
        <v>240</v>
      </c>
      <c r="F21" s="8">
        <v>1</v>
      </c>
      <c r="G21" s="8">
        <v>0</v>
      </c>
      <c r="H21" s="8">
        <v>1</v>
      </c>
      <c r="I21" s="8">
        <v>0</v>
      </c>
      <c r="J21" s="8">
        <v>1</v>
      </c>
      <c r="K21" s="8">
        <v>0</v>
      </c>
      <c r="L21" s="8">
        <v>0</v>
      </c>
      <c r="M21" s="8">
        <v>495</v>
      </c>
      <c r="N21" s="8">
        <v>0</v>
      </c>
      <c r="O21" s="8">
        <v>2</v>
      </c>
      <c r="P21" s="8">
        <v>497</v>
      </c>
      <c r="Q21" s="8">
        <v>0</v>
      </c>
      <c r="R21" s="8">
        <v>829</v>
      </c>
      <c r="S21" s="15">
        <v>8</v>
      </c>
      <c r="T21" s="15">
        <v>59.95174909529554</v>
      </c>
      <c r="U21" s="10">
        <f t="shared" si="0"/>
        <v>8</v>
      </c>
      <c r="V21" s="10" t="e">
        <f t="shared" si="1"/>
        <v>#N/A</v>
      </c>
    </row>
    <row r="22" spans="1:22">
      <c r="A22" s="9">
        <v>157</v>
      </c>
      <c r="B22" s="9">
        <v>157</v>
      </c>
      <c r="C22" s="9">
        <v>10</v>
      </c>
      <c r="D22" s="9">
        <v>353</v>
      </c>
      <c r="E22" s="9">
        <v>382</v>
      </c>
      <c r="F22" s="9">
        <v>5</v>
      </c>
      <c r="G22" s="9">
        <v>1</v>
      </c>
      <c r="H22" s="9">
        <v>3</v>
      </c>
      <c r="I22" s="9">
        <v>0</v>
      </c>
      <c r="J22" s="9">
        <v>1</v>
      </c>
      <c r="K22" s="9">
        <v>1</v>
      </c>
      <c r="L22" s="9">
        <v>1</v>
      </c>
      <c r="M22" s="9">
        <v>757</v>
      </c>
      <c r="N22" s="9">
        <v>0</v>
      </c>
      <c r="O22" s="9">
        <v>3</v>
      </c>
      <c r="P22" s="9">
        <v>760</v>
      </c>
      <c r="Q22" s="9">
        <v>0</v>
      </c>
      <c r="R22" s="9">
        <v>927</v>
      </c>
      <c r="S22" s="16">
        <v>29</v>
      </c>
      <c r="T22" s="16">
        <v>81.9848975188781</v>
      </c>
      <c r="U22" s="10" t="e">
        <f t="shared" si="0"/>
        <v>#N/A</v>
      </c>
      <c r="V22" s="10">
        <f t="shared" si="1"/>
        <v>29</v>
      </c>
    </row>
    <row r="23" spans="1:22">
      <c r="A23" s="8">
        <v>158</v>
      </c>
      <c r="B23" s="8">
        <v>158</v>
      </c>
      <c r="C23" s="8">
        <v>5</v>
      </c>
      <c r="D23" s="8">
        <v>426</v>
      </c>
      <c r="E23" s="8">
        <v>380</v>
      </c>
      <c r="F23" s="8">
        <v>1</v>
      </c>
      <c r="G23" s="8">
        <v>0</v>
      </c>
      <c r="H23" s="8">
        <v>0</v>
      </c>
      <c r="I23" s="8">
        <v>1</v>
      </c>
      <c r="J23" s="8">
        <v>0</v>
      </c>
      <c r="K23" s="8">
        <v>1</v>
      </c>
      <c r="L23" s="8">
        <v>6</v>
      </c>
      <c r="M23" s="8">
        <v>820</v>
      </c>
      <c r="N23" s="8">
        <v>0</v>
      </c>
      <c r="O23" s="8">
        <v>6</v>
      </c>
      <c r="P23" s="8">
        <v>826</v>
      </c>
      <c r="Q23" s="8">
        <v>0</v>
      </c>
      <c r="R23" s="8">
        <v>1025</v>
      </c>
      <c r="S23" s="15">
        <v>46</v>
      </c>
      <c r="T23" s="15">
        <v>80.585365853658544</v>
      </c>
      <c r="U23" s="10">
        <f t="shared" si="0"/>
        <v>46</v>
      </c>
      <c r="V23" s="10" t="e">
        <f t="shared" si="1"/>
        <v>#N/A</v>
      </c>
    </row>
    <row r="24" spans="1:22">
      <c r="A24" s="7">
        <v>161</v>
      </c>
      <c r="B24" s="7">
        <v>161</v>
      </c>
      <c r="C24" s="7">
        <v>3</v>
      </c>
      <c r="D24" s="7">
        <v>809</v>
      </c>
      <c r="E24" s="7">
        <v>273</v>
      </c>
      <c r="F24" s="7">
        <v>1</v>
      </c>
      <c r="G24" s="7">
        <v>1</v>
      </c>
      <c r="H24" s="7">
        <v>0</v>
      </c>
      <c r="I24" s="7">
        <v>0</v>
      </c>
      <c r="J24" s="7">
        <v>0</v>
      </c>
      <c r="K24" s="7">
        <v>0</v>
      </c>
      <c r="L24" s="7">
        <v>3</v>
      </c>
      <c r="M24" s="7">
        <v>1090</v>
      </c>
      <c r="N24" s="7">
        <v>0</v>
      </c>
      <c r="O24" s="7">
        <v>5</v>
      </c>
      <c r="P24" s="7">
        <v>1095</v>
      </c>
      <c r="Q24" s="7">
        <v>0</v>
      </c>
      <c r="R24" s="7">
        <v>923</v>
      </c>
      <c r="S24" s="14">
        <v>536</v>
      </c>
      <c r="T24" s="17">
        <v>118.63488624052006</v>
      </c>
      <c r="U24" s="10">
        <f t="shared" si="0"/>
        <v>536</v>
      </c>
      <c r="V24" s="10" t="e">
        <f t="shared" si="1"/>
        <v>#N/A</v>
      </c>
    </row>
    <row r="25" spans="1:22">
      <c r="A25" s="8">
        <v>176</v>
      </c>
      <c r="B25" s="8">
        <v>176</v>
      </c>
      <c r="C25" s="8">
        <v>3</v>
      </c>
      <c r="D25" s="8">
        <v>133</v>
      </c>
      <c r="E25" s="8">
        <v>120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257</v>
      </c>
      <c r="N25" s="8">
        <v>0</v>
      </c>
      <c r="O25" s="8">
        <v>2</v>
      </c>
      <c r="P25" s="8">
        <v>259</v>
      </c>
      <c r="Q25" s="8">
        <v>0</v>
      </c>
      <c r="R25" s="8">
        <v>377</v>
      </c>
      <c r="S25" s="15">
        <v>13</v>
      </c>
      <c r="T25" s="15">
        <v>68.700265251989393</v>
      </c>
      <c r="U25" s="10">
        <f t="shared" si="0"/>
        <v>13</v>
      </c>
      <c r="V25" s="10" t="e">
        <f t="shared" si="1"/>
        <v>#N/A</v>
      </c>
    </row>
    <row r="26" spans="1:22">
      <c r="A26" s="8">
        <v>178</v>
      </c>
      <c r="B26" s="8">
        <v>178</v>
      </c>
      <c r="C26" s="8">
        <v>5</v>
      </c>
      <c r="D26" s="8">
        <v>358</v>
      </c>
      <c r="E26" s="8">
        <v>348</v>
      </c>
      <c r="F26" s="8">
        <v>0</v>
      </c>
      <c r="G26" s="8">
        <v>0</v>
      </c>
      <c r="H26" s="8">
        <v>3</v>
      </c>
      <c r="I26" s="8">
        <v>1</v>
      </c>
      <c r="J26" s="8">
        <v>0</v>
      </c>
      <c r="K26" s="8">
        <v>1</v>
      </c>
      <c r="L26" s="8">
        <v>1</v>
      </c>
      <c r="M26" s="8">
        <v>717</v>
      </c>
      <c r="N26" s="8">
        <v>0</v>
      </c>
      <c r="O26" s="8">
        <v>3</v>
      </c>
      <c r="P26" s="8">
        <v>720</v>
      </c>
      <c r="Q26" s="8">
        <v>0</v>
      </c>
      <c r="R26" s="8">
        <v>1176</v>
      </c>
      <c r="S26" s="15">
        <v>10</v>
      </c>
      <c r="T26" s="15">
        <v>61.224489795918366</v>
      </c>
      <c r="U26" s="10">
        <f t="shared" si="0"/>
        <v>10</v>
      </c>
      <c r="V26" s="10" t="e">
        <f t="shared" si="1"/>
        <v>#N/A</v>
      </c>
    </row>
    <row r="27" spans="1:22">
      <c r="A27" s="8">
        <v>181</v>
      </c>
      <c r="B27" s="8">
        <v>181</v>
      </c>
      <c r="C27" s="8">
        <v>1</v>
      </c>
      <c r="D27" s="8">
        <v>384</v>
      </c>
      <c r="E27" s="8">
        <v>364</v>
      </c>
      <c r="F27" s="8">
        <v>3</v>
      </c>
      <c r="G27" s="8">
        <v>2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754</v>
      </c>
      <c r="N27" s="8">
        <v>0</v>
      </c>
      <c r="O27" s="8">
        <v>7</v>
      </c>
      <c r="P27" s="8">
        <v>761</v>
      </c>
      <c r="Q27" s="8">
        <v>0</v>
      </c>
      <c r="R27" s="8">
        <v>1101</v>
      </c>
      <c r="S27" s="15">
        <v>20</v>
      </c>
      <c r="T27" s="15">
        <v>69.118982742960938</v>
      </c>
      <c r="U27" s="10">
        <f t="shared" si="0"/>
        <v>20</v>
      </c>
      <c r="V27" s="10" t="e">
        <f t="shared" si="1"/>
        <v>#N/A</v>
      </c>
    </row>
    <row r="28" spans="1:22">
      <c r="A28" s="8">
        <v>195</v>
      </c>
      <c r="B28" s="8">
        <v>195</v>
      </c>
      <c r="C28" s="8">
        <v>1</v>
      </c>
      <c r="D28" s="8">
        <v>127</v>
      </c>
      <c r="E28" s="8">
        <v>111</v>
      </c>
      <c r="F28" s="8">
        <v>0</v>
      </c>
      <c r="G28" s="8">
        <v>1</v>
      </c>
      <c r="H28" s="8">
        <v>0</v>
      </c>
      <c r="I28" s="8">
        <v>0</v>
      </c>
      <c r="J28" s="8">
        <v>0</v>
      </c>
      <c r="K28" s="8">
        <v>1</v>
      </c>
      <c r="L28" s="8">
        <v>0</v>
      </c>
      <c r="M28" s="8">
        <v>241</v>
      </c>
      <c r="N28" s="8">
        <v>0</v>
      </c>
      <c r="O28" s="8">
        <v>1</v>
      </c>
      <c r="P28" s="8">
        <v>242</v>
      </c>
      <c r="Q28" s="8">
        <v>0</v>
      </c>
      <c r="R28" s="8">
        <v>442</v>
      </c>
      <c r="S28" s="15">
        <v>16</v>
      </c>
      <c r="T28" s="15">
        <v>54.751131221719461</v>
      </c>
      <c r="U28" s="10">
        <f t="shared" si="0"/>
        <v>16</v>
      </c>
      <c r="V28" s="10" t="e">
        <f t="shared" si="1"/>
        <v>#N/A</v>
      </c>
    </row>
    <row r="29" spans="1:22">
      <c r="A29" s="9">
        <v>201</v>
      </c>
      <c r="B29" s="9">
        <v>201</v>
      </c>
      <c r="C29" s="9">
        <v>4</v>
      </c>
      <c r="D29" s="9">
        <v>194</v>
      </c>
      <c r="E29" s="9">
        <v>243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1</v>
      </c>
      <c r="L29" s="9">
        <v>0</v>
      </c>
      <c r="M29" s="9">
        <v>442</v>
      </c>
      <c r="N29" s="9">
        <v>0</v>
      </c>
      <c r="O29" s="9">
        <v>1</v>
      </c>
      <c r="P29" s="9">
        <v>443</v>
      </c>
      <c r="Q29" s="9">
        <v>0</v>
      </c>
      <c r="R29" s="9">
        <v>716</v>
      </c>
      <c r="S29" s="16">
        <v>49</v>
      </c>
      <c r="T29" s="16">
        <v>61.871508379888276</v>
      </c>
      <c r="U29" s="10" t="e">
        <f t="shared" si="0"/>
        <v>#N/A</v>
      </c>
      <c r="V29" s="10">
        <f t="shared" si="1"/>
        <v>49</v>
      </c>
    </row>
    <row r="30" spans="1:22">
      <c r="A30" s="8">
        <v>235</v>
      </c>
      <c r="B30" s="8">
        <v>235</v>
      </c>
      <c r="C30" s="8">
        <v>4</v>
      </c>
      <c r="D30" s="8">
        <v>726</v>
      </c>
      <c r="E30" s="8">
        <v>275</v>
      </c>
      <c r="F30" s="8">
        <v>1</v>
      </c>
      <c r="G30" s="8">
        <v>0</v>
      </c>
      <c r="H30" s="8">
        <v>0</v>
      </c>
      <c r="I30" s="8">
        <v>0</v>
      </c>
      <c r="J30" s="8">
        <v>2</v>
      </c>
      <c r="K30" s="8">
        <v>1</v>
      </c>
      <c r="L30" s="8">
        <v>1</v>
      </c>
      <c r="M30" s="8">
        <v>1010</v>
      </c>
      <c r="N30" s="8">
        <v>0</v>
      </c>
      <c r="O30" s="8">
        <v>7</v>
      </c>
      <c r="P30" s="8">
        <v>1017</v>
      </c>
      <c r="Q30" s="8">
        <v>0</v>
      </c>
      <c r="R30" s="8">
        <v>1467</v>
      </c>
      <c r="S30" s="15">
        <f>MAX(D30,E30)-MIN(D30,E30)</f>
        <v>451</v>
      </c>
      <c r="T30" s="15">
        <f>(P30/R30)*100</f>
        <v>69.325153374233125</v>
      </c>
      <c r="U30" s="10">
        <f t="shared" si="0"/>
        <v>451</v>
      </c>
      <c r="V30" s="10" t="e">
        <f t="shared" si="1"/>
        <v>#N/A</v>
      </c>
    </row>
    <row r="31" spans="1:22">
      <c r="A31" s="9">
        <v>236</v>
      </c>
      <c r="B31" s="9">
        <v>236</v>
      </c>
      <c r="C31" s="9">
        <v>3</v>
      </c>
      <c r="D31" s="9">
        <v>292</v>
      </c>
      <c r="E31" s="9">
        <v>337</v>
      </c>
      <c r="F31" s="9">
        <v>2</v>
      </c>
      <c r="G31" s="9">
        <v>1</v>
      </c>
      <c r="H31" s="9">
        <v>2</v>
      </c>
      <c r="I31" s="9">
        <v>1</v>
      </c>
      <c r="J31" s="9">
        <v>0</v>
      </c>
      <c r="K31" s="9">
        <v>0</v>
      </c>
      <c r="L31" s="9">
        <v>2</v>
      </c>
      <c r="M31" s="9">
        <v>640</v>
      </c>
      <c r="N31" s="9">
        <v>0</v>
      </c>
      <c r="O31" s="9">
        <v>4</v>
      </c>
      <c r="P31" s="9">
        <v>644</v>
      </c>
      <c r="Q31" s="9">
        <v>0</v>
      </c>
      <c r="R31" s="9">
        <v>748</v>
      </c>
      <c r="S31" s="16">
        <v>45</v>
      </c>
      <c r="T31" s="14">
        <v>86.096256684491976</v>
      </c>
      <c r="U31" s="10" t="e">
        <f t="shared" si="0"/>
        <v>#N/A</v>
      </c>
      <c r="V31" s="10">
        <f t="shared" si="1"/>
        <v>45</v>
      </c>
    </row>
    <row r="32" spans="1:22">
      <c r="A32" s="9">
        <v>260</v>
      </c>
      <c r="B32" s="9">
        <v>260</v>
      </c>
      <c r="C32" s="9">
        <v>13</v>
      </c>
      <c r="D32" s="9">
        <v>233</v>
      </c>
      <c r="E32" s="9">
        <v>249</v>
      </c>
      <c r="F32" s="9">
        <v>3</v>
      </c>
      <c r="G32" s="9">
        <v>0</v>
      </c>
      <c r="H32" s="9">
        <v>0</v>
      </c>
      <c r="I32" s="9">
        <v>0</v>
      </c>
      <c r="J32" s="9">
        <v>0</v>
      </c>
      <c r="K32" s="9">
        <v>1</v>
      </c>
      <c r="L32" s="9">
        <v>0</v>
      </c>
      <c r="M32" s="9">
        <v>499</v>
      </c>
      <c r="N32" s="9">
        <v>0</v>
      </c>
      <c r="O32" s="9">
        <v>1</v>
      </c>
      <c r="P32" s="9">
        <v>500</v>
      </c>
      <c r="Q32" s="9">
        <v>0</v>
      </c>
      <c r="R32" s="9">
        <v>584</v>
      </c>
      <c r="S32" s="16">
        <v>16</v>
      </c>
      <c r="T32" s="16">
        <v>85.61643835616438</v>
      </c>
      <c r="U32" s="10" t="e">
        <f t="shared" si="0"/>
        <v>#N/A</v>
      </c>
      <c r="V32" s="10">
        <f t="shared" si="1"/>
        <v>16</v>
      </c>
    </row>
    <row r="33" spans="1:22">
      <c r="A33" s="8">
        <v>262</v>
      </c>
      <c r="B33" s="8">
        <v>262</v>
      </c>
      <c r="C33" s="8">
        <v>4</v>
      </c>
      <c r="D33" s="8">
        <v>301</v>
      </c>
      <c r="E33" s="8">
        <v>284</v>
      </c>
      <c r="F33" s="8">
        <v>5</v>
      </c>
      <c r="G33" s="8">
        <v>0</v>
      </c>
      <c r="H33" s="8">
        <v>0</v>
      </c>
      <c r="I33" s="8">
        <v>1</v>
      </c>
      <c r="J33" s="8">
        <v>3</v>
      </c>
      <c r="K33" s="8">
        <v>4</v>
      </c>
      <c r="L33" s="8">
        <v>3</v>
      </c>
      <c r="M33" s="8">
        <v>605</v>
      </c>
      <c r="N33" s="8">
        <v>0</v>
      </c>
      <c r="O33" s="8">
        <v>1</v>
      </c>
      <c r="P33" s="8">
        <v>606</v>
      </c>
      <c r="Q33" s="8">
        <v>0</v>
      </c>
      <c r="R33" s="8">
        <v>744</v>
      </c>
      <c r="S33" s="15">
        <v>17</v>
      </c>
      <c r="T33" s="15">
        <v>81.451612903225808</v>
      </c>
      <c r="U33" s="10">
        <f t="shared" si="0"/>
        <v>17</v>
      </c>
      <c r="V33" s="10" t="e">
        <f t="shared" si="1"/>
        <v>#N/A</v>
      </c>
    </row>
    <row r="34" spans="1:22">
      <c r="A34" s="8">
        <v>264</v>
      </c>
      <c r="B34" s="8">
        <v>264</v>
      </c>
      <c r="C34" s="8">
        <v>5</v>
      </c>
      <c r="D34" s="8">
        <v>815</v>
      </c>
      <c r="E34" s="8">
        <v>227</v>
      </c>
      <c r="F34" s="8">
        <v>1</v>
      </c>
      <c r="G34" s="8">
        <v>1</v>
      </c>
      <c r="H34" s="8">
        <v>2</v>
      </c>
      <c r="I34" s="8">
        <v>4</v>
      </c>
      <c r="J34" s="8">
        <v>3</v>
      </c>
      <c r="K34" s="8">
        <v>1</v>
      </c>
      <c r="L34" s="8">
        <v>1</v>
      </c>
      <c r="M34" s="8">
        <v>1060</v>
      </c>
      <c r="N34" s="8">
        <v>0</v>
      </c>
      <c r="O34" s="8">
        <v>7</v>
      </c>
      <c r="P34" s="8">
        <v>1067</v>
      </c>
      <c r="Q34" s="8">
        <v>0</v>
      </c>
      <c r="R34" s="8">
        <v>1306</v>
      </c>
      <c r="S34" s="15">
        <v>588</v>
      </c>
      <c r="T34" s="15">
        <v>81.699846860643191</v>
      </c>
      <c r="U34" s="10">
        <f t="shared" si="0"/>
        <v>588</v>
      </c>
      <c r="V34" s="10" t="e">
        <f t="shared" si="1"/>
        <v>#N/A</v>
      </c>
    </row>
    <row r="35" spans="1:22">
      <c r="A35" s="9">
        <v>271</v>
      </c>
      <c r="B35" s="9">
        <v>271</v>
      </c>
      <c r="C35" s="9">
        <v>5</v>
      </c>
      <c r="D35" s="9">
        <v>160</v>
      </c>
      <c r="E35" s="9">
        <v>161</v>
      </c>
      <c r="F35" s="9">
        <v>3</v>
      </c>
      <c r="G35" s="9">
        <v>0</v>
      </c>
      <c r="H35" s="9">
        <v>0</v>
      </c>
      <c r="I35" s="9">
        <v>1</v>
      </c>
      <c r="J35" s="9">
        <v>0</v>
      </c>
      <c r="K35" s="9">
        <v>0</v>
      </c>
      <c r="L35" s="9">
        <v>1</v>
      </c>
      <c r="M35" s="9">
        <v>331</v>
      </c>
      <c r="N35" s="9">
        <v>0</v>
      </c>
      <c r="O35" s="9">
        <v>2</v>
      </c>
      <c r="P35" s="9">
        <v>333</v>
      </c>
      <c r="Q35" s="9">
        <v>0</v>
      </c>
      <c r="R35" s="9">
        <v>397</v>
      </c>
      <c r="S35" s="16">
        <v>1</v>
      </c>
      <c r="T35" s="16">
        <v>83.879093198992436</v>
      </c>
      <c r="U35" s="10" t="e">
        <f t="shared" si="0"/>
        <v>#N/A</v>
      </c>
      <c r="V35" s="10">
        <f t="shared" si="1"/>
        <v>1</v>
      </c>
    </row>
  </sheetData>
  <sortState xmlns:xlrd2="http://schemas.microsoft.com/office/spreadsheetml/2017/richdata2" ref="A3:V35">
    <sortCondition ref="A3:A35"/>
  </sortState>
  <conditionalFormatting sqref="D3:D35">
    <cfRule type="expression" dxfId="7" priority="6">
      <formula>D3&lt;E3</formula>
    </cfRule>
    <cfRule type="expression" dxfId="6" priority="8">
      <formula>D3&gt;E3</formula>
    </cfRule>
  </conditionalFormatting>
  <conditionalFormatting sqref="E3:E35">
    <cfRule type="expression" dxfId="5" priority="5">
      <formula>D3&gt;E3</formula>
    </cfRule>
    <cfRule type="expression" dxfId="4" priority="7">
      <formula>E3&gt;D3</formula>
    </cfRule>
  </conditionalFormatting>
  <conditionalFormatting sqref="S3:S35">
    <cfRule type="cellIs" dxfId="3" priority="3" operator="lessThan">
      <formula>50</formula>
    </cfRule>
    <cfRule type="cellIs" dxfId="2" priority="4" operator="greaterThan">
      <formula>400</formula>
    </cfRule>
  </conditionalFormatting>
  <conditionalFormatting sqref="T3:T35">
    <cfRule type="cellIs" dxfId="1" priority="1" operator="lessThan">
      <formula>70</formula>
    </cfRule>
    <cfRule type="cellIs" dxfId="0" priority="2" operator="greaterThan">
      <formula>80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Vidisha_2023</vt:lpstr>
      <vt:lpstr>Booth_data</vt:lpstr>
      <vt:lpstr>Outlier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window 10</cp:lastModifiedBy>
  <dcterms:created xsi:type="dcterms:W3CDTF">2025-06-05T07:06:04Z</dcterms:created>
  <dcterms:modified xsi:type="dcterms:W3CDTF">2026-01-05T07:58:39Z</dcterms:modified>
</cp:coreProperties>
</file>