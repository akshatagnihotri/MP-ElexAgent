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57B933D2-EC33-4C93-9473-8B50B2BFF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Outlier" sheetId="2" r:id="rId2"/>
  </sheets>
  <definedNames>
    <definedName name="_xlnm._FilterDatabase" localSheetId="0" hidden="1">Data!$A$1:$AB$336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D7" i="2"/>
  <c r="AD8" i="2"/>
  <c r="AD9" i="2"/>
  <c r="AD10" i="2"/>
  <c r="AD11" i="2"/>
  <c r="AD12" i="2"/>
  <c r="AD13" i="2"/>
  <c r="AD14" i="2"/>
  <c r="AD4" i="2"/>
  <c r="AD5" i="2"/>
  <c r="AD6" i="2"/>
  <c r="AD3" i="2"/>
  <c r="AC7" i="2"/>
  <c r="AC8" i="2"/>
  <c r="AC9" i="2"/>
  <c r="AC10" i="2"/>
  <c r="AC11" i="2"/>
  <c r="AC12" i="2"/>
  <c r="AC13" i="2"/>
  <c r="AC14" i="2"/>
  <c r="AC4" i="2"/>
  <c r="AC5" i="2"/>
  <c r="AC6" i="2"/>
  <c r="AA11" i="2"/>
  <c r="S11" i="2"/>
  <c r="AB11" i="2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" i="1"/>
  <c r="S4" i="1"/>
  <c r="AB4" i="1" s="1"/>
  <c r="S5" i="1"/>
  <c r="AB5" i="1" s="1"/>
  <c r="S6" i="1"/>
  <c r="AB6" i="1" s="1"/>
  <c r="S7" i="1"/>
  <c r="AB7" i="1" s="1"/>
  <c r="S8" i="1"/>
  <c r="AB8" i="1" s="1"/>
  <c r="S9" i="1"/>
  <c r="AB9" i="1" s="1"/>
  <c r="S10" i="1"/>
  <c r="AB10" i="1" s="1"/>
  <c r="S11" i="1"/>
  <c r="AB11" i="1" s="1"/>
  <c r="S12" i="1"/>
  <c r="AB12" i="1" s="1"/>
  <c r="S13" i="1"/>
  <c r="AB13" i="1" s="1"/>
  <c r="S14" i="1"/>
  <c r="AB14" i="1" s="1"/>
  <c r="S15" i="1"/>
  <c r="AB15" i="1" s="1"/>
  <c r="S16" i="1"/>
  <c r="AB16" i="1" s="1"/>
  <c r="S17" i="1"/>
  <c r="AB17" i="1" s="1"/>
  <c r="S18" i="1"/>
  <c r="AB18" i="1" s="1"/>
  <c r="S19" i="1"/>
  <c r="AB19" i="1" s="1"/>
  <c r="S20" i="1"/>
  <c r="AB20" i="1" s="1"/>
  <c r="S21" i="1"/>
  <c r="AB21" i="1" s="1"/>
  <c r="S22" i="1"/>
  <c r="AB22" i="1" s="1"/>
  <c r="S23" i="1"/>
  <c r="AB23" i="1" s="1"/>
  <c r="S24" i="1"/>
  <c r="AB24" i="1" s="1"/>
  <c r="S25" i="1"/>
  <c r="AB25" i="1" s="1"/>
  <c r="S26" i="1"/>
  <c r="AB26" i="1" s="1"/>
  <c r="S27" i="1"/>
  <c r="AB27" i="1" s="1"/>
  <c r="S28" i="1"/>
  <c r="AB28" i="1" s="1"/>
  <c r="S29" i="1"/>
  <c r="AB29" i="1" s="1"/>
  <c r="S30" i="1"/>
  <c r="AB30" i="1" s="1"/>
  <c r="S31" i="1"/>
  <c r="AB31" i="1" s="1"/>
  <c r="S32" i="1"/>
  <c r="AB32" i="1" s="1"/>
  <c r="S33" i="1"/>
  <c r="AB33" i="1" s="1"/>
  <c r="S34" i="1"/>
  <c r="AB34" i="1" s="1"/>
  <c r="S35" i="1"/>
  <c r="AB35" i="1" s="1"/>
  <c r="S36" i="1"/>
  <c r="AB36" i="1" s="1"/>
  <c r="S37" i="1"/>
  <c r="AB37" i="1" s="1"/>
  <c r="S38" i="1"/>
  <c r="AB38" i="1" s="1"/>
  <c r="S39" i="1"/>
  <c r="AB39" i="1" s="1"/>
  <c r="S40" i="1"/>
  <c r="AB40" i="1" s="1"/>
  <c r="S41" i="1"/>
  <c r="AB41" i="1" s="1"/>
  <c r="S42" i="1"/>
  <c r="AB42" i="1" s="1"/>
  <c r="S43" i="1"/>
  <c r="AB43" i="1" s="1"/>
  <c r="S44" i="1"/>
  <c r="AB44" i="1" s="1"/>
  <c r="S45" i="1"/>
  <c r="AB45" i="1" s="1"/>
  <c r="S46" i="1"/>
  <c r="AB46" i="1" s="1"/>
  <c r="S47" i="1"/>
  <c r="AB47" i="1" s="1"/>
  <c r="S48" i="1"/>
  <c r="AB48" i="1" s="1"/>
  <c r="S49" i="1"/>
  <c r="AB49" i="1" s="1"/>
  <c r="S50" i="1"/>
  <c r="AB50" i="1" s="1"/>
  <c r="S51" i="1"/>
  <c r="AB51" i="1" s="1"/>
  <c r="S52" i="1"/>
  <c r="AB52" i="1" s="1"/>
  <c r="S53" i="1"/>
  <c r="AB53" i="1" s="1"/>
  <c r="S54" i="1"/>
  <c r="AB54" i="1" s="1"/>
  <c r="S55" i="1"/>
  <c r="AB55" i="1" s="1"/>
  <c r="S56" i="1"/>
  <c r="AB56" i="1" s="1"/>
  <c r="S57" i="1"/>
  <c r="AB57" i="1" s="1"/>
  <c r="S58" i="1"/>
  <c r="AB58" i="1" s="1"/>
  <c r="S59" i="1"/>
  <c r="AB59" i="1" s="1"/>
  <c r="S60" i="1"/>
  <c r="AB60" i="1" s="1"/>
  <c r="S61" i="1"/>
  <c r="AB61" i="1" s="1"/>
  <c r="S62" i="1"/>
  <c r="AB62" i="1" s="1"/>
  <c r="S63" i="1"/>
  <c r="AB63" i="1" s="1"/>
  <c r="S64" i="1"/>
  <c r="AB64" i="1" s="1"/>
  <c r="S65" i="1"/>
  <c r="AB65" i="1" s="1"/>
  <c r="S66" i="1"/>
  <c r="AB66" i="1" s="1"/>
  <c r="S67" i="1"/>
  <c r="AB67" i="1" s="1"/>
  <c r="S68" i="1"/>
  <c r="AB68" i="1" s="1"/>
  <c r="S69" i="1"/>
  <c r="AB69" i="1" s="1"/>
  <c r="S70" i="1"/>
  <c r="AB70" i="1" s="1"/>
  <c r="S71" i="1"/>
  <c r="AB71" i="1" s="1"/>
  <c r="S72" i="1"/>
  <c r="AB72" i="1" s="1"/>
  <c r="S73" i="1"/>
  <c r="AB73" i="1" s="1"/>
  <c r="S74" i="1"/>
  <c r="AB74" i="1" s="1"/>
  <c r="S75" i="1"/>
  <c r="AB75" i="1" s="1"/>
  <c r="S76" i="1"/>
  <c r="AB76" i="1" s="1"/>
  <c r="S77" i="1"/>
  <c r="AB77" i="1" s="1"/>
  <c r="S78" i="1"/>
  <c r="AB78" i="1" s="1"/>
  <c r="S79" i="1"/>
  <c r="AB79" i="1" s="1"/>
  <c r="S80" i="1"/>
  <c r="AB80" i="1" s="1"/>
  <c r="S81" i="1"/>
  <c r="AB81" i="1" s="1"/>
  <c r="S82" i="1"/>
  <c r="AB82" i="1" s="1"/>
  <c r="S83" i="1"/>
  <c r="AB83" i="1" s="1"/>
  <c r="S84" i="1"/>
  <c r="AB84" i="1" s="1"/>
  <c r="S85" i="1"/>
  <c r="AB85" i="1" s="1"/>
  <c r="S86" i="1"/>
  <c r="AB86" i="1" s="1"/>
  <c r="S87" i="1"/>
  <c r="AB87" i="1" s="1"/>
  <c r="S88" i="1"/>
  <c r="AB88" i="1" s="1"/>
  <c r="S89" i="1"/>
  <c r="AB89" i="1" s="1"/>
  <c r="S90" i="1"/>
  <c r="AB90" i="1" s="1"/>
  <c r="S91" i="1"/>
  <c r="AB91" i="1" s="1"/>
  <c r="S92" i="1"/>
  <c r="AB92" i="1" s="1"/>
  <c r="S93" i="1"/>
  <c r="AB93" i="1" s="1"/>
  <c r="S94" i="1"/>
  <c r="AB94" i="1" s="1"/>
  <c r="S95" i="1"/>
  <c r="AB95" i="1" s="1"/>
  <c r="S96" i="1"/>
  <c r="AB96" i="1" s="1"/>
  <c r="S97" i="1"/>
  <c r="AB97" i="1" s="1"/>
  <c r="S98" i="1"/>
  <c r="AB98" i="1" s="1"/>
  <c r="S99" i="1"/>
  <c r="AB99" i="1" s="1"/>
  <c r="S100" i="1"/>
  <c r="AB100" i="1" s="1"/>
  <c r="S101" i="1"/>
  <c r="AB101" i="1" s="1"/>
  <c r="S102" i="1"/>
  <c r="AB102" i="1" s="1"/>
  <c r="S103" i="1"/>
  <c r="AB103" i="1" s="1"/>
  <c r="S104" i="1"/>
  <c r="AB104" i="1" s="1"/>
  <c r="S105" i="1"/>
  <c r="AB105" i="1" s="1"/>
  <c r="S106" i="1"/>
  <c r="AB106" i="1" s="1"/>
  <c r="S107" i="1"/>
  <c r="AB107" i="1" s="1"/>
  <c r="S108" i="1"/>
  <c r="AB108" i="1" s="1"/>
  <c r="S109" i="1"/>
  <c r="AB109" i="1" s="1"/>
  <c r="S110" i="1"/>
  <c r="AB110" i="1" s="1"/>
  <c r="S111" i="1"/>
  <c r="AB111" i="1" s="1"/>
  <c r="S112" i="1"/>
  <c r="AB112" i="1" s="1"/>
  <c r="S113" i="1"/>
  <c r="AB113" i="1" s="1"/>
  <c r="S114" i="1"/>
  <c r="AB114" i="1" s="1"/>
  <c r="S115" i="1"/>
  <c r="AB115" i="1" s="1"/>
  <c r="S116" i="1"/>
  <c r="AB116" i="1" s="1"/>
  <c r="S117" i="1"/>
  <c r="AB117" i="1" s="1"/>
  <c r="S118" i="1"/>
  <c r="AB118" i="1" s="1"/>
  <c r="S119" i="1"/>
  <c r="AB119" i="1" s="1"/>
  <c r="S120" i="1"/>
  <c r="AB120" i="1" s="1"/>
  <c r="S121" i="1"/>
  <c r="AB121" i="1" s="1"/>
  <c r="S122" i="1"/>
  <c r="AB122" i="1" s="1"/>
  <c r="S123" i="1"/>
  <c r="AB123" i="1" s="1"/>
  <c r="S124" i="1"/>
  <c r="AB124" i="1" s="1"/>
  <c r="S125" i="1"/>
  <c r="AB125" i="1" s="1"/>
  <c r="S126" i="1"/>
  <c r="AB126" i="1" s="1"/>
  <c r="S127" i="1"/>
  <c r="AB127" i="1" s="1"/>
  <c r="S128" i="1"/>
  <c r="AB128" i="1" s="1"/>
  <c r="S129" i="1"/>
  <c r="AB129" i="1" s="1"/>
  <c r="S130" i="1"/>
  <c r="AB130" i="1" s="1"/>
  <c r="S131" i="1"/>
  <c r="AB131" i="1" s="1"/>
  <c r="S132" i="1"/>
  <c r="AB132" i="1" s="1"/>
  <c r="S133" i="1"/>
  <c r="AB133" i="1" s="1"/>
  <c r="S134" i="1"/>
  <c r="AB134" i="1" s="1"/>
  <c r="S135" i="1"/>
  <c r="AB135" i="1" s="1"/>
  <c r="S136" i="1"/>
  <c r="AB136" i="1" s="1"/>
  <c r="S137" i="1"/>
  <c r="AB137" i="1" s="1"/>
  <c r="S138" i="1"/>
  <c r="AB138" i="1" s="1"/>
  <c r="S139" i="1"/>
  <c r="AB139" i="1" s="1"/>
  <c r="S140" i="1"/>
  <c r="AB140" i="1" s="1"/>
  <c r="S141" i="1"/>
  <c r="AB141" i="1" s="1"/>
  <c r="S142" i="1"/>
  <c r="AB142" i="1" s="1"/>
  <c r="S143" i="1"/>
  <c r="AB143" i="1" s="1"/>
  <c r="S144" i="1"/>
  <c r="AB144" i="1" s="1"/>
  <c r="S145" i="1"/>
  <c r="AB145" i="1" s="1"/>
  <c r="S146" i="1"/>
  <c r="AB146" i="1" s="1"/>
  <c r="S147" i="1"/>
  <c r="AB147" i="1" s="1"/>
  <c r="S148" i="1"/>
  <c r="AB148" i="1" s="1"/>
  <c r="S149" i="1"/>
  <c r="AB149" i="1" s="1"/>
  <c r="S150" i="1"/>
  <c r="AB150" i="1" s="1"/>
  <c r="S151" i="1"/>
  <c r="AB151" i="1" s="1"/>
  <c r="S152" i="1"/>
  <c r="AB152" i="1" s="1"/>
  <c r="S153" i="1"/>
  <c r="AB153" i="1" s="1"/>
  <c r="S154" i="1"/>
  <c r="AB154" i="1" s="1"/>
  <c r="S155" i="1"/>
  <c r="AB155" i="1" s="1"/>
  <c r="S156" i="1"/>
  <c r="AB156" i="1" s="1"/>
  <c r="S157" i="1"/>
  <c r="AB157" i="1" s="1"/>
  <c r="S158" i="1"/>
  <c r="AB158" i="1" s="1"/>
  <c r="S159" i="1"/>
  <c r="AB159" i="1" s="1"/>
  <c r="S160" i="1"/>
  <c r="AB160" i="1" s="1"/>
  <c r="S161" i="1"/>
  <c r="AB161" i="1" s="1"/>
  <c r="S162" i="1"/>
  <c r="AB162" i="1" s="1"/>
  <c r="S163" i="1"/>
  <c r="AB163" i="1" s="1"/>
  <c r="S164" i="1"/>
  <c r="AB164" i="1" s="1"/>
  <c r="S165" i="1"/>
  <c r="AB165" i="1" s="1"/>
  <c r="S166" i="1"/>
  <c r="AB166" i="1" s="1"/>
  <c r="S167" i="1"/>
  <c r="AB167" i="1" s="1"/>
  <c r="S168" i="1"/>
  <c r="AB168" i="1" s="1"/>
  <c r="S169" i="1"/>
  <c r="AB169" i="1" s="1"/>
  <c r="S170" i="1"/>
  <c r="AB170" i="1" s="1"/>
  <c r="S171" i="1"/>
  <c r="AB171" i="1" s="1"/>
  <c r="S172" i="1"/>
  <c r="AB172" i="1" s="1"/>
  <c r="S173" i="1"/>
  <c r="AB173" i="1" s="1"/>
  <c r="S174" i="1"/>
  <c r="AB174" i="1" s="1"/>
  <c r="S175" i="1"/>
  <c r="AB175" i="1" s="1"/>
  <c r="S176" i="1"/>
  <c r="AB176" i="1" s="1"/>
  <c r="S177" i="1"/>
  <c r="AB177" i="1" s="1"/>
  <c r="S178" i="1"/>
  <c r="AB178" i="1" s="1"/>
  <c r="S179" i="1"/>
  <c r="AB179" i="1" s="1"/>
  <c r="S180" i="1"/>
  <c r="AB180" i="1" s="1"/>
  <c r="S181" i="1"/>
  <c r="AB181" i="1" s="1"/>
  <c r="S182" i="1"/>
  <c r="AB182" i="1" s="1"/>
  <c r="S183" i="1"/>
  <c r="AB183" i="1" s="1"/>
  <c r="S184" i="1"/>
  <c r="AB184" i="1" s="1"/>
  <c r="S185" i="1"/>
  <c r="AB185" i="1" s="1"/>
  <c r="S186" i="1"/>
  <c r="AB186" i="1" s="1"/>
  <c r="S187" i="1"/>
  <c r="AB187" i="1" s="1"/>
  <c r="S188" i="1"/>
  <c r="AB188" i="1" s="1"/>
  <c r="S189" i="1"/>
  <c r="AB189" i="1" s="1"/>
  <c r="S190" i="1"/>
  <c r="AB190" i="1" s="1"/>
  <c r="S191" i="1"/>
  <c r="AB191" i="1" s="1"/>
  <c r="S192" i="1"/>
  <c r="AB192" i="1" s="1"/>
  <c r="S193" i="1"/>
  <c r="AB193" i="1" s="1"/>
  <c r="S194" i="1"/>
  <c r="AB194" i="1" s="1"/>
  <c r="S195" i="1"/>
  <c r="AB195" i="1" s="1"/>
  <c r="S196" i="1"/>
  <c r="AB196" i="1" s="1"/>
  <c r="S197" i="1"/>
  <c r="AB197" i="1" s="1"/>
  <c r="S198" i="1"/>
  <c r="AB198" i="1" s="1"/>
  <c r="S199" i="1"/>
  <c r="AB199" i="1" s="1"/>
  <c r="S200" i="1"/>
  <c r="AB200" i="1" s="1"/>
  <c r="S201" i="1"/>
  <c r="AB201" i="1" s="1"/>
  <c r="S202" i="1"/>
  <c r="AB202" i="1" s="1"/>
  <c r="S203" i="1"/>
  <c r="AB203" i="1" s="1"/>
  <c r="S204" i="1"/>
  <c r="AB204" i="1" s="1"/>
  <c r="S205" i="1"/>
  <c r="AB205" i="1" s="1"/>
  <c r="S206" i="1"/>
  <c r="AB206" i="1" s="1"/>
  <c r="S207" i="1"/>
  <c r="AB207" i="1" s="1"/>
  <c r="S208" i="1"/>
  <c r="AB208" i="1" s="1"/>
  <c r="S209" i="1"/>
  <c r="AB209" i="1" s="1"/>
  <c r="S210" i="1"/>
  <c r="AB210" i="1" s="1"/>
  <c r="S211" i="1"/>
  <c r="AB211" i="1" s="1"/>
  <c r="S212" i="1"/>
  <c r="AB212" i="1" s="1"/>
  <c r="S213" i="1"/>
  <c r="AB213" i="1" s="1"/>
  <c r="S214" i="1"/>
  <c r="AB214" i="1" s="1"/>
  <c r="S215" i="1"/>
  <c r="AB215" i="1" s="1"/>
  <c r="S216" i="1"/>
  <c r="AB216" i="1" s="1"/>
  <c r="S217" i="1"/>
  <c r="AB217" i="1" s="1"/>
  <c r="S218" i="1"/>
  <c r="AB218" i="1" s="1"/>
  <c r="S219" i="1"/>
  <c r="AB219" i="1" s="1"/>
  <c r="S220" i="1"/>
  <c r="AB220" i="1" s="1"/>
  <c r="S221" i="1"/>
  <c r="AB221" i="1" s="1"/>
  <c r="S222" i="1"/>
  <c r="AB222" i="1" s="1"/>
  <c r="S223" i="1"/>
  <c r="AB223" i="1" s="1"/>
  <c r="S224" i="1"/>
  <c r="AB224" i="1" s="1"/>
  <c r="S225" i="1"/>
  <c r="AB225" i="1" s="1"/>
  <c r="S226" i="1"/>
  <c r="AB226" i="1" s="1"/>
  <c r="S227" i="1"/>
  <c r="AB227" i="1" s="1"/>
  <c r="S228" i="1"/>
  <c r="AB228" i="1" s="1"/>
  <c r="S229" i="1"/>
  <c r="AB229" i="1" s="1"/>
  <c r="S230" i="1"/>
  <c r="AB230" i="1" s="1"/>
  <c r="S231" i="1"/>
  <c r="AB231" i="1" s="1"/>
  <c r="S232" i="1"/>
  <c r="AB232" i="1" s="1"/>
  <c r="S233" i="1"/>
  <c r="AB233" i="1" s="1"/>
  <c r="S234" i="1"/>
  <c r="AB234" i="1" s="1"/>
  <c r="S235" i="1"/>
  <c r="AB235" i="1" s="1"/>
  <c r="S236" i="1"/>
  <c r="AB236" i="1" s="1"/>
  <c r="S237" i="1"/>
  <c r="AB237" i="1" s="1"/>
  <c r="S238" i="1"/>
  <c r="AB238" i="1" s="1"/>
  <c r="S239" i="1"/>
  <c r="AB239" i="1" s="1"/>
  <c r="S240" i="1"/>
  <c r="AB240" i="1" s="1"/>
  <c r="S241" i="1"/>
  <c r="AB241" i="1" s="1"/>
  <c r="S242" i="1"/>
  <c r="AB242" i="1" s="1"/>
  <c r="S243" i="1"/>
  <c r="AB243" i="1" s="1"/>
  <c r="S244" i="1"/>
  <c r="AB244" i="1" s="1"/>
  <c r="S245" i="1"/>
  <c r="AB245" i="1" s="1"/>
  <c r="S246" i="1"/>
  <c r="AB246" i="1" s="1"/>
  <c r="S247" i="1"/>
  <c r="AB247" i="1" s="1"/>
  <c r="S248" i="1"/>
  <c r="AB248" i="1" s="1"/>
  <c r="S249" i="1"/>
  <c r="AB249" i="1" s="1"/>
  <c r="S250" i="1"/>
  <c r="AB250" i="1" s="1"/>
  <c r="S251" i="1"/>
  <c r="AB251" i="1" s="1"/>
  <c r="S252" i="1"/>
  <c r="AB252" i="1" s="1"/>
  <c r="S253" i="1"/>
  <c r="AB253" i="1" s="1"/>
  <c r="S254" i="1"/>
  <c r="AB254" i="1" s="1"/>
  <c r="S255" i="1"/>
  <c r="AB255" i="1" s="1"/>
  <c r="S256" i="1"/>
  <c r="AB256" i="1" s="1"/>
  <c r="S257" i="1"/>
  <c r="AB257" i="1" s="1"/>
  <c r="S258" i="1"/>
  <c r="AB258" i="1" s="1"/>
  <c r="S259" i="1"/>
  <c r="AB259" i="1" s="1"/>
  <c r="S260" i="1"/>
  <c r="AB260" i="1" s="1"/>
  <c r="S261" i="1"/>
  <c r="AB261" i="1" s="1"/>
  <c r="S262" i="1"/>
  <c r="AB262" i="1" s="1"/>
  <c r="S263" i="1"/>
  <c r="AB263" i="1" s="1"/>
  <c r="S264" i="1"/>
  <c r="AB264" i="1" s="1"/>
  <c r="S265" i="1"/>
  <c r="AB265" i="1" s="1"/>
  <c r="S266" i="1"/>
  <c r="AB266" i="1" s="1"/>
  <c r="S267" i="1"/>
  <c r="AB267" i="1" s="1"/>
  <c r="S268" i="1"/>
  <c r="AB268" i="1" s="1"/>
  <c r="S269" i="1"/>
  <c r="AB269" i="1" s="1"/>
  <c r="S270" i="1"/>
  <c r="AB270" i="1" s="1"/>
  <c r="S271" i="1"/>
  <c r="AB271" i="1" s="1"/>
  <c r="S272" i="1"/>
  <c r="AB272" i="1" s="1"/>
  <c r="S273" i="1"/>
  <c r="AB273" i="1" s="1"/>
  <c r="S274" i="1"/>
  <c r="AB274" i="1" s="1"/>
  <c r="S275" i="1"/>
  <c r="AB275" i="1" s="1"/>
  <c r="S276" i="1"/>
  <c r="AB276" i="1" s="1"/>
  <c r="S277" i="1"/>
  <c r="AB277" i="1" s="1"/>
  <c r="S278" i="1"/>
  <c r="AB278" i="1" s="1"/>
  <c r="S279" i="1"/>
  <c r="AB279" i="1" s="1"/>
  <c r="S280" i="1"/>
  <c r="AB280" i="1" s="1"/>
  <c r="S281" i="1"/>
  <c r="AB281" i="1" s="1"/>
  <c r="S282" i="1"/>
  <c r="AB282" i="1" s="1"/>
  <c r="S283" i="1"/>
  <c r="AB283" i="1" s="1"/>
  <c r="S284" i="1"/>
  <c r="AB284" i="1" s="1"/>
  <c r="S285" i="1"/>
  <c r="AB285" i="1" s="1"/>
  <c r="S286" i="1"/>
  <c r="AB286" i="1" s="1"/>
  <c r="S287" i="1"/>
  <c r="AB287" i="1" s="1"/>
  <c r="S288" i="1"/>
  <c r="AB288" i="1" s="1"/>
  <c r="S289" i="1"/>
  <c r="AB289" i="1" s="1"/>
  <c r="S290" i="1"/>
  <c r="AB290" i="1" s="1"/>
  <c r="S291" i="1"/>
  <c r="AB291" i="1" s="1"/>
  <c r="S292" i="1"/>
  <c r="AB292" i="1" s="1"/>
  <c r="S293" i="1"/>
  <c r="AB293" i="1" s="1"/>
  <c r="S294" i="1"/>
  <c r="AB294" i="1" s="1"/>
  <c r="S295" i="1"/>
  <c r="AB295" i="1" s="1"/>
  <c r="S296" i="1"/>
  <c r="AB296" i="1" s="1"/>
  <c r="S297" i="1"/>
  <c r="AB297" i="1" s="1"/>
  <c r="S298" i="1"/>
  <c r="AB298" i="1" s="1"/>
  <c r="S299" i="1"/>
  <c r="AB299" i="1" s="1"/>
  <c r="S300" i="1"/>
  <c r="AB300" i="1" s="1"/>
  <c r="S301" i="1"/>
  <c r="AB301" i="1" s="1"/>
  <c r="S302" i="1"/>
  <c r="AB302" i="1" s="1"/>
  <c r="S303" i="1"/>
  <c r="AB303" i="1" s="1"/>
  <c r="S304" i="1"/>
  <c r="AB304" i="1" s="1"/>
  <c r="S305" i="1"/>
  <c r="AB305" i="1" s="1"/>
  <c r="S306" i="1"/>
  <c r="AB306" i="1" s="1"/>
  <c r="S307" i="1"/>
  <c r="AB307" i="1" s="1"/>
  <c r="S308" i="1"/>
  <c r="AB308" i="1" s="1"/>
  <c r="S309" i="1"/>
  <c r="AB309" i="1" s="1"/>
  <c r="S310" i="1"/>
  <c r="AB310" i="1" s="1"/>
  <c r="S311" i="1"/>
  <c r="AB311" i="1" s="1"/>
  <c r="S312" i="1"/>
  <c r="AB312" i="1" s="1"/>
  <c r="S313" i="1"/>
  <c r="AB313" i="1" s="1"/>
  <c r="S314" i="1"/>
  <c r="AB314" i="1" s="1"/>
  <c r="S315" i="1"/>
  <c r="AB315" i="1" s="1"/>
  <c r="S316" i="1"/>
  <c r="AB316" i="1" s="1"/>
  <c r="S317" i="1"/>
  <c r="AB317" i="1" s="1"/>
  <c r="S318" i="1"/>
  <c r="AB318" i="1" s="1"/>
  <c r="S319" i="1"/>
  <c r="AB319" i="1" s="1"/>
  <c r="S320" i="1"/>
  <c r="AB320" i="1" s="1"/>
  <c r="S321" i="1"/>
  <c r="AB321" i="1" s="1"/>
  <c r="S322" i="1"/>
  <c r="AB322" i="1" s="1"/>
  <c r="S323" i="1"/>
  <c r="AB323" i="1" s="1"/>
  <c r="S324" i="1"/>
  <c r="AB324" i="1" s="1"/>
  <c r="S325" i="1"/>
  <c r="AB325" i="1" s="1"/>
  <c r="S326" i="1"/>
  <c r="AB326" i="1" s="1"/>
  <c r="S327" i="1"/>
  <c r="AB327" i="1" s="1"/>
  <c r="S328" i="1"/>
  <c r="AB328" i="1" s="1"/>
  <c r="S329" i="1"/>
  <c r="AB329" i="1" s="1"/>
  <c r="S330" i="1"/>
  <c r="AB330" i="1" s="1"/>
  <c r="S331" i="1"/>
  <c r="AB331" i="1" s="1"/>
  <c r="S332" i="1"/>
  <c r="AB332" i="1" s="1"/>
  <c r="S3" i="1"/>
  <c r="AB3" i="1" s="1"/>
  <c r="T333" i="1"/>
  <c r="R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A333" i="1" l="1"/>
  <c r="Q333" i="1"/>
  <c r="S333" i="1" s="1"/>
</calcChain>
</file>

<file path=xl/sharedStrings.xml><?xml version="1.0" encoding="utf-8"?>
<sst xmlns="http://schemas.openxmlformats.org/spreadsheetml/2006/main" count="773" uniqueCount="576">
  <si>
    <t xml:space="preserve"> मतदान केन्द्र की क्रम संख्या</t>
  </si>
  <si>
    <t xml:space="preserve"> दुर्गालाल विजय (वकील सा.)</t>
  </si>
  <si>
    <t xml:space="preserve">  बाबू जण्डेल</t>
  </si>
  <si>
    <t>बिहारी सिंह सोलंकी</t>
  </si>
  <si>
    <t xml:space="preserve">  आदिल खान</t>
  </si>
  <si>
    <t xml:space="preserve"> योगेश त्यागी</t>
  </si>
  <si>
    <t xml:space="preserve"> शिव महेश मोदी जी</t>
  </si>
  <si>
    <t>हरिशंकर जाटव</t>
  </si>
  <si>
    <t>अय्युब कुरैशी</t>
  </si>
  <si>
    <t xml:space="preserve"> तेजपाल आदिवासी</t>
  </si>
  <si>
    <t xml:space="preserve">  श्रीमती दुर्गेश नंदिनी</t>
  </si>
  <si>
    <t>बलवान</t>
  </si>
  <si>
    <t xml:space="preserve"> मुरलीधर प्रजापति</t>
  </si>
  <si>
    <t xml:space="preserve"> राजेन्द्र कुमार श्रीवास्तव</t>
  </si>
  <si>
    <t xml:space="preserve"> हरविलास आदिवासी</t>
  </si>
  <si>
    <t xml:space="preserve"> कुल विधिमान्य मत</t>
  </si>
  <si>
    <t xml:space="preserve"> प्रतिक्षेपित मतो की संख्या</t>
  </si>
  <si>
    <t xml:space="preserve"> नही विकल्प के मतो उपरोक्त मे से कोई की संख्या</t>
  </si>
  <si>
    <t xml:space="preserve"> मतों की निविदत्त संख्या</t>
  </si>
  <si>
    <t>मतदान केन्द्रो मे रिकार्ड किये गये मतो की संख्या</t>
  </si>
  <si>
    <t>डाक मत पत्र | पर रिकार्ड किये गये मतो की TACUL</t>
  </si>
  <si>
    <t>दिये गये कुल मत</t>
  </si>
  <si>
    <t>क्रम संख्या</t>
  </si>
  <si>
    <t>मतदान क्षेत्र</t>
  </si>
  <si>
    <t>भवन, जिसमें यह स्थापित होगा</t>
  </si>
  <si>
    <t>खिरखिरी</t>
  </si>
  <si>
    <t>प्रा.शा. भवन खिरखिरी</t>
  </si>
  <si>
    <t>बिलोनी</t>
  </si>
  <si>
    <t>प्रा.शा. भवन बिलोनी</t>
  </si>
  <si>
    <t>ढोढर</t>
  </si>
  <si>
    <t>नवीन कन्या प्रा.शा. भवन ढोढर</t>
  </si>
  <si>
    <t>हाई स्कूल ढोढर</t>
  </si>
  <si>
    <t>बा.प्रा.शा. भवन ढोढर</t>
  </si>
  <si>
    <t>खोजीपुरा</t>
  </si>
  <si>
    <t>प्रा.शाला भवन खोजीपुरा</t>
  </si>
  <si>
    <t>प्रा.शा. भवन पूर्वी भाग खोजीपुरा</t>
  </si>
  <si>
    <t>बगदरी</t>
  </si>
  <si>
    <t>ऑगनबाडी केन्द्र बगदरी</t>
  </si>
  <si>
    <t>हांसिलपुर</t>
  </si>
  <si>
    <t>प्रा.शा. भवन हासिलपुर</t>
  </si>
  <si>
    <t>हासिलपुर</t>
  </si>
  <si>
    <t>चंबल डांक बंगला हांसिलपुर,</t>
  </si>
  <si>
    <t>बगदिया</t>
  </si>
  <si>
    <t>प्रा.शा. भवन जम्बू का सहराना (बगदिया)</t>
  </si>
  <si>
    <t>आगनबाडी भवन बगदिया</t>
  </si>
  <si>
    <t>प्रा.शा. भवन रामगढ़ (बगदिया)</t>
  </si>
  <si>
    <t>प्रा.शा. भवन माधो का डेरा (बगदिया)</t>
  </si>
  <si>
    <t>प्रा.शा. भवन हरनामचंद का डेरा (बगदिया)</t>
  </si>
  <si>
    <t>तिल्ली डेरा, प्रा.शाला भवन तिल्ली डेरा</t>
  </si>
  <si>
    <t>माकडोद</t>
  </si>
  <si>
    <t>प्रा.शा. भवन अतिरिक्त कक्ष माकडौद</t>
  </si>
  <si>
    <t>काशीपुर</t>
  </si>
  <si>
    <t>प्रा.शा. भवन बालापुरा काशीपुर</t>
  </si>
  <si>
    <t>धीरोली</t>
  </si>
  <si>
    <t>मा.शा. भवन धीरोली</t>
  </si>
  <si>
    <t>धौरोली</t>
  </si>
  <si>
    <t>मा.शा. भवन हरनामचंद का डेरा (धीरोली)</t>
  </si>
  <si>
    <t>सेमल्दा</t>
  </si>
  <si>
    <t>मा.शा. भवन अतिरिक्त कक्ष सेमल्दा</t>
  </si>
  <si>
    <t>फूल्दा</t>
  </si>
  <si>
    <t>एक परिसर एक शाला शा.मा. विधालय फूल्दा,</t>
  </si>
  <si>
    <t>नसीरपुरा</t>
  </si>
  <si>
    <t>प्रा.शा. भवन नसीरपुरा</t>
  </si>
  <si>
    <t>लाडपुरा</t>
  </si>
  <si>
    <t>मा.शा. भवन लाडपुरा</t>
  </si>
  <si>
    <t>क्यारपुरा</t>
  </si>
  <si>
    <t>मा.शा. भवन क्यारपुरा का टपरा</t>
  </si>
  <si>
    <t>गोठरा</t>
  </si>
  <si>
    <t>प्रा.शा. भवन गोठरा</t>
  </si>
  <si>
    <t>मानपुर</t>
  </si>
  <si>
    <t>हायर सेकेण्डरी स्कूल मानपुर</t>
  </si>
  <si>
    <t>नवीन कन्या प्रा.शा. भवन मानपुर</t>
  </si>
  <si>
    <t>प्रा.शाला भवन मानपुर</t>
  </si>
  <si>
    <t>नवीन पंचायत भवन मानपुर</t>
  </si>
  <si>
    <t>जैनी</t>
  </si>
  <si>
    <t>नवीन प्रा.शा. भवन जैनी</t>
  </si>
  <si>
    <t>हाईस्कूल भवन जैनी</t>
  </si>
  <si>
    <t>नवीन ग्राम पंचायत भवन जैनी</t>
  </si>
  <si>
    <t>सेवापुर</t>
  </si>
  <si>
    <t>शा० मा० शाला भवन सेवापुर</t>
  </si>
  <si>
    <t>जवासा</t>
  </si>
  <si>
    <t>पंचायत भवन जवासा</t>
  </si>
  <si>
    <t>आवनी</t>
  </si>
  <si>
    <t>मा.शा. भवन आवनी</t>
  </si>
  <si>
    <t>टोगनी</t>
  </si>
  <si>
    <t>प्रा.शा. भवन टोगनी</t>
  </si>
  <si>
    <t>तलावदा</t>
  </si>
  <si>
    <t>मा.शा. भवन तलावदा</t>
  </si>
  <si>
    <t>ऊचाखेडा</t>
  </si>
  <si>
    <t>प्रा.शा. भवन ऊंचाखेडा</t>
  </si>
  <si>
    <t>सामरसा</t>
  </si>
  <si>
    <t>आँगनबाडी केन्द्र केवट बस्ती चेनपुरिया सामरसा</t>
  </si>
  <si>
    <t>दातरदाकला</t>
  </si>
  <si>
    <t>प्रा.शा. भवन दांतरदाकला</t>
  </si>
  <si>
    <t>दांतरदाकलां</t>
  </si>
  <si>
    <t>मा.शा. भवन दांतरदाकलां</t>
  </si>
  <si>
    <t>साहा का पाहा</t>
  </si>
  <si>
    <t>पंचायत भवन लहचोडा</t>
  </si>
  <si>
    <t>जावदेश्वर</t>
  </si>
  <si>
    <t>प्रा.शा. भवन जावदेश्वर</t>
  </si>
  <si>
    <t>चोपना</t>
  </si>
  <si>
    <t>मा.शा. भवन जावदेश्वर</t>
  </si>
  <si>
    <t>काचरमूली</t>
  </si>
  <si>
    <t>प्रा.शा. भवन काचरमूली</t>
  </si>
  <si>
    <t>बहरावदा</t>
  </si>
  <si>
    <t>प्रा.शा. भवन बहरावदा</t>
  </si>
  <si>
    <t>ढीमचोतरा</t>
  </si>
  <si>
    <t>प्रा.शा. भवन ढीमचोतरा</t>
  </si>
  <si>
    <t>मेवाड़ा</t>
  </si>
  <si>
    <t>शा. हाईस्कूल मेवाडा</t>
  </si>
  <si>
    <t>प्रा.शा. भवन भसून्दर का टपरा मेवाड़ा</t>
  </si>
  <si>
    <t>कोटरा</t>
  </si>
  <si>
    <t>शा.मा. विधालय कोटरा</t>
  </si>
  <si>
    <t>मथुरा का सहराना</t>
  </si>
  <si>
    <t>प्रा.शा. भवन मथुरा का सहराना</t>
  </si>
  <si>
    <t>जमूदी</t>
  </si>
  <si>
    <t>प्रा.शा. भवन जमूर्वी</t>
  </si>
  <si>
    <t>चकवमूल्या</t>
  </si>
  <si>
    <t>प्रा.शा. भवन चकवमूल्या</t>
  </si>
  <si>
    <t>गुरुनावदा</t>
  </si>
  <si>
    <t>सोसाईटी कक्ष गुरूनावदा</t>
  </si>
  <si>
    <t>सौभाग्यपुरा</t>
  </si>
  <si>
    <t>प्रा.शा. भवन सौभाग्यपुरा</t>
  </si>
  <si>
    <t>रामवाडी</t>
  </si>
  <si>
    <t>प्रा.शा. भवन अतिरिक्त कक्ष क 02 रामवाडी</t>
  </si>
  <si>
    <t>चकदौलापुरा</t>
  </si>
  <si>
    <t>आंगनबाडी भवन चकदौलापुरा</t>
  </si>
  <si>
    <t>ददूनी</t>
  </si>
  <si>
    <t>प्रा.शा. भवन ददूनी</t>
  </si>
  <si>
    <t>बगडुआ</t>
  </si>
  <si>
    <t>नवीन प्रा.शा. भवन बगडुआ</t>
  </si>
  <si>
    <t>बनवाडा</t>
  </si>
  <si>
    <t>प्रा.शा. भवन बनवाडा</t>
  </si>
  <si>
    <t>लहचौड़ा</t>
  </si>
  <si>
    <t>प्रा.शा. भवन लहचौड़ा</t>
  </si>
  <si>
    <t>अडूसा</t>
  </si>
  <si>
    <t>मा.शा. भवन अडूसा</t>
  </si>
  <si>
    <t>बडीदाराम</t>
  </si>
  <si>
    <t>प्रा.शा. भवन बडौदाराम</t>
  </si>
  <si>
    <t>करीरिया</t>
  </si>
  <si>
    <t>प्रा.शा. भवन अतिरिक्त कक्ष करीरिया</t>
  </si>
  <si>
    <t>सीसवाली</t>
  </si>
  <si>
    <t>प्रा.शा. भवन सीसवाली</t>
  </si>
  <si>
    <t>दलारनाकलां</t>
  </si>
  <si>
    <t>प्रा.शा. भवन दलारनाकला</t>
  </si>
  <si>
    <t>इंछनाखेडली</t>
  </si>
  <si>
    <t>प्रा.शा. भवन ईछनाखेडली</t>
  </si>
  <si>
    <t>ज्याड</t>
  </si>
  <si>
    <t>प्रा.शा. भवन ज्वाड</t>
  </si>
  <si>
    <t>माखना खेडली</t>
  </si>
  <si>
    <t>प्रा.शा. भवन माखनाखेडली</t>
  </si>
  <si>
    <t>चकआसन</t>
  </si>
  <si>
    <t>प्रा. शा. भवन चकआसन</t>
  </si>
  <si>
    <t>सौठवां</t>
  </si>
  <si>
    <t>कन्या मा.शा. भवन सौंठवा</t>
  </si>
  <si>
    <t>सोंठवा</t>
  </si>
  <si>
    <t>मा.शा. भवन सौंठवा</t>
  </si>
  <si>
    <t>फतेपुर</t>
  </si>
  <si>
    <t>प्रा.शा. भवन फतेपुर</t>
  </si>
  <si>
    <t>नागरगांवडा</t>
  </si>
  <si>
    <t>प्रा.शा. भवन नागर गांवडा</t>
  </si>
  <si>
    <t>रन्नौद</t>
  </si>
  <si>
    <t>मा.शा. भवन रन्नौद</t>
  </si>
  <si>
    <t>चरोद</t>
  </si>
  <si>
    <t>शा.प्रा. विधालय चरोद</t>
  </si>
  <si>
    <t>तिल्लीपुर</t>
  </si>
  <si>
    <t>मा.शाला भवन तिल्लीपुर</t>
  </si>
  <si>
    <t>मातासूला</t>
  </si>
  <si>
    <t>नवीन प्रा.शाला भवन मातासूला</t>
  </si>
  <si>
    <t>सौईकलां</t>
  </si>
  <si>
    <t>मा.शा. भवन सोईकलां</t>
  </si>
  <si>
    <t>सॉईकला</t>
  </si>
  <si>
    <t>प्रा.शा.भवन साँईकला</t>
  </si>
  <si>
    <t>सॉईकलां</t>
  </si>
  <si>
    <t>शा.उ.मा.वि. भवन साँईकलां</t>
  </si>
  <si>
    <t>सॉईकलों</t>
  </si>
  <si>
    <t>कन्या प्रा.शा. भवन अतिरिक्त कक्ष सोईकलां</t>
  </si>
  <si>
    <t>सोईकलां</t>
  </si>
  <si>
    <t>नवीन सेवा सहकारी संस्था सोईकलां</t>
  </si>
  <si>
    <t>सोईकला (एकतापुरा)</t>
  </si>
  <si>
    <t>प्रा.शा. भवन एकतापुरा</t>
  </si>
  <si>
    <t>रूपनगर</t>
  </si>
  <si>
    <t>प्रा.शा. भवन रूपनगर</t>
  </si>
  <si>
    <t>मल्होत्रा</t>
  </si>
  <si>
    <t>प्रा.शा. भवन मल्होत्रा</t>
  </si>
  <si>
    <t>ज्वालापुर</t>
  </si>
  <si>
    <t>पंचायत भवन ज्वालापुर</t>
  </si>
  <si>
    <t>नंदापुर</t>
  </si>
  <si>
    <t>प्रा.शा. भवन नंदापुर</t>
  </si>
  <si>
    <t>भीखापुर</t>
  </si>
  <si>
    <t>प्रा.शा. भवन भीखापुर</t>
  </si>
  <si>
    <t>बर्धाबुजुर्ग</t>
  </si>
  <si>
    <t>मा.शा. भवन बर्धाबुजुर्ग</t>
  </si>
  <si>
    <t>शा. हाईस्कूल आबादी पंजाबी</t>
  </si>
  <si>
    <t>दांतरदाखुर्द</t>
  </si>
  <si>
    <t>प्रा. शा. भवन दांतरदाखुर्द</t>
  </si>
  <si>
    <t>ढेंगदा</t>
  </si>
  <si>
    <t>प्रा.शा. भवन डेंगदा सर्व शिक्षा अभियान का अतिरिक्त कक्ष</t>
  </si>
  <si>
    <t>बगवाज</t>
  </si>
  <si>
    <t>प्रा.शा. भवन शीतला का सहराना 1. बगवाज</t>
  </si>
  <si>
    <t>नवीन प्रा.शा. भवन शीतला का सहराना बगवाज</t>
  </si>
  <si>
    <t>मा. शा. भवन बगवाज (चैनपुरा)</t>
  </si>
  <si>
    <t>प्रा.शा. भवन चैनपुरा (बगवाज)</t>
  </si>
  <si>
    <t>चैनपुरा</t>
  </si>
  <si>
    <t>शा. उत्कृष्ट अ.ज.जा. छात्रावास चैनपुरा बगवाज</t>
  </si>
  <si>
    <t>कलारना</t>
  </si>
  <si>
    <t>प्रा.शा. भवन कलारना</t>
  </si>
  <si>
    <t>रायपुरा</t>
  </si>
  <si>
    <t>मा.शा. भवन रायपुरा</t>
  </si>
  <si>
    <t>जाटखेडा</t>
  </si>
  <si>
    <t>प्रा.शा. भवन जाटखेड़ा</t>
  </si>
  <si>
    <t>दलारना खुर्द</t>
  </si>
  <si>
    <t>प्रा.शा. भवन दलारना खुर्द</t>
  </si>
  <si>
    <t>नागदा</t>
  </si>
  <si>
    <t>नवीन पंचायत भवन नागदा</t>
  </si>
  <si>
    <t>मा.शा. भवन नागदा</t>
  </si>
  <si>
    <t>नगदी</t>
  </si>
  <si>
    <t>पंचायत भवन नगदी</t>
  </si>
  <si>
    <t>किलगांवडी</t>
  </si>
  <si>
    <t>प्रा.शा. भवन किलगांवडी</t>
  </si>
  <si>
    <t>विटलपुर</t>
  </si>
  <si>
    <t>प्रा.शा. भवन विटलपुर</t>
  </si>
  <si>
    <t>जालेरा</t>
  </si>
  <si>
    <t>प्रा.शा. भवन पौड्या को टपरा (रामनगर)</t>
  </si>
  <si>
    <t>गोहेड़ा</t>
  </si>
  <si>
    <t>मा.शा. भवन गोहेड़ा</t>
  </si>
  <si>
    <t>कवरसली</t>
  </si>
  <si>
    <t>प्रा.शा. भवन कवरसली</t>
  </si>
  <si>
    <t>बमूलीगुसाई</t>
  </si>
  <si>
    <t>प्रा.शा. भवन बमूलीगुसाई</t>
  </si>
  <si>
    <t>आसीदा</t>
  </si>
  <si>
    <t>प्रा.शा. भवन आसीदा</t>
  </si>
  <si>
    <t>बिलवाडा</t>
  </si>
  <si>
    <t>प्रा.वि. बिलवाडा</t>
  </si>
  <si>
    <t>प्रेमसर</t>
  </si>
  <si>
    <t>मा.शा. भवन प्रेमसर</t>
  </si>
  <si>
    <t>उ.मा.वि. भवन प्रेमसर</t>
  </si>
  <si>
    <t>पंचायत भवन प्रेमसर</t>
  </si>
  <si>
    <t>गांधीनगर</t>
  </si>
  <si>
    <t>प्रा.शा. भवन गांधीनगर</t>
  </si>
  <si>
    <t>अडवाड</t>
  </si>
  <si>
    <t>प्रा.शा. भवन अडवाड</t>
  </si>
  <si>
    <t>मा.शा. भवन अडवाड</t>
  </si>
  <si>
    <t>डाबरसा</t>
  </si>
  <si>
    <t>प्रा. शाला भवन डाबरसा</t>
  </si>
  <si>
    <t>सुंडी</t>
  </si>
  <si>
    <t>प्रा. शा. भवन सूंडी</t>
  </si>
  <si>
    <t>जलालपुरा</t>
  </si>
  <si>
    <t>पंचायत भवन जलालपुरा</t>
  </si>
  <si>
    <t>मा.शा. भवन जलालपुरा</t>
  </si>
  <si>
    <t>पानडी</t>
  </si>
  <si>
    <t>प्रा.शा. भवन पानडी</t>
  </si>
  <si>
    <t>आमल्दा</t>
  </si>
  <si>
    <t>प्रा.शा. भवन आमल्दा</t>
  </si>
  <si>
    <t>गुढा</t>
  </si>
  <si>
    <t>प्रा.शा. भवन गुढा</t>
  </si>
  <si>
    <t>पटपडा</t>
  </si>
  <si>
    <t>प्रा.शा. भवन पटपडा</t>
  </si>
  <si>
    <t>ननावद</t>
  </si>
  <si>
    <t>पंचायत भवन ननावद</t>
  </si>
  <si>
    <t>प्रा.शा. भवन ननावद</t>
  </si>
  <si>
    <t>मायदा</t>
  </si>
  <si>
    <t>मा.शा. भवन मावदा</t>
  </si>
  <si>
    <t>विजरपुर</t>
  </si>
  <si>
    <t>पंचायत भवन विजरपुर</t>
  </si>
  <si>
    <t>मालीबाड़ी</t>
  </si>
  <si>
    <t>प्रा.शा. भवन मालीबाड़ी</t>
  </si>
  <si>
    <t>पचीपुरा</t>
  </si>
  <si>
    <t>प्रा.शा. भवन पचीपुरा</t>
  </si>
  <si>
    <t>किलोरच</t>
  </si>
  <si>
    <t>प्रा.शा. भवन पचीपुरा, प्रा.शा. भवन किलोरच</t>
  </si>
  <si>
    <t>कनापुर</t>
  </si>
  <si>
    <t>प्रा. शा. भवन कनापुर पूर्वी भाग</t>
  </si>
  <si>
    <t>प्रा.शा. भवन उर्दू कनापुर</t>
  </si>
  <si>
    <t>ढोटी</t>
  </si>
  <si>
    <t>प्रा.शा. भवन बोटी</t>
  </si>
  <si>
    <t>टर्रामाफी</t>
  </si>
  <si>
    <t>प्रा.शा. भवन टर्रामाफी</t>
  </si>
  <si>
    <t>बगवाडा</t>
  </si>
  <si>
    <t>प्रा.शा. भवन बगवाडा</t>
  </si>
  <si>
    <t>जैदा</t>
  </si>
  <si>
    <t>मा.शा. भवन जैदा</t>
  </si>
  <si>
    <t>ईच्छापुरा</t>
  </si>
  <si>
    <t>प्रा.शा. भवन ईच्छापुरा</t>
  </si>
  <si>
    <t>गुवाडी</t>
  </si>
  <si>
    <t>प्रा.शा. भवन गुवाडी</t>
  </si>
  <si>
    <t>मठेपुरा</t>
  </si>
  <si>
    <t>प्रा.शा. भवन मठेपुरा</t>
  </si>
  <si>
    <t>हसनपुर हवेली</t>
  </si>
  <si>
    <t>प्रा. शा. भवन हसनपुर हवेली</t>
  </si>
  <si>
    <t>मलपुरा</t>
  </si>
  <si>
    <t>प्रा.शा. भवन मलपुरा</t>
  </si>
  <si>
    <t>श्योपुर</t>
  </si>
  <si>
    <t>आंगनबाडी भवन वार्ड न.01 पटेल पाडा श्योपुर</t>
  </si>
  <si>
    <t>01 ए श्योपुर आगनबाडी भवन वार्ड क्रमांक</t>
  </si>
  <si>
    <t>प्रा.शा. भवन पश्चिमी भाग किला श्योपुर</t>
  </si>
  <si>
    <t>प्रा.शा. भवन पूर्वी भाग किला श्योपुर</t>
  </si>
  <si>
    <t>आंगनबाड़ी भवन वार्ड क्रमांक 2 1. बी हनुमान मंदिर के पास श्योपुर</t>
  </si>
  <si>
    <t>आंगनबाड़ी केन्द्र वार्ड क्रमांक 2 1. 'ए किला गेट श्योपुर</t>
  </si>
  <si>
    <t>प्रा. कन्या.शा. पूर्वी भाग किला रोड श्योपुर</t>
  </si>
  <si>
    <t>प्रा. कन्या. शा. पश्चिमी भाग किला रोड श्योपुर</t>
  </si>
  <si>
    <t>शा. उत्कृष्ट उ.मा.वि. पूर्वी भाग श्योपुर</t>
  </si>
  <si>
    <t>पोरवाल पंचायती नौहरा श्योपुर</t>
  </si>
  <si>
    <t>नगरपालिका भवन श्योपुर</t>
  </si>
  <si>
    <t>नगरपालिका भवन उत्तरी भाग श्योपुर</t>
  </si>
  <si>
    <t>कार्यालय जिला पशु चिकित्सालय भवन बालापुरा श्योपुर</t>
  </si>
  <si>
    <t>कार्यालय उप संचालक पशु पालन भवन बालापुरा श्योपुर</t>
  </si>
  <si>
    <t>डी.एफ.ओ. कार्यालय पश्चिमी भाग श्योपुर</t>
  </si>
  <si>
    <t>डी.एफ.ओ. कार्यालय उत्तरी भाग श्योपुर</t>
  </si>
  <si>
    <t>सिंचाई विभाग कार्यालय पूर्वी भाग श्योपुर</t>
  </si>
  <si>
    <t>सिंचाई विभाग कार्यालय उत्तरी भाग श्योपुर</t>
  </si>
  <si>
    <t>सिंचाई विभाग कार्यालय पश्चिमी भाग श्योपुर</t>
  </si>
  <si>
    <t>भारतीय खाद्य निगम (FCI) गोदाम का तकनीकी कक्ष पाली रोड श्योपुर</t>
  </si>
  <si>
    <t>श्री हजारेश्वर प्रा. शा. भवन उत्तरी भाग पानी के टंकी के पास श्योपुर</t>
  </si>
  <si>
    <t>मा.शा.भवन कमांक 2 पश्चिमी भाग सलापुरा पानी की टंकी के पास श्योपुर</t>
  </si>
  <si>
    <t>श्री हजारेश्वर प्रा. शा. भवन दक्षिणी भाग पानी की टंकी के पास श्योपुर</t>
  </si>
  <si>
    <t>मा.शा.भवन क.2 पानी की टंकी के पास श्योपुर</t>
  </si>
  <si>
    <t>मा.शा.भवन क.2 उत्तरी भाग पानी की टंकी के पास श्योपुर</t>
  </si>
  <si>
    <t>डिग्री कालेज का पूर्वी भाग श्योपुर</t>
  </si>
  <si>
    <t>डिग्री कॉलेज का पूर्वी भाग श्योपुर</t>
  </si>
  <si>
    <t>डिग्री कालेज के पश्चिमी भाग श्योपुर</t>
  </si>
  <si>
    <t>मंगल भवन अम्बेडकर बस्ती उत्तरी भाग श्योपुर</t>
  </si>
  <si>
    <t>शासकीय माध्यमिक विद्यालय हजारेश्वर श्योपुर</t>
  </si>
  <si>
    <t>प्रा.शा. भवन हिन्दी गांधी पश्चिमी भाग वार्ड 11 श्योपुर</t>
  </si>
  <si>
    <t>शा.कन्या उ.मा.वि. कक्ष कमांक 1 श्योपुर</t>
  </si>
  <si>
    <t>शा.कन्या उ.मा.वि. कक्ष कमांक 2 श्योपुर</t>
  </si>
  <si>
    <t>जिला शिक्षा अधिकारी कार्यालय पूर्वी भाग श्योपुर</t>
  </si>
  <si>
    <t>प्रा.शा. भवन केशरमशीन के पास श्योपुर</t>
  </si>
  <si>
    <t>कार्यालय परियोजना अधिकारी महिला बाल विकास श्योपुर</t>
  </si>
  <si>
    <t>सलापुरा</t>
  </si>
  <si>
    <t>प्रा.शा. भवन सलापुरा</t>
  </si>
  <si>
    <t>प्रा. शा. भवन अतिरिक्त कक्ष सलापुरा</t>
  </si>
  <si>
    <t>राजीव गांधी सभाग्रह मेला ग्राउण्ड श्योपुर</t>
  </si>
  <si>
    <t>राजीव गांधी सभाग्रह मेला ग्राउण्ड पूर्वी भाग श्योपुर</t>
  </si>
  <si>
    <t>नवीन प्रा.शा. भवन चंबल कॉलोनी श्योपुर</t>
  </si>
  <si>
    <t>जन शिक्षा केन्द्र भवन चम्बल. कॉलोनी</t>
  </si>
  <si>
    <t>नवीन प्रा.शा. भवन चंबल कॉलोनी दक्षिणी भाग श्योपुर</t>
  </si>
  <si>
    <t>लॉ कॉलेज श्योपुर</t>
  </si>
  <si>
    <t>आंगनवाडी केन्द्र भवन वार्ड 13 डी गांधीनगर श्योपुर</t>
  </si>
  <si>
    <t>प्रा.शा. भवन उर्दू गांधी पश्चिमी भाग वार्ड 11 श्योपुर</t>
  </si>
  <si>
    <t>प्रा.शा. भवन उर्दू गांधी दक्षिणी भाग वार्ड 11 श्योपुर</t>
  </si>
  <si>
    <t>आंगनबाडी केन्द्र भवन 15 बी गांधीनगर श्योपुर</t>
  </si>
  <si>
    <t>आंगनबाडी केन्द्र भवन नदी मार्ग 14 ए फक्कड चौराहा श्योपुर</t>
  </si>
  <si>
    <t>बा.उ.मा.वि.पश्चिमी भाग पुरानी सब्जी मण्डी श्योपुर</t>
  </si>
  <si>
    <t>बा.उ.मा.वि. कमरा नं.-7 पुरानी सब्जी मण्डी श्योपुर</t>
  </si>
  <si>
    <t>बा.उ.मा.वि.बगल का कमरा नं. 03 श्योपुर</t>
  </si>
  <si>
    <t>बा.उ.मा.वि. काजीजी की बावडी 1 श्योपुर</t>
  </si>
  <si>
    <t>बा.उ.मा.वि. स्टेज बिल्डिंग श्योपुर</t>
  </si>
  <si>
    <t>उत्कृष्ट नवीन वि.बालक छात्रावास श्योपुर</t>
  </si>
  <si>
    <t>आदि. छात्रा.उ.मा.वि.श्योपुर</t>
  </si>
  <si>
    <t>आदि. छात्रावास उ.मा.वि. पश्चिमी भाग श्योपुर</t>
  </si>
  <si>
    <t>शा.उर्दू कन्या प्रा. विधालय बोहरा बंगलाघाट श्योपुर</t>
  </si>
  <si>
    <t>आगनबाडी भवन वार्ड कंमाक 22 चतरदास जी के टीले के पास श्योपुर</t>
  </si>
  <si>
    <t>आगनबाडी भवन वार्ड कंमाक 22ए चतरदास जी के टीले के पास श्योपुर</t>
  </si>
  <si>
    <t>श्री जयेश्वर मन्दिर (महाराष्ट्र समाज) उत्तरी भाग किला रोड श्योपुर</t>
  </si>
  <si>
    <t>श्री जयेश्वर मन्दिर (महाराष्ट्र समाज) पूर्वी भाग किला रोड श्योपुर</t>
  </si>
  <si>
    <t>गुर्जर गौड धर्मशाला पश्चिमी भाग किला रोड श्योपुर</t>
  </si>
  <si>
    <t>सेमल्दा हवेली</t>
  </si>
  <si>
    <t>प्रा.शा. भवन सेमल्दा हवेली</t>
  </si>
  <si>
    <t>अभयपुरा</t>
  </si>
  <si>
    <t>प्रा.शा. भवन अभयपुरा</t>
  </si>
  <si>
    <t>जानपुरा</t>
  </si>
  <si>
    <t>मा.शा. भवन जानपुरा</t>
  </si>
  <si>
    <t>माधोराजपुरा</t>
  </si>
  <si>
    <t>प्रा.शा. भवन माधोराजपुरा</t>
  </si>
  <si>
    <t>मयापुर</t>
  </si>
  <si>
    <t>नवीन प्रा.शा. भवन मयापुर</t>
  </si>
  <si>
    <t>हनुमान खेडा</t>
  </si>
  <si>
    <t>प्रा.शा. भवन हनुमान खेडा</t>
  </si>
  <si>
    <t>फतेहपुर</t>
  </si>
  <si>
    <t>ग्राम पंचायत भवन फतेहपुर</t>
  </si>
  <si>
    <t>शाहपुरा</t>
  </si>
  <si>
    <t>प्रा.शा. भवन शाहपुरा</t>
  </si>
  <si>
    <t>अजापुरा</t>
  </si>
  <si>
    <t>मा.शा. भवन अजापुरा</t>
  </si>
  <si>
    <t>पंचायत भवन अजापुरा</t>
  </si>
  <si>
    <t>भैरूखेडी</t>
  </si>
  <si>
    <t>प्रा.शा. भवन भैरूखेडी</t>
  </si>
  <si>
    <t>मझ</t>
  </si>
  <si>
    <t>प्रा.शा. भवन मऊ</t>
  </si>
  <si>
    <t>कूड हवेली</t>
  </si>
  <si>
    <t>नवीन प्रा.शा. भवन कूड हवेली</t>
  </si>
  <si>
    <t>किशोरपुरा</t>
  </si>
  <si>
    <t>प्रा.शा. भवन किशोरपुरा</t>
  </si>
  <si>
    <t>पीपल्दी</t>
  </si>
  <si>
    <t>मा.शा. भवन पीपल्दी</t>
  </si>
  <si>
    <t>फिलोजपुरा</t>
  </si>
  <si>
    <t>मा.शा. भवन चंद्रपुरा</t>
  </si>
  <si>
    <t>चन्द्रपुरा</t>
  </si>
  <si>
    <t>मा.शा. भवन चन्द्रपुरा</t>
  </si>
  <si>
    <t>हलगांवडा बुजुर्ग</t>
  </si>
  <si>
    <t>प्रा.शा. भवन हलगांवडा बुजुर्ग</t>
  </si>
  <si>
    <t>बम्होरीहाला</t>
  </si>
  <si>
    <t>प्रा.शा. भवन बम्हौरी हाला</t>
  </si>
  <si>
    <t>तुलसेफ</t>
  </si>
  <si>
    <t>राजीव गांधी सेवा केन्द्र भवन तुलसेफ</t>
  </si>
  <si>
    <t>मा.शा. भवन तुलसेफ</t>
  </si>
  <si>
    <t>श्रीजीकीगांवड</t>
  </si>
  <si>
    <t>प्रा.शा. भवन श्रीजी की गांवडी</t>
  </si>
  <si>
    <t>रामगांवडी</t>
  </si>
  <si>
    <t>प्रा.शा. भवन रामगांवडी</t>
  </si>
  <si>
    <t>दुबडी</t>
  </si>
  <si>
    <t>प्रा.शा. भवन दुबडी</t>
  </si>
  <si>
    <t>छोटाखेडा</t>
  </si>
  <si>
    <t>प्रा.शा. भवन छोटाखेडा</t>
  </si>
  <si>
    <t>गुरूनावदा</t>
  </si>
  <si>
    <t>प्रा.शा. भवन गुरूनावदा</t>
  </si>
  <si>
    <t>साकुडली</t>
  </si>
  <si>
    <t>आंगनबाड़ी भवन साकुडली</t>
  </si>
  <si>
    <t>बडाखेडा</t>
  </si>
  <si>
    <t>प्रा.शा. भवन बडाखेडा</t>
  </si>
  <si>
    <t>उतनवाड</t>
  </si>
  <si>
    <t>पंचायत भवन उतनवाड</t>
  </si>
  <si>
    <t>मा.शा. भवन उतनवाड</t>
  </si>
  <si>
    <t>प्रा.शा. भवन मजराकोथ (उतनवाड)</t>
  </si>
  <si>
    <t>बांडीखेडा</t>
  </si>
  <si>
    <t>नवीन शाला शा० प्रा० विद्यालय बांडीखेडा</t>
  </si>
  <si>
    <t>ठीकरिया</t>
  </si>
  <si>
    <t>प्रा.शा. भवन ठिकरिया</t>
  </si>
  <si>
    <t>राजौरा</t>
  </si>
  <si>
    <t>प्रा.शा. भवन राजौरा</t>
  </si>
  <si>
    <t>नारायणपुरा</t>
  </si>
  <si>
    <t>प्रा.शा. भवन नारायणपुरा</t>
  </si>
  <si>
    <t>बमोरीजाट</t>
  </si>
  <si>
    <t>प्रा.शा. भवन बमोरीजाट</t>
  </si>
  <si>
    <t>हिरनीखेडा</t>
  </si>
  <si>
    <t>मा.शा. भवन हिरनीखेडा</t>
  </si>
  <si>
    <t>अलापुरा</t>
  </si>
  <si>
    <t>अलापुरा प्रा.शा. भवन अतिरिक्त कक्ष</t>
  </si>
  <si>
    <t>बालापुरा</t>
  </si>
  <si>
    <t>प्रा.शा. भवन बालापुरा</t>
  </si>
  <si>
    <t>बाजरली</t>
  </si>
  <si>
    <t>नवीन पंचायत भवन बाजरली</t>
  </si>
  <si>
    <t>पहाडली</t>
  </si>
  <si>
    <t>प्रा.शा. भवन पहाडली</t>
  </si>
  <si>
    <t>पनवाड</t>
  </si>
  <si>
    <t>नवीन पंचायत भवन पनवाड</t>
  </si>
  <si>
    <t>रूण्डी</t>
  </si>
  <si>
    <t>प्रा.शा. भवन रूण्डी</t>
  </si>
  <si>
    <t>बहडावद</t>
  </si>
  <si>
    <t>प्रा.शा. भवन बहडावद</t>
  </si>
  <si>
    <t>कालूखेडली</t>
  </si>
  <si>
    <t>मा.शा. भवन कालूखेडली</t>
  </si>
  <si>
    <t>बिचगांवडी</t>
  </si>
  <si>
    <t>प्रा.शा. भवन बिचगांवडी</t>
  </si>
  <si>
    <t>बांसौद</t>
  </si>
  <si>
    <t>प्रा.शा. भवन बांसौद</t>
  </si>
  <si>
    <t>इन्द्रपुरा</t>
  </si>
  <si>
    <t>प्रा.शा. भवन इन्द्रपुरा</t>
  </si>
  <si>
    <t>पीपल्दा</t>
  </si>
  <si>
    <t>प्रा.शा. भवन पीपल्दा</t>
  </si>
  <si>
    <t>लुहाड</t>
  </si>
  <si>
    <t>प्रा.शा. भवन लुहाड</t>
  </si>
  <si>
    <t>मूडला</t>
  </si>
  <si>
    <t>प्रा. भवन मूडला</t>
  </si>
  <si>
    <t>करन्याखेडली</t>
  </si>
  <si>
    <t>प्रा.शा. भवन करन्याखेडली</t>
  </si>
  <si>
    <t>गलमान्या</t>
  </si>
  <si>
    <t>प्रा. शा. भवन गलमान्या</t>
  </si>
  <si>
    <t>पाण्डोली</t>
  </si>
  <si>
    <t>, प्रा.शa. भवन पाण्डोली</t>
  </si>
  <si>
    <t>पाण्डोला</t>
  </si>
  <si>
    <t>नवीन मा.शa. भवन पूर्वीभाग पाण्डौला</t>
  </si>
  <si>
    <t>नवीन मा.शa. भवन पश्चिमी भाग पाण्डौला</t>
  </si>
  <si>
    <t>हाईस्कूल भवन पाण्डौला</t>
  </si>
  <si>
    <t>हाईस्कूल भवन पश्चिमी भाग पाण्डौला</t>
  </si>
  <si>
    <t>प्रा.शa.भवन पाण्डोला</t>
  </si>
  <si>
    <t>आंगनबाडी भवन पाण्डोला</t>
  </si>
  <si>
    <t>भसून्दर</t>
  </si>
  <si>
    <t>प्रा.शa.भवन भसुन्दर</t>
  </si>
  <si>
    <t>लूंड</t>
  </si>
  <si>
    <t>नवीन आंगनबाडी भवन लूंड</t>
  </si>
  <si>
    <t>तलावडा</t>
  </si>
  <si>
    <t>मा.शा. भवन तलावडा</t>
  </si>
  <si>
    <t>ढोढपुर</t>
  </si>
  <si>
    <t>प्रा.शा. भवन ढोढपुर</t>
  </si>
  <si>
    <t>लाथ</t>
  </si>
  <si>
    <t>प्रा.शा. भवन लाथ</t>
  </si>
  <si>
    <t>नयागांव</t>
  </si>
  <si>
    <t>प्रा.शा. भवन नयागांव</t>
  </si>
  <si>
    <t>नयागांव सहराना</t>
  </si>
  <si>
    <t>प्रा.शा. भवन नयागांव सहराना</t>
  </si>
  <si>
    <t>राडेप</t>
  </si>
  <si>
    <t>मा.शा. भवन पूर्वी भाग राडेप</t>
  </si>
  <si>
    <t>मा.शा. भवन पश्चिमी भाग राडेप</t>
  </si>
  <si>
    <t>आंगनबाडी केन्द्र बी राडेप</t>
  </si>
  <si>
    <t>प्रा.शa. भवन इन्द्रापुरी राडेप</t>
  </si>
  <si>
    <t>मेखडाहेडी</t>
  </si>
  <si>
    <t>प्रा.शा. भवन मेखडाहेडी</t>
  </si>
  <si>
    <t>सारसिल्ली</t>
  </si>
  <si>
    <t>प्रा.शa. भवन सारसिल्ली</t>
  </si>
  <si>
    <t>बडौदा</t>
  </si>
  <si>
    <t>पुराना प्रा.शa. भवन कुंज बडोदा</t>
  </si>
  <si>
    <t>नवीन प्रा.शa. भवन कुंज बडोदा</t>
  </si>
  <si>
    <t>प्रा शा. भवन बडी टोडी बडौदा</t>
  </si>
  <si>
    <t>प्रा.शa. भवन बडी टोडी पश्चिमी भाग बडौदा</t>
  </si>
  <si>
    <t>कन्या मा.शa.भवन उत्तरी भाग बडौदा</t>
  </si>
  <si>
    <t>हरिजन छात्रावास रतोदन रोड बडौदा</t>
  </si>
  <si>
    <t>शा. कन्या प्रा.शाला भवन बडौदा</t>
  </si>
  <si>
    <t>जगदीश धर्मशाला उत्तरी भाग बडौदा</t>
  </si>
  <si>
    <t>नगर पंचायत भवन बडौदा</t>
  </si>
  <si>
    <t>जगदीश धर्मशाला दक्षिणी भाग बडौदा</t>
  </si>
  <si>
    <t>शा.प्रa.शाला भवन छोटी टोडी बडौदा</t>
  </si>
  <si>
    <t>बालक मा.शाला भवन बडौदा</t>
  </si>
  <si>
    <t>कार्यालय पी.ब्ल्यू, डी पूर्वी भाग बडौदा</t>
  </si>
  <si>
    <t>बालक छात्रावास बडौदा</t>
  </si>
  <si>
    <t>ललितपुरा</t>
  </si>
  <si>
    <t>प्रा.शa. भवन पूर्वीभाग ललितपुरा</t>
  </si>
  <si>
    <t>धानोद</t>
  </si>
  <si>
    <t>प्रा.शa.भवन धानोद</t>
  </si>
  <si>
    <t>प्रेमपुरा</t>
  </si>
  <si>
    <t>पंचायत भवन प्रेमपुरा</t>
  </si>
  <si>
    <t>कुहांजापुर</t>
  </si>
  <si>
    <t>पंचायत भवन पूर्वी भाग कुहांजापुर</t>
  </si>
  <si>
    <t>उदोतपुरा</t>
  </si>
  <si>
    <t>प्रा. शa. भवन उदोतपुरा</t>
  </si>
  <si>
    <t>बरखेडा</t>
  </si>
  <si>
    <t>प्रा.शa.भवन बरखेडा</t>
  </si>
  <si>
    <t>बडौदिया बिन्दी</t>
  </si>
  <si>
    <t>प्रा.शa. भवन बडौदियाबिन्दी</t>
  </si>
  <si>
    <t>राधापुरा</t>
  </si>
  <si>
    <t>प्रा.शa.भवन राधापुरा</t>
  </si>
  <si>
    <t>कलमुण्डा</t>
  </si>
  <si>
    <t>प्रा.शa. भवन कलमुण्डा</t>
  </si>
  <si>
    <t>मकडावदा कलां</t>
  </si>
  <si>
    <t>पंचायत भवन मकडावदाकलां</t>
  </si>
  <si>
    <t>मा.शa. भवन मकडावदाकला</t>
  </si>
  <si>
    <t>कुडायथा</t>
  </si>
  <si>
    <t>मा०शा० भवन कुडायथा</t>
  </si>
  <si>
    <t>भिलवाडिया</t>
  </si>
  <si>
    <t>प्रा.शa.भवन भिलवाडिया</t>
  </si>
  <si>
    <t>बोरदादेव</t>
  </si>
  <si>
    <t>नवीन प्रा.शa.भवन बोरदादेव</t>
  </si>
  <si>
    <t>प्रा. शa. भवन मकडावदाखुर्द</t>
  </si>
  <si>
    <t>कलोनी</t>
  </si>
  <si>
    <t>प्रा.शा. भवन कलोनी</t>
  </si>
  <si>
    <t>मकडावदाखुर्द</t>
  </si>
  <si>
    <t>प्रा. शा. भवन मकडावदाखुर्द</t>
  </si>
  <si>
    <t>महाराजपुरा</t>
  </si>
  <si>
    <t>प्रा.शा.भवन महाराजपुरा</t>
  </si>
  <si>
    <t>हलगांवडा खुर्द</t>
  </si>
  <si>
    <t>नवीन प्रा.शा.भवन हलगांवडा खुर्द</t>
  </si>
  <si>
    <t>बनडी</t>
  </si>
  <si>
    <t>प्रा.शा.भवन बनडी</t>
  </si>
  <si>
    <t>प्रा.शा.भवन अतिरिक्त कक्ष शाहपुरा</t>
  </si>
  <si>
    <t>सिरसौद</t>
  </si>
  <si>
    <t>प्रा.शा. भवन सिरसौद</t>
  </si>
  <si>
    <t>रतोदन</t>
  </si>
  <si>
    <t>शा.मा.वि.भवन रतोदन</t>
  </si>
  <si>
    <t>प्रा.शा.भवन रतोदन</t>
  </si>
  <si>
    <t>नवीन हाई स्कूल भवन रतोदन</t>
  </si>
  <si>
    <t>हीरापुर</t>
  </si>
  <si>
    <t>शा.प्रा. शाला भवन हीरापुर</t>
  </si>
  <si>
    <t>नयागांव तेहखण्ड</t>
  </si>
  <si>
    <t>मा.शा.भवन नयागांव तैखण्ड</t>
  </si>
  <si>
    <t>पटना</t>
  </si>
  <si>
    <t>प्रा.शा.भवन पटना</t>
  </si>
  <si>
    <t>बागल्दा</t>
  </si>
  <si>
    <t>मा.शा.भवन पूर्वी भाग बागल्दा</t>
  </si>
  <si>
    <t>प्रा.शा.भवन बागल्दा</t>
  </si>
  <si>
    <t>सेटलाईट शा. भवन प्रेमपुरा</t>
  </si>
  <si>
    <t>हनुमानखेडा</t>
  </si>
  <si>
    <t>Total Votes Pollled</t>
  </si>
  <si>
    <t>Total Ragistered Voter</t>
  </si>
  <si>
    <t>Male</t>
  </si>
  <si>
    <t>Female</t>
  </si>
  <si>
    <t>Delta Positive</t>
  </si>
  <si>
    <t>BJP</t>
  </si>
  <si>
    <t>INC</t>
  </si>
  <si>
    <t>BSP</t>
  </si>
  <si>
    <t>SDPOI</t>
  </si>
  <si>
    <t>RKSP</t>
  </si>
  <si>
    <t>PPOI</t>
  </si>
  <si>
    <t>ASP</t>
  </si>
  <si>
    <t>Independent</t>
  </si>
  <si>
    <t>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</si>
</sst>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D8A3E2E8-8B2A-4A10-912A-EC829C23A13E}"/>
  </cellStyles>
  <dxfs count="12">
    <dxf>
      <fill>
        <patternFill>
          <bgColor rgb="FF00B05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Delta</a:t>
            </a:r>
            <a:r>
              <a:rPr lang="en-US" b="1" baseline="0"/>
              <a:t> Positive vs Voter Turnout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Data!$AA$3:$AA$331</c:f>
              <c:numCache>
                <c:formatCode>General</c:formatCode>
                <c:ptCount val="329"/>
                <c:pt idx="0">
                  <c:v>16</c:v>
                </c:pt>
                <c:pt idx="1">
                  <c:v>284</c:v>
                </c:pt>
                <c:pt idx="2">
                  <c:v>30</c:v>
                </c:pt>
                <c:pt idx="3">
                  <c:v>172</c:v>
                </c:pt>
                <c:pt idx="4">
                  <c:v>121</c:v>
                </c:pt>
                <c:pt idx="5">
                  <c:v>149</c:v>
                </c:pt>
                <c:pt idx="6">
                  <c:v>182</c:v>
                </c:pt>
                <c:pt idx="7">
                  <c:v>217</c:v>
                </c:pt>
                <c:pt idx="8">
                  <c:v>107</c:v>
                </c:pt>
                <c:pt idx="9">
                  <c:v>85</c:v>
                </c:pt>
                <c:pt idx="10">
                  <c:v>345</c:v>
                </c:pt>
                <c:pt idx="11">
                  <c:v>128</c:v>
                </c:pt>
                <c:pt idx="12">
                  <c:v>280</c:v>
                </c:pt>
                <c:pt idx="13">
                  <c:v>38</c:v>
                </c:pt>
                <c:pt idx="14">
                  <c:v>89</c:v>
                </c:pt>
                <c:pt idx="15">
                  <c:v>243</c:v>
                </c:pt>
                <c:pt idx="16">
                  <c:v>395</c:v>
                </c:pt>
                <c:pt idx="17">
                  <c:v>56</c:v>
                </c:pt>
                <c:pt idx="18">
                  <c:v>269</c:v>
                </c:pt>
                <c:pt idx="19">
                  <c:v>92</c:v>
                </c:pt>
                <c:pt idx="20">
                  <c:v>88</c:v>
                </c:pt>
                <c:pt idx="21">
                  <c:v>143</c:v>
                </c:pt>
                <c:pt idx="22">
                  <c:v>141</c:v>
                </c:pt>
                <c:pt idx="23">
                  <c:v>200</c:v>
                </c:pt>
                <c:pt idx="24">
                  <c:v>102</c:v>
                </c:pt>
                <c:pt idx="25">
                  <c:v>257</c:v>
                </c:pt>
                <c:pt idx="26">
                  <c:v>42</c:v>
                </c:pt>
                <c:pt idx="27">
                  <c:v>237</c:v>
                </c:pt>
                <c:pt idx="28">
                  <c:v>59</c:v>
                </c:pt>
                <c:pt idx="29">
                  <c:v>74</c:v>
                </c:pt>
                <c:pt idx="30">
                  <c:v>27</c:v>
                </c:pt>
                <c:pt idx="31">
                  <c:v>21</c:v>
                </c:pt>
                <c:pt idx="32">
                  <c:v>154</c:v>
                </c:pt>
                <c:pt idx="33">
                  <c:v>28</c:v>
                </c:pt>
                <c:pt idx="34">
                  <c:v>45</c:v>
                </c:pt>
                <c:pt idx="35">
                  <c:v>81</c:v>
                </c:pt>
                <c:pt idx="36">
                  <c:v>213</c:v>
                </c:pt>
                <c:pt idx="37">
                  <c:v>68</c:v>
                </c:pt>
                <c:pt idx="38">
                  <c:v>168</c:v>
                </c:pt>
                <c:pt idx="39">
                  <c:v>13</c:v>
                </c:pt>
                <c:pt idx="40">
                  <c:v>380</c:v>
                </c:pt>
                <c:pt idx="41">
                  <c:v>201</c:v>
                </c:pt>
                <c:pt idx="42">
                  <c:v>115</c:v>
                </c:pt>
                <c:pt idx="43">
                  <c:v>128</c:v>
                </c:pt>
                <c:pt idx="44">
                  <c:v>402</c:v>
                </c:pt>
                <c:pt idx="45">
                  <c:v>270</c:v>
                </c:pt>
                <c:pt idx="46">
                  <c:v>254</c:v>
                </c:pt>
                <c:pt idx="47">
                  <c:v>10</c:v>
                </c:pt>
                <c:pt idx="48">
                  <c:v>645</c:v>
                </c:pt>
                <c:pt idx="49">
                  <c:v>172</c:v>
                </c:pt>
                <c:pt idx="50">
                  <c:v>330</c:v>
                </c:pt>
                <c:pt idx="51">
                  <c:v>413</c:v>
                </c:pt>
                <c:pt idx="52">
                  <c:v>74</c:v>
                </c:pt>
                <c:pt idx="53">
                  <c:v>121</c:v>
                </c:pt>
                <c:pt idx="54">
                  <c:v>58</c:v>
                </c:pt>
                <c:pt idx="55">
                  <c:v>241</c:v>
                </c:pt>
                <c:pt idx="56">
                  <c:v>484</c:v>
                </c:pt>
                <c:pt idx="57">
                  <c:v>277</c:v>
                </c:pt>
                <c:pt idx="58">
                  <c:v>301</c:v>
                </c:pt>
                <c:pt idx="59">
                  <c:v>345</c:v>
                </c:pt>
                <c:pt idx="60">
                  <c:v>21</c:v>
                </c:pt>
                <c:pt idx="61">
                  <c:v>299</c:v>
                </c:pt>
                <c:pt idx="62">
                  <c:v>215</c:v>
                </c:pt>
                <c:pt idx="63">
                  <c:v>101</c:v>
                </c:pt>
                <c:pt idx="64">
                  <c:v>178</c:v>
                </c:pt>
                <c:pt idx="65">
                  <c:v>37</c:v>
                </c:pt>
                <c:pt idx="66">
                  <c:v>201</c:v>
                </c:pt>
                <c:pt idx="67">
                  <c:v>25</c:v>
                </c:pt>
                <c:pt idx="68">
                  <c:v>211</c:v>
                </c:pt>
                <c:pt idx="69">
                  <c:v>20</c:v>
                </c:pt>
                <c:pt idx="70">
                  <c:v>15</c:v>
                </c:pt>
                <c:pt idx="71">
                  <c:v>148</c:v>
                </c:pt>
                <c:pt idx="72">
                  <c:v>312</c:v>
                </c:pt>
                <c:pt idx="73">
                  <c:v>172</c:v>
                </c:pt>
                <c:pt idx="74">
                  <c:v>151</c:v>
                </c:pt>
                <c:pt idx="75">
                  <c:v>103</c:v>
                </c:pt>
                <c:pt idx="76">
                  <c:v>255</c:v>
                </c:pt>
                <c:pt idx="77">
                  <c:v>34</c:v>
                </c:pt>
                <c:pt idx="78">
                  <c:v>17</c:v>
                </c:pt>
                <c:pt idx="79">
                  <c:v>222</c:v>
                </c:pt>
                <c:pt idx="80">
                  <c:v>129</c:v>
                </c:pt>
                <c:pt idx="81">
                  <c:v>139</c:v>
                </c:pt>
                <c:pt idx="82">
                  <c:v>162</c:v>
                </c:pt>
                <c:pt idx="83">
                  <c:v>128</c:v>
                </c:pt>
                <c:pt idx="84">
                  <c:v>89</c:v>
                </c:pt>
                <c:pt idx="85">
                  <c:v>121</c:v>
                </c:pt>
                <c:pt idx="86">
                  <c:v>216</c:v>
                </c:pt>
                <c:pt idx="87">
                  <c:v>540</c:v>
                </c:pt>
                <c:pt idx="88">
                  <c:v>2</c:v>
                </c:pt>
                <c:pt idx="89">
                  <c:v>138</c:v>
                </c:pt>
                <c:pt idx="90">
                  <c:v>185</c:v>
                </c:pt>
                <c:pt idx="91">
                  <c:v>28</c:v>
                </c:pt>
                <c:pt idx="92">
                  <c:v>263</c:v>
                </c:pt>
                <c:pt idx="93">
                  <c:v>83</c:v>
                </c:pt>
                <c:pt idx="94">
                  <c:v>127</c:v>
                </c:pt>
                <c:pt idx="95">
                  <c:v>737</c:v>
                </c:pt>
                <c:pt idx="96">
                  <c:v>78</c:v>
                </c:pt>
                <c:pt idx="97">
                  <c:v>127</c:v>
                </c:pt>
                <c:pt idx="98">
                  <c:v>106</c:v>
                </c:pt>
                <c:pt idx="99">
                  <c:v>158</c:v>
                </c:pt>
                <c:pt idx="100">
                  <c:v>297</c:v>
                </c:pt>
                <c:pt idx="101">
                  <c:v>54</c:v>
                </c:pt>
                <c:pt idx="102">
                  <c:v>197</c:v>
                </c:pt>
                <c:pt idx="103">
                  <c:v>59</c:v>
                </c:pt>
                <c:pt idx="104">
                  <c:v>30</c:v>
                </c:pt>
                <c:pt idx="105">
                  <c:v>144</c:v>
                </c:pt>
                <c:pt idx="106">
                  <c:v>103</c:v>
                </c:pt>
                <c:pt idx="107">
                  <c:v>55</c:v>
                </c:pt>
                <c:pt idx="108">
                  <c:v>113</c:v>
                </c:pt>
                <c:pt idx="109">
                  <c:v>176</c:v>
                </c:pt>
                <c:pt idx="110">
                  <c:v>75</c:v>
                </c:pt>
                <c:pt idx="111">
                  <c:v>4</c:v>
                </c:pt>
                <c:pt idx="112">
                  <c:v>155</c:v>
                </c:pt>
                <c:pt idx="113">
                  <c:v>287</c:v>
                </c:pt>
                <c:pt idx="114">
                  <c:v>220</c:v>
                </c:pt>
                <c:pt idx="115">
                  <c:v>31</c:v>
                </c:pt>
                <c:pt idx="116">
                  <c:v>97</c:v>
                </c:pt>
                <c:pt idx="117">
                  <c:v>92</c:v>
                </c:pt>
                <c:pt idx="118">
                  <c:v>13</c:v>
                </c:pt>
                <c:pt idx="119">
                  <c:v>27</c:v>
                </c:pt>
                <c:pt idx="120">
                  <c:v>151</c:v>
                </c:pt>
                <c:pt idx="121">
                  <c:v>65</c:v>
                </c:pt>
                <c:pt idx="122">
                  <c:v>131</c:v>
                </c:pt>
                <c:pt idx="123">
                  <c:v>5</c:v>
                </c:pt>
                <c:pt idx="124">
                  <c:v>300</c:v>
                </c:pt>
                <c:pt idx="125">
                  <c:v>40</c:v>
                </c:pt>
                <c:pt idx="126">
                  <c:v>117</c:v>
                </c:pt>
                <c:pt idx="127">
                  <c:v>105</c:v>
                </c:pt>
                <c:pt idx="128">
                  <c:v>314</c:v>
                </c:pt>
                <c:pt idx="129">
                  <c:v>40</c:v>
                </c:pt>
                <c:pt idx="130">
                  <c:v>261</c:v>
                </c:pt>
                <c:pt idx="131">
                  <c:v>261</c:v>
                </c:pt>
                <c:pt idx="132">
                  <c:v>208</c:v>
                </c:pt>
                <c:pt idx="133">
                  <c:v>103</c:v>
                </c:pt>
                <c:pt idx="134">
                  <c:v>110</c:v>
                </c:pt>
                <c:pt idx="135">
                  <c:v>158</c:v>
                </c:pt>
                <c:pt idx="136">
                  <c:v>515</c:v>
                </c:pt>
                <c:pt idx="137">
                  <c:v>168</c:v>
                </c:pt>
                <c:pt idx="138">
                  <c:v>123</c:v>
                </c:pt>
                <c:pt idx="139">
                  <c:v>194</c:v>
                </c:pt>
                <c:pt idx="140">
                  <c:v>89</c:v>
                </c:pt>
                <c:pt idx="141">
                  <c:v>380</c:v>
                </c:pt>
                <c:pt idx="142">
                  <c:v>135</c:v>
                </c:pt>
                <c:pt idx="143">
                  <c:v>115</c:v>
                </c:pt>
                <c:pt idx="144">
                  <c:v>21</c:v>
                </c:pt>
                <c:pt idx="145">
                  <c:v>320</c:v>
                </c:pt>
                <c:pt idx="146">
                  <c:v>238</c:v>
                </c:pt>
                <c:pt idx="147">
                  <c:v>419</c:v>
                </c:pt>
                <c:pt idx="148">
                  <c:v>580</c:v>
                </c:pt>
                <c:pt idx="149">
                  <c:v>234</c:v>
                </c:pt>
                <c:pt idx="150">
                  <c:v>166</c:v>
                </c:pt>
                <c:pt idx="151">
                  <c:v>225</c:v>
                </c:pt>
                <c:pt idx="152">
                  <c:v>100</c:v>
                </c:pt>
                <c:pt idx="153">
                  <c:v>107</c:v>
                </c:pt>
                <c:pt idx="154">
                  <c:v>80</c:v>
                </c:pt>
                <c:pt idx="155">
                  <c:v>346</c:v>
                </c:pt>
                <c:pt idx="156">
                  <c:v>120</c:v>
                </c:pt>
                <c:pt idx="157">
                  <c:v>338</c:v>
                </c:pt>
                <c:pt idx="158">
                  <c:v>419</c:v>
                </c:pt>
                <c:pt idx="159">
                  <c:v>419</c:v>
                </c:pt>
                <c:pt idx="160">
                  <c:v>786</c:v>
                </c:pt>
                <c:pt idx="161">
                  <c:v>472</c:v>
                </c:pt>
                <c:pt idx="162">
                  <c:v>48</c:v>
                </c:pt>
                <c:pt idx="163">
                  <c:v>97</c:v>
                </c:pt>
                <c:pt idx="164">
                  <c:v>37</c:v>
                </c:pt>
                <c:pt idx="165">
                  <c:v>248</c:v>
                </c:pt>
                <c:pt idx="166">
                  <c:v>195</c:v>
                </c:pt>
                <c:pt idx="167">
                  <c:v>157</c:v>
                </c:pt>
                <c:pt idx="168">
                  <c:v>92</c:v>
                </c:pt>
                <c:pt idx="169">
                  <c:v>142</c:v>
                </c:pt>
                <c:pt idx="170">
                  <c:v>139</c:v>
                </c:pt>
                <c:pt idx="171">
                  <c:v>238</c:v>
                </c:pt>
                <c:pt idx="172">
                  <c:v>122</c:v>
                </c:pt>
                <c:pt idx="173">
                  <c:v>136</c:v>
                </c:pt>
                <c:pt idx="174">
                  <c:v>51</c:v>
                </c:pt>
                <c:pt idx="175">
                  <c:v>84</c:v>
                </c:pt>
                <c:pt idx="176">
                  <c:v>43</c:v>
                </c:pt>
                <c:pt idx="177">
                  <c:v>223</c:v>
                </c:pt>
                <c:pt idx="178">
                  <c:v>85</c:v>
                </c:pt>
                <c:pt idx="179">
                  <c:v>199</c:v>
                </c:pt>
                <c:pt idx="180">
                  <c:v>130</c:v>
                </c:pt>
                <c:pt idx="181">
                  <c:v>74</c:v>
                </c:pt>
                <c:pt idx="182">
                  <c:v>143</c:v>
                </c:pt>
                <c:pt idx="183">
                  <c:v>71</c:v>
                </c:pt>
                <c:pt idx="184">
                  <c:v>233</c:v>
                </c:pt>
                <c:pt idx="185">
                  <c:v>325</c:v>
                </c:pt>
                <c:pt idx="186">
                  <c:v>119</c:v>
                </c:pt>
                <c:pt idx="187">
                  <c:v>635</c:v>
                </c:pt>
                <c:pt idx="188">
                  <c:v>254</c:v>
                </c:pt>
                <c:pt idx="189">
                  <c:v>197</c:v>
                </c:pt>
                <c:pt idx="190">
                  <c:v>141</c:v>
                </c:pt>
                <c:pt idx="191">
                  <c:v>210</c:v>
                </c:pt>
                <c:pt idx="192">
                  <c:v>222</c:v>
                </c:pt>
                <c:pt idx="193">
                  <c:v>566</c:v>
                </c:pt>
                <c:pt idx="194">
                  <c:v>424</c:v>
                </c:pt>
                <c:pt idx="195">
                  <c:v>92</c:v>
                </c:pt>
                <c:pt idx="196">
                  <c:v>137</c:v>
                </c:pt>
                <c:pt idx="197">
                  <c:v>187</c:v>
                </c:pt>
                <c:pt idx="198">
                  <c:v>323</c:v>
                </c:pt>
                <c:pt idx="199">
                  <c:v>494</c:v>
                </c:pt>
                <c:pt idx="200">
                  <c:v>199</c:v>
                </c:pt>
                <c:pt idx="201">
                  <c:v>18</c:v>
                </c:pt>
                <c:pt idx="202">
                  <c:v>544</c:v>
                </c:pt>
                <c:pt idx="203">
                  <c:v>292</c:v>
                </c:pt>
                <c:pt idx="204">
                  <c:v>300</c:v>
                </c:pt>
                <c:pt idx="205">
                  <c:v>337</c:v>
                </c:pt>
                <c:pt idx="206">
                  <c:v>207</c:v>
                </c:pt>
                <c:pt idx="207">
                  <c:v>416</c:v>
                </c:pt>
                <c:pt idx="208">
                  <c:v>267</c:v>
                </c:pt>
                <c:pt idx="209">
                  <c:v>15</c:v>
                </c:pt>
                <c:pt idx="210">
                  <c:v>91</c:v>
                </c:pt>
                <c:pt idx="211">
                  <c:v>43</c:v>
                </c:pt>
                <c:pt idx="212">
                  <c:v>81</c:v>
                </c:pt>
                <c:pt idx="213">
                  <c:v>424</c:v>
                </c:pt>
                <c:pt idx="214">
                  <c:v>118</c:v>
                </c:pt>
                <c:pt idx="215">
                  <c:v>37</c:v>
                </c:pt>
                <c:pt idx="216">
                  <c:v>176</c:v>
                </c:pt>
                <c:pt idx="217">
                  <c:v>431</c:v>
                </c:pt>
                <c:pt idx="218">
                  <c:v>88</c:v>
                </c:pt>
                <c:pt idx="219">
                  <c:v>116</c:v>
                </c:pt>
                <c:pt idx="220">
                  <c:v>273</c:v>
                </c:pt>
                <c:pt idx="221">
                  <c:v>22</c:v>
                </c:pt>
                <c:pt idx="222">
                  <c:v>134</c:v>
                </c:pt>
                <c:pt idx="223">
                  <c:v>188</c:v>
                </c:pt>
                <c:pt idx="224">
                  <c:v>350</c:v>
                </c:pt>
                <c:pt idx="225">
                  <c:v>82</c:v>
                </c:pt>
                <c:pt idx="226">
                  <c:v>41</c:v>
                </c:pt>
                <c:pt idx="227">
                  <c:v>204</c:v>
                </c:pt>
                <c:pt idx="228">
                  <c:v>181</c:v>
                </c:pt>
                <c:pt idx="229">
                  <c:v>350</c:v>
                </c:pt>
                <c:pt idx="230">
                  <c:v>114</c:v>
                </c:pt>
                <c:pt idx="231">
                  <c:v>176</c:v>
                </c:pt>
                <c:pt idx="232">
                  <c:v>248</c:v>
                </c:pt>
                <c:pt idx="233">
                  <c:v>163</c:v>
                </c:pt>
                <c:pt idx="234">
                  <c:v>106</c:v>
                </c:pt>
                <c:pt idx="235">
                  <c:v>56</c:v>
                </c:pt>
                <c:pt idx="236">
                  <c:v>250</c:v>
                </c:pt>
                <c:pt idx="237">
                  <c:v>125</c:v>
                </c:pt>
                <c:pt idx="238">
                  <c:v>104</c:v>
                </c:pt>
                <c:pt idx="239">
                  <c:v>315</c:v>
                </c:pt>
                <c:pt idx="240">
                  <c:v>239</c:v>
                </c:pt>
                <c:pt idx="241">
                  <c:v>49</c:v>
                </c:pt>
                <c:pt idx="242">
                  <c:v>225</c:v>
                </c:pt>
                <c:pt idx="243">
                  <c:v>275</c:v>
                </c:pt>
                <c:pt idx="244">
                  <c:v>144</c:v>
                </c:pt>
                <c:pt idx="245">
                  <c:v>264</c:v>
                </c:pt>
                <c:pt idx="246">
                  <c:v>293</c:v>
                </c:pt>
                <c:pt idx="247">
                  <c:v>128</c:v>
                </c:pt>
                <c:pt idx="248">
                  <c:v>232</c:v>
                </c:pt>
                <c:pt idx="249">
                  <c:v>235</c:v>
                </c:pt>
                <c:pt idx="250">
                  <c:v>22</c:v>
                </c:pt>
                <c:pt idx="251">
                  <c:v>506</c:v>
                </c:pt>
                <c:pt idx="252">
                  <c:v>112</c:v>
                </c:pt>
                <c:pt idx="253">
                  <c:v>172</c:v>
                </c:pt>
                <c:pt idx="254">
                  <c:v>259</c:v>
                </c:pt>
                <c:pt idx="255">
                  <c:v>336</c:v>
                </c:pt>
                <c:pt idx="256">
                  <c:v>306</c:v>
                </c:pt>
                <c:pt idx="257">
                  <c:v>73</c:v>
                </c:pt>
                <c:pt idx="258">
                  <c:v>244</c:v>
                </c:pt>
                <c:pt idx="259">
                  <c:v>80</c:v>
                </c:pt>
                <c:pt idx="260">
                  <c:v>230</c:v>
                </c:pt>
                <c:pt idx="261">
                  <c:v>174</c:v>
                </c:pt>
                <c:pt idx="262">
                  <c:v>363</c:v>
                </c:pt>
                <c:pt idx="263">
                  <c:v>311</c:v>
                </c:pt>
                <c:pt idx="264">
                  <c:v>505</c:v>
                </c:pt>
                <c:pt idx="265">
                  <c:v>274</c:v>
                </c:pt>
                <c:pt idx="266">
                  <c:v>184</c:v>
                </c:pt>
                <c:pt idx="267">
                  <c:v>252</c:v>
                </c:pt>
                <c:pt idx="268">
                  <c:v>149</c:v>
                </c:pt>
                <c:pt idx="269">
                  <c:v>331</c:v>
                </c:pt>
                <c:pt idx="270">
                  <c:v>65</c:v>
                </c:pt>
                <c:pt idx="271">
                  <c:v>78</c:v>
                </c:pt>
                <c:pt idx="272">
                  <c:v>198</c:v>
                </c:pt>
                <c:pt idx="273">
                  <c:v>73</c:v>
                </c:pt>
                <c:pt idx="274">
                  <c:v>108</c:v>
                </c:pt>
                <c:pt idx="275">
                  <c:v>46</c:v>
                </c:pt>
                <c:pt idx="276">
                  <c:v>323</c:v>
                </c:pt>
                <c:pt idx="277">
                  <c:v>248</c:v>
                </c:pt>
                <c:pt idx="278">
                  <c:v>236</c:v>
                </c:pt>
                <c:pt idx="279">
                  <c:v>86</c:v>
                </c:pt>
                <c:pt idx="280">
                  <c:v>535</c:v>
                </c:pt>
                <c:pt idx="281">
                  <c:v>250</c:v>
                </c:pt>
                <c:pt idx="282">
                  <c:v>171</c:v>
                </c:pt>
                <c:pt idx="283">
                  <c:v>479</c:v>
                </c:pt>
                <c:pt idx="284">
                  <c:v>611</c:v>
                </c:pt>
                <c:pt idx="285">
                  <c:v>200</c:v>
                </c:pt>
                <c:pt idx="286">
                  <c:v>130</c:v>
                </c:pt>
                <c:pt idx="287">
                  <c:v>447</c:v>
                </c:pt>
                <c:pt idx="288">
                  <c:v>223</c:v>
                </c:pt>
                <c:pt idx="289">
                  <c:v>272</c:v>
                </c:pt>
                <c:pt idx="290">
                  <c:v>414</c:v>
                </c:pt>
                <c:pt idx="291">
                  <c:v>173</c:v>
                </c:pt>
                <c:pt idx="292">
                  <c:v>378</c:v>
                </c:pt>
                <c:pt idx="293">
                  <c:v>143</c:v>
                </c:pt>
                <c:pt idx="294">
                  <c:v>12</c:v>
                </c:pt>
                <c:pt idx="295">
                  <c:v>297</c:v>
                </c:pt>
                <c:pt idx="296">
                  <c:v>191</c:v>
                </c:pt>
                <c:pt idx="297">
                  <c:v>379</c:v>
                </c:pt>
                <c:pt idx="298">
                  <c:v>249</c:v>
                </c:pt>
                <c:pt idx="299">
                  <c:v>108</c:v>
                </c:pt>
                <c:pt idx="300">
                  <c:v>232</c:v>
                </c:pt>
                <c:pt idx="301">
                  <c:v>227</c:v>
                </c:pt>
                <c:pt idx="302">
                  <c:v>8</c:v>
                </c:pt>
                <c:pt idx="303">
                  <c:v>336</c:v>
                </c:pt>
                <c:pt idx="304">
                  <c:v>144</c:v>
                </c:pt>
                <c:pt idx="305">
                  <c:v>430</c:v>
                </c:pt>
                <c:pt idx="306">
                  <c:v>25</c:v>
                </c:pt>
                <c:pt idx="307">
                  <c:v>178</c:v>
                </c:pt>
                <c:pt idx="308">
                  <c:v>132</c:v>
                </c:pt>
                <c:pt idx="309">
                  <c:v>229</c:v>
                </c:pt>
                <c:pt idx="310">
                  <c:v>171</c:v>
                </c:pt>
                <c:pt idx="311">
                  <c:v>176</c:v>
                </c:pt>
                <c:pt idx="312">
                  <c:v>403</c:v>
                </c:pt>
                <c:pt idx="313">
                  <c:v>107</c:v>
                </c:pt>
                <c:pt idx="314">
                  <c:v>552</c:v>
                </c:pt>
                <c:pt idx="315">
                  <c:v>15</c:v>
                </c:pt>
                <c:pt idx="316">
                  <c:v>95</c:v>
                </c:pt>
                <c:pt idx="317">
                  <c:v>79</c:v>
                </c:pt>
                <c:pt idx="318">
                  <c:v>142</c:v>
                </c:pt>
                <c:pt idx="319">
                  <c:v>82</c:v>
                </c:pt>
                <c:pt idx="320">
                  <c:v>123</c:v>
                </c:pt>
                <c:pt idx="321">
                  <c:v>217</c:v>
                </c:pt>
                <c:pt idx="322">
                  <c:v>152</c:v>
                </c:pt>
                <c:pt idx="323">
                  <c:v>470</c:v>
                </c:pt>
                <c:pt idx="324">
                  <c:v>229</c:v>
                </c:pt>
                <c:pt idx="325">
                  <c:v>230</c:v>
                </c:pt>
                <c:pt idx="326">
                  <c:v>182</c:v>
                </c:pt>
                <c:pt idx="327">
                  <c:v>16</c:v>
                </c:pt>
                <c:pt idx="328">
                  <c:v>305</c:v>
                </c:pt>
              </c:numCache>
            </c:numRef>
          </c:xVal>
          <c:yVal>
            <c:numRef>
              <c:f>Data!$AB$3:$AB$331</c:f>
              <c:numCache>
                <c:formatCode>0</c:formatCode>
                <c:ptCount val="329"/>
                <c:pt idx="0">
                  <c:v>89.627228525121566</c:v>
                </c:pt>
                <c:pt idx="1">
                  <c:v>84.872611464968145</c:v>
                </c:pt>
                <c:pt idx="2">
                  <c:v>80.751708428246019</c:v>
                </c:pt>
                <c:pt idx="3">
                  <c:v>78.597785977859786</c:v>
                </c:pt>
                <c:pt idx="4">
                  <c:v>73.597359735973598</c:v>
                </c:pt>
                <c:pt idx="5">
                  <c:v>84.756097560975604</c:v>
                </c:pt>
                <c:pt idx="6">
                  <c:v>73.91304347826086</c:v>
                </c:pt>
                <c:pt idx="7">
                  <c:v>73.092369477911646</c:v>
                </c:pt>
                <c:pt idx="8">
                  <c:v>85.416666666666657</c:v>
                </c:pt>
                <c:pt idx="9">
                  <c:v>79.428571428571431</c:v>
                </c:pt>
                <c:pt idx="10">
                  <c:v>72.652388797364083</c:v>
                </c:pt>
                <c:pt idx="11">
                  <c:v>61.881188118811878</c:v>
                </c:pt>
                <c:pt idx="12">
                  <c:v>67.621419676214202</c:v>
                </c:pt>
                <c:pt idx="13">
                  <c:v>77.253814147018034</c:v>
                </c:pt>
                <c:pt idx="14">
                  <c:v>63.44086021505376</c:v>
                </c:pt>
                <c:pt idx="15">
                  <c:v>84.016393442622956</c:v>
                </c:pt>
                <c:pt idx="16">
                  <c:v>83.289124668435008</c:v>
                </c:pt>
                <c:pt idx="17">
                  <c:v>85.336976320582878</c:v>
                </c:pt>
                <c:pt idx="18">
                  <c:v>83.976608187134502</c:v>
                </c:pt>
                <c:pt idx="19">
                  <c:v>65.785997357992073</c:v>
                </c:pt>
                <c:pt idx="20">
                  <c:v>86.261558784676353</c:v>
                </c:pt>
                <c:pt idx="21">
                  <c:v>89.605263157894726</c:v>
                </c:pt>
                <c:pt idx="22">
                  <c:v>78.938640132669974</c:v>
                </c:pt>
                <c:pt idx="23">
                  <c:v>78.285077951002222</c:v>
                </c:pt>
                <c:pt idx="24">
                  <c:v>78.145695364238406</c:v>
                </c:pt>
                <c:pt idx="25">
                  <c:v>85.378590078328983</c:v>
                </c:pt>
                <c:pt idx="26">
                  <c:v>82.636248415716096</c:v>
                </c:pt>
                <c:pt idx="27">
                  <c:v>79.968701095461654</c:v>
                </c:pt>
                <c:pt idx="28">
                  <c:v>84.980744544287546</c:v>
                </c:pt>
                <c:pt idx="29">
                  <c:v>76.703645007923924</c:v>
                </c:pt>
                <c:pt idx="30">
                  <c:v>84.351554126473744</c:v>
                </c:pt>
                <c:pt idx="31">
                  <c:v>78.540772532188839</c:v>
                </c:pt>
                <c:pt idx="32">
                  <c:v>87.220447284345042</c:v>
                </c:pt>
                <c:pt idx="33">
                  <c:v>82.285714285714278</c:v>
                </c:pt>
                <c:pt idx="34">
                  <c:v>84.382284382284382</c:v>
                </c:pt>
                <c:pt idx="35">
                  <c:v>89.202657807308967</c:v>
                </c:pt>
                <c:pt idx="36">
                  <c:v>88.349514563106794</c:v>
                </c:pt>
                <c:pt idx="37">
                  <c:v>74.404015056461731</c:v>
                </c:pt>
                <c:pt idx="38">
                  <c:v>84.278350515463913</c:v>
                </c:pt>
                <c:pt idx="39">
                  <c:v>88.374851720047459</c:v>
                </c:pt>
                <c:pt idx="40">
                  <c:v>82.81101614434948</c:v>
                </c:pt>
                <c:pt idx="41">
                  <c:v>79.837618403247632</c:v>
                </c:pt>
                <c:pt idx="42">
                  <c:v>95.6989247311828</c:v>
                </c:pt>
                <c:pt idx="43">
                  <c:v>84.135667396061265</c:v>
                </c:pt>
                <c:pt idx="44">
                  <c:v>79.654859218891914</c:v>
                </c:pt>
                <c:pt idx="45">
                  <c:v>83.333333333333343</c:v>
                </c:pt>
                <c:pt idx="46">
                  <c:v>83.200707338638367</c:v>
                </c:pt>
                <c:pt idx="47">
                  <c:v>95.833333333333343</c:v>
                </c:pt>
                <c:pt idx="48">
                  <c:v>83.173996175908229</c:v>
                </c:pt>
                <c:pt idx="49">
                  <c:v>82.249742002063982</c:v>
                </c:pt>
                <c:pt idx="50">
                  <c:v>86.799693016116649</c:v>
                </c:pt>
                <c:pt idx="51">
                  <c:v>84.162303664921467</c:v>
                </c:pt>
                <c:pt idx="52">
                  <c:v>85.882352941176464</c:v>
                </c:pt>
                <c:pt idx="53">
                  <c:v>79.178338001867417</c:v>
                </c:pt>
                <c:pt idx="54">
                  <c:v>85.972850678733039</c:v>
                </c:pt>
                <c:pt idx="55">
                  <c:v>74.327956989247312</c:v>
                </c:pt>
                <c:pt idx="56">
                  <c:v>88.097768331562165</c:v>
                </c:pt>
                <c:pt idx="57">
                  <c:v>68.049792531120332</c:v>
                </c:pt>
                <c:pt idx="58">
                  <c:v>78.558875219683657</c:v>
                </c:pt>
                <c:pt idx="59">
                  <c:v>81.818181818181827</c:v>
                </c:pt>
                <c:pt idx="60">
                  <c:v>82.001755926251093</c:v>
                </c:pt>
                <c:pt idx="61">
                  <c:v>81.566265060240966</c:v>
                </c:pt>
                <c:pt idx="62">
                  <c:v>86.283185840707972</c:v>
                </c:pt>
                <c:pt idx="63">
                  <c:v>87.381703470031553</c:v>
                </c:pt>
                <c:pt idx="64">
                  <c:v>74.712643678160916</c:v>
                </c:pt>
                <c:pt idx="65">
                  <c:v>83.516483516483518</c:v>
                </c:pt>
                <c:pt idx="66">
                  <c:v>81.672394043528058</c:v>
                </c:pt>
                <c:pt idx="67">
                  <c:v>85.052316890881912</c:v>
                </c:pt>
                <c:pt idx="68">
                  <c:v>81.644640234948611</c:v>
                </c:pt>
                <c:pt idx="69">
                  <c:v>84.090909090909093</c:v>
                </c:pt>
                <c:pt idx="70">
                  <c:v>85.035971223021576</c:v>
                </c:pt>
                <c:pt idx="71">
                  <c:v>79.242819843342033</c:v>
                </c:pt>
                <c:pt idx="72">
                  <c:v>85.294117647058826</c:v>
                </c:pt>
                <c:pt idx="73">
                  <c:v>79.29342492639843</c:v>
                </c:pt>
                <c:pt idx="74">
                  <c:v>85.114503816793899</c:v>
                </c:pt>
                <c:pt idx="75">
                  <c:v>84.188626907073498</c:v>
                </c:pt>
                <c:pt idx="76">
                  <c:v>98.644986449864504</c:v>
                </c:pt>
                <c:pt idx="77">
                  <c:v>83.903133903133906</c:v>
                </c:pt>
                <c:pt idx="78">
                  <c:v>91.860465116279073</c:v>
                </c:pt>
                <c:pt idx="79">
                  <c:v>81.95777351247601</c:v>
                </c:pt>
                <c:pt idx="80">
                  <c:v>81.466395112016301</c:v>
                </c:pt>
                <c:pt idx="81">
                  <c:v>75.227272727272734</c:v>
                </c:pt>
                <c:pt idx="82">
                  <c:v>80.381165919282509</c:v>
                </c:pt>
                <c:pt idx="83">
                  <c:v>78.645833333333343</c:v>
                </c:pt>
                <c:pt idx="84">
                  <c:v>84.848484848484844</c:v>
                </c:pt>
                <c:pt idx="85">
                  <c:v>88.778877887788781</c:v>
                </c:pt>
                <c:pt idx="86">
                  <c:v>97.9381443298969</c:v>
                </c:pt>
                <c:pt idx="87">
                  <c:v>83.414161008729394</c:v>
                </c:pt>
                <c:pt idx="88">
                  <c:v>84.144427001569852</c:v>
                </c:pt>
                <c:pt idx="89">
                  <c:v>76.485788113695079</c:v>
                </c:pt>
                <c:pt idx="90">
                  <c:v>86.610486891385762</c:v>
                </c:pt>
                <c:pt idx="91">
                  <c:v>81.172491544532136</c:v>
                </c:pt>
                <c:pt idx="92">
                  <c:v>86.444212721584989</c:v>
                </c:pt>
                <c:pt idx="93">
                  <c:v>109.34761441090555</c:v>
                </c:pt>
                <c:pt idx="94">
                  <c:v>126.33744855967078</c:v>
                </c:pt>
                <c:pt idx="95">
                  <c:v>110.05509641873279</c:v>
                </c:pt>
                <c:pt idx="96">
                  <c:v>43.02325581395349</c:v>
                </c:pt>
                <c:pt idx="97">
                  <c:v>55.667144906743182</c:v>
                </c:pt>
                <c:pt idx="98">
                  <c:v>52.106741573033709</c:v>
                </c:pt>
                <c:pt idx="99">
                  <c:v>131.375</c:v>
                </c:pt>
                <c:pt idx="100">
                  <c:v>83.495934959349597</c:v>
                </c:pt>
                <c:pt idx="101">
                  <c:v>69.164715066354404</c:v>
                </c:pt>
                <c:pt idx="102">
                  <c:v>43.141153081510936</c:v>
                </c:pt>
                <c:pt idx="103">
                  <c:v>189.59537572254334</c:v>
                </c:pt>
                <c:pt idx="104">
                  <c:v>70.668953687821613</c:v>
                </c:pt>
                <c:pt idx="105">
                  <c:v>93.085655314757489</c:v>
                </c:pt>
                <c:pt idx="106">
                  <c:v>40.955951265229615</c:v>
                </c:pt>
                <c:pt idx="107">
                  <c:v>89.578713968957871</c:v>
                </c:pt>
                <c:pt idx="108">
                  <c:v>116.59090909090909</c:v>
                </c:pt>
                <c:pt idx="109">
                  <c:v>118.24</c:v>
                </c:pt>
                <c:pt idx="110">
                  <c:v>78.059071729957807</c:v>
                </c:pt>
                <c:pt idx="111">
                  <c:v>38.70967741935484</c:v>
                </c:pt>
                <c:pt idx="112">
                  <c:v>165.19916142557651</c:v>
                </c:pt>
                <c:pt idx="113">
                  <c:v>62.98828125</c:v>
                </c:pt>
                <c:pt idx="114">
                  <c:v>73.924380704041724</c:v>
                </c:pt>
                <c:pt idx="115">
                  <c:v>77.725118483412331</c:v>
                </c:pt>
                <c:pt idx="116">
                  <c:v>84.415584415584405</c:v>
                </c:pt>
                <c:pt idx="117">
                  <c:v>73.660714285714292</c:v>
                </c:pt>
                <c:pt idx="118">
                  <c:v>56.814449917898187</c:v>
                </c:pt>
                <c:pt idx="119">
                  <c:v>146.76724137931035</c:v>
                </c:pt>
                <c:pt idx="120">
                  <c:v>98.860759493670898</c:v>
                </c:pt>
                <c:pt idx="121">
                  <c:v>17</c:v>
                </c:pt>
                <c:pt idx="122">
                  <c:v>323.94366197183098</c:v>
                </c:pt>
                <c:pt idx="123">
                  <c:v>73.745624270711787</c:v>
                </c:pt>
                <c:pt idx="124">
                  <c:v>88.959390862944161</c:v>
                </c:pt>
                <c:pt idx="125">
                  <c:v>81.722933643771825</c:v>
                </c:pt>
                <c:pt idx="126">
                  <c:v>67.10213776722091</c:v>
                </c:pt>
                <c:pt idx="127">
                  <c:v>59.028831562974204</c:v>
                </c:pt>
                <c:pt idx="128">
                  <c:v>188.65546218487395</c:v>
                </c:pt>
                <c:pt idx="129">
                  <c:v>39.840283939662825</c:v>
                </c:pt>
                <c:pt idx="130">
                  <c:v>96.577946768060841</c:v>
                </c:pt>
                <c:pt idx="131">
                  <c:v>133.94957983193277</c:v>
                </c:pt>
                <c:pt idx="132">
                  <c:v>60.405549626467447</c:v>
                </c:pt>
                <c:pt idx="133">
                  <c:v>85.090361445783131</c:v>
                </c:pt>
                <c:pt idx="134">
                  <c:v>85.310734463276845</c:v>
                </c:pt>
                <c:pt idx="135">
                  <c:v>120.86834733893556</c:v>
                </c:pt>
                <c:pt idx="136">
                  <c:v>72.430355427473586</c:v>
                </c:pt>
                <c:pt idx="137">
                  <c:v>80.818414322250646</c:v>
                </c:pt>
                <c:pt idx="138">
                  <c:v>89.527720739219703</c:v>
                </c:pt>
                <c:pt idx="139">
                  <c:v>82.515723270440262</c:v>
                </c:pt>
                <c:pt idx="140">
                  <c:v>81.316003249390747</c:v>
                </c:pt>
                <c:pt idx="141">
                  <c:v>91.721419185282528</c:v>
                </c:pt>
                <c:pt idx="142">
                  <c:v>91.029900332225907</c:v>
                </c:pt>
                <c:pt idx="143">
                  <c:v>88.876404494382015</c:v>
                </c:pt>
                <c:pt idx="144">
                  <c:v>75.296912114014248</c:v>
                </c:pt>
                <c:pt idx="145">
                  <c:v>100.27472527472527</c:v>
                </c:pt>
                <c:pt idx="146">
                  <c:v>737.83783783783781</c:v>
                </c:pt>
                <c:pt idx="147">
                  <c:v>74.550484094052564</c:v>
                </c:pt>
                <c:pt idx="148">
                  <c:v>77.386363636363626</c:v>
                </c:pt>
                <c:pt idx="149">
                  <c:v>74.889867841409696</c:v>
                </c:pt>
                <c:pt idx="150">
                  <c:v>89.384010484927913</c:v>
                </c:pt>
                <c:pt idx="151">
                  <c:v>79.947916666666657</c:v>
                </c:pt>
                <c:pt idx="152">
                  <c:v>28.777589134125638</c:v>
                </c:pt>
                <c:pt idx="153">
                  <c:v>64.087759815242492</c:v>
                </c:pt>
                <c:pt idx="154">
                  <c:v>69.80088495575221</c:v>
                </c:pt>
                <c:pt idx="155">
                  <c:v>84.800965018094089</c:v>
                </c:pt>
                <c:pt idx="156">
                  <c:v>68.704156479217602</c:v>
                </c:pt>
                <c:pt idx="157">
                  <c:v>60.408560311284042</c:v>
                </c:pt>
                <c:pt idx="158">
                  <c:v>67.140468227424748</c:v>
                </c:pt>
                <c:pt idx="159">
                  <c:v>74.093722369584441</c:v>
                </c:pt>
                <c:pt idx="160">
                  <c:v>92.232055063913478</c:v>
                </c:pt>
                <c:pt idx="161">
                  <c:v>103.875</c:v>
                </c:pt>
                <c:pt idx="162">
                  <c:v>55.000000000000007</c:v>
                </c:pt>
                <c:pt idx="163">
                  <c:v>72.885572139303477</c:v>
                </c:pt>
                <c:pt idx="164">
                  <c:v>71.485148514851488</c:v>
                </c:pt>
                <c:pt idx="165">
                  <c:v>94.589178356713418</c:v>
                </c:pt>
                <c:pt idx="166">
                  <c:v>90.322580645161281</c:v>
                </c:pt>
                <c:pt idx="167">
                  <c:v>67.073170731707322</c:v>
                </c:pt>
                <c:pt idx="168">
                  <c:v>35.72621035058431</c:v>
                </c:pt>
                <c:pt idx="169">
                  <c:v>50.815217391304344</c:v>
                </c:pt>
                <c:pt idx="170">
                  <c:v>77.41935483870968</c:v>
                </c:pt>
                <c:pt idx="171">
                  <c:v>73.091364205256568</c:v>
                </c:pt>
                <c:pt idx="172">
                  <c:v>72.438162544169614</c:v>
                </c:pt>
                <c:pt idx="173">
                  <c:v>69.969666329625895</c:v>
                </c:pt>
                <c:pt idx="174">
                  <c:v>71.7219589257504</c:v>
                </c:pt>
                <c:pt idx="175">
                  <c:v>74.971558589306028</c:v>
                </c:pt>
                <c:pt idx="176">
                  <c:v>75.352877307274696</c:v>
                </c:pt>
                <c:pt idx="177">
                  <c:v>60.180541624874628</c:v>
                </c:pt>
                <c:pt idx="178">
                  <c:v>65.390279823269509</c:v>
                </c:pt>
                <c:pt idx="179">
                  <c:v>67.956795679567961</c:v>
                </c:pt>
                <c:pt idx="180">
                  <c:v>70.418848167539267</c:v>
                </c:pt>
                <c:pt idx="181">
                  <c:v>65.531062124248493</c:v>
                </c:pt>
                <c:pt idx="182">
                  <c:v>78.229317851959351</c:v>
                </c:pt>
                <c:pt idx="183">
                  <c:v>72.201257861635213</c:v>
                </c:pt>
                <c:pt idx="184">
                  <c:v>72.662511130899375</c:v>
                </c:pt>
                <c:pt idx="185">
                  <c:v>89.102564102564102</c:v>
                </c:pt>
                <c:pt idx="186">
                  <c:v>37.684365781710916</c:v>
                </c:pt>
                <c:pt idx="187">
                  <c:v>79.583975346687211</c:v>
                </c:pt>
                <c:pt idx="188">
                  <c:v>75.644222776392354</c:v>
                </c:pt>
                <c:pt idx="189">
                  <c:v>91.185729275970616</c:v>
                </c:pt>
                <c:pt idx="190">
                  <c:v>61.00352112676056</c:v>
                </c:pt>
                <c:pt idx="191">
                  <c:v>99.023199023199027</c:v>
                </c:pt>
                <c:pt idx="192">
                  <c:v>42.793462109955421</c:v>
                </c:pt>
                <c:pt idx="193">
                  <c:v>81.088825214899714</c:v>
                </c:pt>
                <c:pt idx="194">
                  <c:v>107.68463073852294</c:v>
                </c:pt>
                <c:pt idx="195">
                  <c:v>65.619546247818491</c:v>
                </c:pt>
                <c:pt idx="196">
                  <c:v>95.856052344601963</c:v>
                </c:pt>
                <c:pt idx="197">
                  <c:v>85.883905013192603</c:v>
                </c:pt>
                <c:pt idx="198">
                  <c:v>44.558823529411768</c:v>
                </c:pt>
                <c:pt idx="199">
                  <c:v>107.74193548387096</c:v>
                </c:pt>
                <c:pt idx="200">
                  <c:v>107.36040609137056</c:v>
                </c:pt>
                <c:pt idx="201">
                  <c:v>77.236842105263165</c:v>
                </c:pt>
                <c:pt idx="202">
                  <c:v>54.285714285714285</c:v>
                </c:pt>
                <c:pt idx="203">
                  <c:v>90.399137001078742</c:v>
                </c:pt>
                <c:pt idx="204">
                  <c:v>73.894282632146712</c:v>
                </c:pt>
                <c:pt idx="205">
                  <c:v>74.645892351274796</c:v>
                </c:pt>
                <c:pt idx="206">
                  <c:v>76.289791437980242</c:v>
                </c:pt>
                <c:pt idx="207">
                  <c:v>73.726541554959795</c:v>
                </c:pt>
                <c:pt idx="208">
                  <c:v>77.846425419240944</c:v>
                </c:pt>
                <c:pt idx="209">
                  <c:v>88.431061806656103</c:v>
                </c:pt>
                <c:pt idx="210">
                  <c:v>82.234957020057308</c:v>
                </c:pt>
                <c:pt idx="211">
                  <c:v>86.503856041131115</c:v>
                </c:pt>
                <c:pt idx="212">
                  <c:v>96.884735202492209</c:v>
                </c:pt>
                <c:pt idx="213">
                  <c:v>86.674816625916876</c:v>
                </c:pt>
                <c:pt idx="214">
                  <c:v>72.389127324749651</c:v>
                </c:pt>
                <c:pt idx="215">
                  <c:v>95.049504950495049</c:v>
                </c:pt>
                <c:pt idx="216">
                  <c:v>73.00380228136882</c:v>
                </c:pt>
                <c:pt idx="217">
                  <c:v>85.03496503496504</c:v>
                </c:pt>
                <c:pt idx="218">
                  <c:v>83.747927031509121</c:v>
                </c:pt>
                <c:pt idx="219">
                  <c:v>96.496815286624198</c:v>
                </c:pt>
                <c:pt idx="220">
                  <c:v>84.91902834008097</c:v>
                </c:pt>
                <c:pt idx="221">
                  <c:v>86.525759577278734</c:v>
                </c:pt>
                <c:pt idx="222">
                  <c:v>94.878048780487802</c:v>
                </c:pt>
                <c:pt idx="223">
                  <c:v>88.299817184643516</c:v>
                </c:pt>
                <c:pt idx="224">
                  <c:v>86.842105263157904</c:v>
                </c:pt>
                <c:pt idx="225">
                  <c:v>83.382789317507417</c:v>
                </c:pt>
                <c:pt idx="226">
                  <c:v>83.554376657824932</c:v>
                </c:pt>
                <c:pt idx="227">
                  <c:v>74.848116646415548</c:v>
                </c:pt>
                <c:pt idx="228">
                  <c:v>86.197183098591552</c:v>
                </c:pt>
                <c:pt idx="229">
                  <c:v>87.296898079763665</c:v>
                </c:pt>
                <c:pt idx="230">
                  <c:v>96.721311475409834</c:v>
                </c:pt>
                <c:pt idx="231">
                  <c:v>84.91379310344827</c:v>
                </c:pt>
                <c:pt idx="232">
                  <c:v>84.85607008760951</c:v>
                </c:pt>
                <c:pt idx="233">
                  <c:v>88.021778584392024</c:v>
                </c:pt>
                <c:pt idx="234">
                  <c:v>83.638928067700988</c:v>
                </c:pt>
                <c:pt idx="235">
                  <c:v>92.682926829268297</c:v>
                </c:pt>
                <c:pt idx="236">
                  <c:v>92.76315789473685</c:v>
                </c:pt>
                <c:pt idx="237">
                  <c:v>84.482758620689651</c:v>
                </c:pt>
                <c:pt idx="238">
                  <c:v>85.560538116591928</c:v>
                </c:pt>
                <c:pt idx="239">
                  <c:v>86.40167364016736</c:v>
                </c:pt>
                <c:pt idx="240">
                  <c:v>95.796460176991147</c:v>
                </c:pt>
                <c:pt idx="241">
                  <c:v>90.095846645367416</c:v>
                </c:pt>
                <c:pt idx="242">
                  <c:v>83.651226158038156</c:v>
                </c:pt>
                <c:pt idx="243">
                  <c:v>88.642297650130558</c:v>
                </c:pt>
                <c:pt idx="244">
                  <c:v>94.264339152119703</c:v>
                </c:pt>
                <c:pt idx="245">
                  <c:v>84.041184041184039</c:v>
                </c:pt>
                <c:pt idx="246">
                  <c:v>83.305084745762713</c:v>
                </c:pt>
                <c:pt idx="247">
                  <c:v>87.522935779816507</c:v>
                </c:pt>
                <c:pt idx="248">
                  <c:v>86.267166042446945</c:v>
                </c:pt>
                <c:pt idx="249">
                  <c:v>82.632293080054282</c:v>
                </c:pt>
                <c:pt idx="250">
                  <c:v>86.38941398865785</c:v>
                </c:pt>
                <c:pt idx="251">
                  <c:v>87.160120845921455</c:v>
                </c:pt>
                <c:pt idx="252">
                  <c:v>81.196581196581192</c:v>
                </c:pt>
                <c:pt idx="253">
                  <c:v>81.036834924965888</c:v>
                </c:pt>
                <c:pt idx="254">
                  <c:v>88.78116343490305</c:v>
                </c:pt>
                <c:pt idx="255">
                  <c:v>88.382899628252787</c:v>
                </c:pt>
                <c:pt idx="256">
                  <c:v>80.987202925045708</c:v>
                </c:pt>
                <c:pt idx="257">
                  <c:v>87.660256410256409</c:v>
                </c:pt>
                <c:pt idx="258">
                  <c:v>84.30311231393776</c:v>
                </c:pt>
                <c:pt idx="259">
                  <c:v>82.35294117647058</c:v>
                </c:pt>
                <c:pt idx="260">
                  <c:v>89.84375</c:v>
                </c:pt>
                <c:pt idx="261">
                  <c:v>84.615384615384613</c:v>
                </c:pt>
                <c:pt idx="262">
                  <c:v>83.220174587778857</c:v>
                </c:pt>
                <c:pt idx="263">
                  <c:v>84.529505582137162</c:v>
                </c:pt>
                <c:pt idx="264">
                  <c:v>84.07821229050279</c:v>
                </c:pt>
                <c:pt idx="265">
                  <c:v>81.503759398496243</c:v>
                </c:pt>
                <c:pt idx="266">
                  <c:v>84.08262454434994</c:v>
                </c:pt>
                <c:pt idx="267">
                  <c:v>82.532751091703062</c:v>
                </c:pt>
                <c:pt idx="268">
                  <c:v>79.42446043165468</c:v>
                </c:pt>
                <c:pt idx="269">
                  <c:v>84.573748308525026</c:v>
                </c:pt>
                <c:pt idx="270">
                  <c:v>93.378995433789953</c:v>
                </c:pt>
                <c:pt idx="271">
                  <c:v>94.382022471910105</c:v>
                </c:pt>
                <c:pt idx="272">
                  <c:v>78.94736842105263</c:v>
                </c:pt>
                <c:pt idx="273">
                  <c:v>86.101694915254228</c:v>
                </c:pt>
                <c:pt idx="274">
                  <c:v>79.657387580299783</c:v>
                </c:pt>
                <c:pt idx="275">
                  <c:v>84.17818740399386</c:v>
                </c:pt>
                <c:pt idx="276">
                  <c:v>84.466019417475721</c:v>
                </c:pt>
                <c:pt idx="277">
                  <c:v>74.478527607361968</c:v>
                </c:pt>
                <c:pt idx="278">
                  <c:v>76.86980609418282</c:v>
                </c:pt>
                <c:pt idx="279">
                  <c:v>81.843971631205676</c:v>
                </c:pt>
                <c:pt idx="280">
                  <c:v>83.583690987124456</c:v>
                </c:pt>
                <c:pt idx="281">
                  <c:v>87.665198237885463</c:v>
                </c:pt>
                <c:pt idx="282">
                  <c:v>87.943262411347519</c:v>
                </c:pt>
                <c:pt idx="283">
                  <c:v>85.098952270081483</c:v>
                </c:pt>
                <c:pt idx="284">
                  <c:v>80.047694753577105</c:v>
                </c:pt>
                <c:pt idx="285">
                  <c:v>84.114285714285714</c:v>
                </c:pt>
                <c:pt idx="286">
                  <c:v>81.062124248496986</c:v>
                </c:pt>
                <c:pt idx="287">
                  <c:v>76.15546218487394</c:v>
                </c:pt>
                <c:pt idx="288">
                  <c:v>81.796116504854368</c:v>
                </c:pt>
                <c:pt idx="289">
                  <c:v>80.180180180180187</c:v>
                </c:pt>
                <c:pt idx="290">
                  <c:v>83.261339092872561</c:v>
                </c:pt>
                <c:pt idx="291">
                  <c:v>79.129129129129126</c:v>
                </c:pt>
                <c:pt idx="292">
                  <c:v>111.86186186186187</c:v>
                </c:pt>
                <c:pt idx="293">
                  <c:v>83.097055616139585</c:v>
                </c:pt>
                <c:pt idx="294">
                  <c:v>70.162932790224033</c:v>
                </c:pt>
                <c:pt idx="295">
                  <c:v>65.523465703971112</c:v>
                </c:pt>
                <c:pt idx="296">
                  <c:v>91.694725028058372</c:v>
                </c:pt>
                <c:pt idx="297">
                  <c:v>73.035887487875854</c:v>
                </c:pt>
                <c:pt idx="298">
                  <c:v>80.82497212931996</c:v>
                </c:pt>
                <c:pt idx="299">
                  <c:v>65.301204819277103</c:v>
                </c:pt>
                <c:pt idx="300">
                  <c:v>119.41747572815532</c:v>
                </c:pt>
                <c:pt idx="301">
                  <c:v>70.201484623541887</c:v>
                </c:pt>
                <c:pt idx="302">
                  <c:v>52.074966532797859</c:v>
                </c:pt>
                <c:pt idx="303">
                  <c:v>175.72115384615387</c:v>
                </c:pt>
                <c:pt idx="304">
                  <c:v>82.603686635944698</c:v>
                </c:pt>
                <c:pt idx="305">
                  <c:v>73.015873015873012</c:v>
                </c:pt>
                <c:pt idx="306">
                  <c:v>76.470588235294116</c:v>
                </c:pt>
                <c:pt idx="307">
                  <c:v>91.428571428571431</c:v>
                </c:pt>
                <c:pt idx="308">
                  <c:v>92.637215528781795</c:v>
                </c:pt>
                <c:pt idx="309">
                  <c:v>76.174112256586483</c:v>
                </c:pt>
                <c:pt idx="310">
                  <c:v>96.533333333333331</c:v>
                </c:pt>
                <c:pt idx="311">
                  <c:v>33.075221238938049</c:v>
                </c:pt>
                <c:pt idx="312">
                  <c:v>223.96166134185304</c:v>
                </c:pt>
                <c:pt idx="313">
                  <c:v>51.230949589683469</c:v>
                </c:pt>
                <c:pt idx="314">
                  <c:v>180</c:v>
                </c:pt>
                <c:pt idx="315">
                  <c:v>66.204690831556505</c:v>
                </c:pt>
                <c:pt idx="316">
                  <c:v>59.470752089136489</c:v>
                </c:pt>
                <c:pt idx="317">
                  <c:v>115.36748329621381</c:v>
                </c:pt>
                <c:pt idx="318">
                  <c:v>118.50079744816586</c:v>
                </c:pt>
                <c:pt idx="319">
                  <c:v>59.831756046267095</c:v>
                </c:pt>
                <c:pt idx="320">
                  <c:v>83.78378378378379</c:v>
                </c:pt>
                <c:pt idx="321">
                  <c:v>108.62329803328291</c:v>
                </c:pt>
                <c:pt idx="322">
                  <c:v>39.542857142857137</c:v>
                </c:pt>
                <c:pt idx="323">
                  <c:v>156.6390041493776</c:v>
                </c:pt>
                <c:pt idx="324">
                  <c:v>64.656084656084658</c:v>
                </c:pt>
                <c:pt idx="325">
                  <c:v>75.099337748344368</c:v>
                </c:pt>
                <c:pt idx="326">
                  <c:v>53.11203319502075</c:v>
                </c:pt>
                <c:pt idx="327">
                  <c:v>22.157996146435451</c:v>
                </c:pt>
                <c:pt idx="328">
                  <c:v>168.50152905198777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C-4E5E-A8BA-0A36A1322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674864"/>
        <c:axId val="628416544"/>
      </c:scatterChart>
      <c:valAx>
        <c:axId val="49167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16544"/>
        <c:crosses val="autoZero"/>
        <c:crossBetween val="midCat"/>
      </c:valAx>
      <c:valAx>
        <c:axId val="6284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7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</a:t>
            </a:r>
            <a:r>
              <a:rPr lang="en-US" baseline="0"/>
              <a:t> VS BJP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Outlier!$AB$3:$AB$14</c:f>
              <c:numCache>
                <c:formatCode>0</c:formatCode>
                <c:ptCount val="12"/>
                <c:pt idx="0">
                  <c:v>110.05509641873279</c:v>
                </c:pt>
                <c:pt idx="1">
                  <c:v>92.232055063913478</c:v>
                </c:pt>
                <c:pt idx="2">
                  <c:v>103.875</c:v>
                </c:pt>
                <c:pt idx="3">
                  <c:v>107.68463073852294</c:v>
                </c:pt>
                <c:pt idx="4">
                  <c:v>107.74193548387096</c:v>
                </c:pt>
                <c:pt idx="5">
                  <c:v>223.96166134185304</c:v>
                </c:pt>
                <c:pt idx="6">
                  <c:v>180</c:v>
                </c:pt>
                <c:pt idx="7">
                  <c:v>156.6390041493776</c:v>
                </c:pt>
                <c:pt idx="8">
                  <c:v>22.157996146435451</c:v>
                </c:pt>
                <c:pt idx="9">
                  <c:v>95.833333333333343</c:v>
                </c:pt>
                <c:pt idx="10">
                  <c:v>91.860465116279073</c:v>
                </c:pt>
                <c:pt idx="11">
                  <c:v>146.76724137931035</c:v>
                </c:pt>
              </c:numCache>
            </c:numRef>
          </c:xVal>
          <c:yVal>
            <c:numRef>
              <c:f>Outlier!$AC$3:$AC$14</c:f>
              <c:numCache>
                <c:formatCode>General</c:formatCode>
                <c:ptCount val="12"/>
                <c:pt idx="0">
                  <c:v>737</c:v>
                </c:pt>
                <c:pt idx="1">
                  <c:v>786</c:v>
                </c:pt>
                <c:pt idx="2">
                  <c:v>472</c:v>
                </c:pt>
                <c:pt idx="3">
                  <c:v>#N/A</c:v>
                </c:pt>
                <c:pt idx="4">
                  <c:v>#N/A</c:v>
                </c:pt>
                <c:pt idx="5">
                  <c:v>403</c:v>
                </c:pt>
                <c:pt idx="6">
                  <c:v>552</c:v>
                </c:pt>
                <c:pt idx="7">
                  <c:v>470</c:v>
                </c:pt>
                <c:pt idx="8">
                  <c:v>16</c:v>
                </c:pt>
                <c:pt idx="9">
                  <c:v>#N/A</c:v>
                </c:pt>
                <c:pt idx="10">
                  <c:v>#N/A</c:v>
                </c:pt>
                <c:pt idx="1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B-4ADC-8932-D40F661CC220}"/>
            </c:ext>
          </c:extLst>
        </c:ser>
        <c:ser>
          <c:idx val="1"/>
          <c:order val="1"/>
          <c:tx>
            <c:v>BJP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Outlier!$AB$3:$AB$14</c:f>
              <c:numCache>
                <c:formatCode>0</c:formatCode>
                <c:ptCount val="12"/>
                <c:pt idx="0">
                  <c:v>110.05509641873279</c:v>
                </c:pt>
                <c:pt idx="1">
                  <c:v>92.232055063913478</c:v>
                </c:pt>
                <c:pt idx="2">
                  <c:v>103.875</c:v>
                </c:pt>
                <c:pt idx="3">
                  <c:v>107.68463073852294</c:v>
                </c:pt>
                <c:pt idx="4">
                  <c:v>107.74193548387096</c:v>
                </c:pt>
                <c:pt idx="5">
                  <c:v>223.96166134185304</c:v>
                </c:pt>
                <c:pt idx="6">
                  <c:v>180</c:v>
                </c:pt>
                <c:pt idx="7">
                  <c:v>156.6390041493776</c:v>
                </c:pt>
                <c:pt idx="8">
                  <c:v>22.157996146435451</c:v>
                </c:pt>
                <c:pt idx="9">
                  <c:v>95.833333333333343</c:v>
                </c:pt>
                <c:pt idx="10">
                  <c:v>91.860465116279073</c:v>
                </c:pt>
                <c:pt idx="11">
                  <c:v>146.76724137931035</c:v>
                </c:pt>
              </c:numCache>
            </c:numRef>
          </c:xVal>
          <c:yVal>
            <c:numRef>
              <c:f>Outlier!$AD$3:$AD$14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424</c:v>
                </c:pt>
                <c:pt idx="4">
                  <c:v>494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10</c:v>
                </c:pt>
                <c:pt idx="10">
                  <c:v>17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B-4ADC-8932-D40F661C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57736"/>
        <c:axId val="628865272"/>
      </c:scatterChart>
      <c:valAx>
        <c:axId val="62105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65272"/>
        <c:crosses val="autoZero"/>
        <c:crossBetween val="midCat"/>
      </c:valAx>
      <c:valAx>
        <c:axId val="62886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57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571500</xdr:colOff>
      <xdr:row>1</xdr:row>
      <xdr:rowOff>185737</xdr:rowOff>
    </xdr:from>
    <xdr:to>
      <xdr:col>35</xdr:col>
      <xdr:colOff>247650</xdr:colOff>
      <xdr:row>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86646-337A-21F2-0A25-DC93420D0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723900</xdr:colOff>
      <xdr:row>1</xdr:row>
      <xdr:rowOff>642937</xdr:rowOff>
    </xdr:from>
    <xdr:to>
      <xdr:col>36</xdr:col>
      <xdr:colOff>9525</xdr:colOff>
      <xdr:row>5</xdr:row>
      <xdr:rowOff>528637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A874D-5C11-B4E6-14B5-04821106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6"/>
  <sheetViews>
    <sheetView tabSelected="1" topLeftCell="A325" workbookViewId="0">
      <selection activeCell="D11" sqref="D11"/>
    </sheetView>
  </sheetViews>
  <sheetFormatPr defaultColWidth="12.7109375" defaultRowHeight="37.5" customHeight="1" x14ac:dyDescent="0.25"/>
  <cols>
    <col min="1" max="1" width="14.85546875" style="3" customWidth="1"/>
    <col min="2" max="22" width="12.7109375" style="3"/>
    <col min="23" max="23" width="22.7109375" style="9" customWidth="1"/>
    <col min="27" max="27" width="12.7109375" style="3"/>
    <col min="28" max="28" width="12.7109375" style="11"/>
    <col min="29" max="16384" width="12.7109375" style="3"/>
  </cols>
  <sheetData>
    <row r="1" spans="1:28" ht="37.5" customHeight="1" x14ac:dyDescent="0.25">
      <c r="A1" s="1" t="s">
        <v>0</v>
      </c>
      <c r="B1" s="1" t="s">
        <v>1</v>
      </c>
      <c r="C1" s="2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562</v>
      </c>
      <c r="T1" s="1" t="s">
        <v>18</v>
      </c>
      <c r="U1" s="2" t="s">
        <v>22</v>
      </c>
      <c r="V1" s="2" t="s">
        <v>23</v>
      </c>
      <c r="W1" s="2" t="s">
        <v>24</v>
      </c>
      <c r="X1" s="10" t="s">
        <v>563</v>
      </c>
      <c r="Y1" s="10" t="s">
        <v>564</v>
      </c>
      <c r="Z1" s="10" t="s">
        <v>565</v>
      </c>
      <c r="AA1" s="10" t="s">
        <v>566</v>
      </c>
      <c r="AB1" s="26" t="s">
        <v>575</v>
      </c>
    </row>
    <row r="2" spans="1:28" ht="37.5" customHeight="1" x14ac:dyDescent="0.25">
      <c r="A2" s="5"/>
      <c r="B2" s="14" t="s">
        <v>567</v>
      </c>
      <c r="C2" s="14" t="s">
        <v>568</v>
      </c>
      <c r="D2" s="14" t="s">
        <v>569</v>
      </c>
      <c r="E2" s="14" t="s">
        <v>570</v>
      </c>
      <c r="F2" s="14" t="s">
        <v>571</v>
      </c>
      <c r="G2" s="14" t="s">
        <v>572</v>
      </c>
      <c r="H2" s="14" t="s">
        <v>573</v>
      </c>
      <c r="I2" s="14" t="s">
        <v>574</v>
      </c>
      <c r="J2" s="14" t="s">
        <v>574</v>
      </c>
      <c r="K2" s="14" t="s">
        <v>574</v>
      </c>
      <c r="L2" s="14" t="s">
        <v>574</v>
      </c>
      <c r="M2" s="14" t="s">
        <v>574</v>
      </c>
      <c r="N2" s="14" t="s">
        <v>574</v>
      </c>
      <c r="O2" s="14" t="s">
        <v>574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2"/>
    </row>
    <row r="3" spans="1:28" ht="37.5" customHeight="1" x14ac:dyDescent="0.25">
      <c r="A3" s="20">
        <v>1</v>
      </c>
      <c r="B3" s="20">
        <v>255</v>
      </c>
      <c r="C3" s="20">
        <v>271</v>
      </c>
      <c r="D3" s="20">
        <v>22</v>
      </c>
      <c r="E3" s="20">
        <v>1</v>
      </c>
      <c r="F3" s="20">
        <v>0</v>
      </c>
      <c r="G3" s="20">
        <v>1</v>
      </c>
      <c r="H3" s="20">
        <v>0</v>
      </c>
      <c r="I3" s="20">
        <v>0</v>
      </c>
      <c r="J3" s="20">
        <v>0</v>
      </c>
      <c r="K3" s="20">
        <v>1</v>
      </c>
      <c r="L3" s="20">
        <v>1</v>
      </c>
      <c r="M3" s="20">
        <v>0</v>
      </c>
      <c r="N3" s="20">
        <v>0</v>
      </c>
      <c r="O3" s="20">
        <v>0</v>
      </c>
      <c r="P3" s="20">
        <v>552</v>
      </c>
      <c r="Q3" s="21">
        <v>0</v>
      </c>
      <c r="R3" s="20">
        <v>1</v>
      </c>
      <c r="S3" s="20">
        <f>SUM(P3:R3)</f>
        <v>553</v>
      </c>
      <c r="T3" s="20">
        <v>0</v>
      </c>
      <c r="U3" s="22">
        <v>1</v>
      </c>
      <c r="V3" s="22" t="s">
        <v>25</v>
      </c>
      <c r="W3" s="23" t="s">
        <v>26</v>
      </c>
      <c r="X3" s="21">
        <v>617</v>
      </c>
      <c r="Y3" s="21">
        <v>329</v>
      </c>
      <c r="Z3" s="21">
        <v>288</v>
      </c>
      <c r="AA3" s="21">
        <f>MAX(B3,C3)-MIN(B3,C3)</f>
        <v>16</v>
      </c>
      <c r="AB3" s="24">
        <f>(S3/X3)*100</f>
        <v>89.627228525121566</v>
      </c>
    </row>
    <row r="4" spans="1:28" ht="37.5" customHeight="1" x14ac:dyDescent="0.25">
      <c r="A4" s="15">
        <v>2</v>
      </c>
      <c r="B4" s="15">
        <v>399</v>
      </c>
      <c r="C4" s="15">
        <v>115</v>
      </c>
      <c r="D4" s="15">
        <v>2</v>
      </c>
      <c r="E4" s="15">
        <v>2</v>
      </c>
      <c r="F4" s="15">
        <v>1</v>
      </c>
      <c r="G4" s="15">
        <v>0</v>
      </c>
      <c r="H4" s="15">
        <v>1</v>
      </c>
      <c r="I4" s="15">
        <v>0</v>
      </c>
      <c r="J4" s="15">
        <v>0</v>
      </c>
      <c r="K4" s="15">
        <v>0</v>
      </c>
      <c r="L4" s="15">
        <v>2</v>
      </c>
      <c r="M4" s="15">
        <v>0</v>
      </c>
      <c r="N4" s="15">
        <v>1</v>
      </c>
      <c r="O4" s="15">
        <v>0</v>
      </c>
      <c r="P4" s="15">
        <v>523</v>
      </c>
      <c r="Q4" s="16">
        <v>0</v>
      </c>
      <c r="R4" s="15">
        <v>10</v>
      </c>
      <c r="S4" s="15">
        <f t="shared" ref="S4:S67" si="0">SUM(P4:R4)</f>
        <v>533</v>
      </c>
      <c r="T4" s="15">
        <v>0</v>
      </c>
      <c r="U4" s="17">
        <v>2</v>
      </c>
      <c r="V4" s="17" t="s">
        <v>27</v>
      </c>
      <c r="W4" s="18" t="s">
        <v>28</v>
      </c>
      <c r="X4" s="16">
        <v>628</v>
      </c>
      <c r="Y4" s="16">
        <v>333</v>
      </c>
      <c r="Z4" s="16">
        <v>295</v>
      </c>
      <c r="AA4" s="16">
        <f t="shared" ref="AA4:AA67" si="1">MAX(B4,C4)-MIN(B4,C4)</f>
        <v>284</v>
      </c>
      <c r="AB4" s="19">
        <f t="shared" ref="AB4:AB67" si="2">(S4/X4)*100</f>
        <v>84.872611464968145</v>
      </c>
    </row>
    <row r="5" spans="1:28" ht="37.5" customHeight="1" x14ac:dyDescent="0.25">
      <c r="A5" s="15">
        <v>3</v>
      </c>
      <c r="B5" s="15">
        <v>322</v>
      </c>
      <c r="C5" s="15">
        <v>292</v>
      </c>
      <c r="D5" s="15">
        <v>72</v>
      </c>
      <c r="E5" s="15">
        <v>3</v>
      </c>
      <c r="F5" s="15">
        <v>0</v>
      </c>
      <c r="G5" s="15">
        <v>0</v>
      </c>
      <c r="H5" s="15">
        <v>6</v>
      </c>
      <c r="I5" s="15">
        <v>2</v>
      </c>
      <c r="J5" s="15">
        <v>1</v>
      </c>
      <c r="K5" s="15">
        <v>0</v>
      </c>
      <c r="L5" s="15">
        <v>2</v>
      </c>
      <c r="M5" s="15">
        <v>0</v>
      </c>
      <c r="N5" s="15">
        <v>1</v>
      </c>
      <c r="O5" s="15">
        <v>2</v>
      </c>
      <c r="P5" s="15">
        <v>703</v>
      </c>
      <c r="Q5" s="16">
        <v>0</v>
      </c>
      <c r="R5" s="15">
        <v>6</v>
      </c>
      <c r="S5" s="15">
        <f t="shared" si="0"/>
        <v>709</v>
      </c>
      <c r="T5" s="15">
        <v>0</v>
      </c>
      <c r="U5" s="17">
        <v>3</v>
      </c>
      <c r="V5" s="17" t="s">
        <v>29</v>
      </c>
      <c r="W5" s="18" t="s">
        <v>30</v>
      </c>
      <c r="X5" s="16">
        <v>878</v>
      </c>
      <c r="Y5" s="16">
        <v>426</v>
      </c>
      <c r="Z5" s="16">
        <v>451</v>
      </c>
      <c r="AA5" s="16">
        <f t="shared" si="1"/>
        <v>30</v>
      </c>
      <c r="AB5" s="19">
        <f t="shared" si="2"/>
        <v>80.751708428246019</v>
      </c>
    </row>
    <row r="6" spans="1:28" ht="37.5" customHeight="1" x14ac:dyDescent="0.25">
      <c r="A6" s="15">
        <v>4</v>
      </c>
      <c r="B6" s="15">
        <v>394</v>
      </c>
      <c r="C6" s="15">
        <v>222</v>
      </c>
      <c r="D6" s="15">
        <v>7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15">
        <v>1</v>
      </c>
      <c r="K6" s="15">
        <v>0</v>
      </c>
      <c r="L6" s="15">
        <v>3</v>
      </c>
      <c r="M6" s="15">
        <v>2</v>
      </c>
      <c r="N6" s="15">
        <v>1</v>
      </c>
      <c r="O6" s="15">
        <v>1</v>
      </c>
      <c r="P6" s="15">
        <v>632</v>
      </c>
      <c r="Q6" s="16">
        <v>0</v>
      </c>
      <c r="R6" s="15">
        <v>7</v>
      </c>
      <c r="S6" s="15">
        <f t="shared" si="0"/>
        <v>639</v>
      </c>
      <c r="T6" s="15">
        <v>0</v>
      </c>
      <c r="U6" s="17">
        <v>4</v>
      </c>
      <c r="V6" s="17" t="s">
        <v>29</v>
      </c>
      <c r="W6" s="18" t="s">
        <v>31</v>
      </c>
      <c r="X6" s="16">
        <v>813</v>
      </c>
      <c r="Y6" s="16">
        <v>410</v>
      </c>
      <c r="Z6" s="16">
        <v>397</v>
      </c>
      <c r="AA6" s="16">
        <f t="shared" si="1"/>
        <v>172</v>
      </c>
      <c r="AB6" s="19">
        <f t="shared" si="2"/>
        <v>78.597785977859786</v>
      </c>
    </row>
    <row r="7" spans="1:28" ht="37.5" customHeight="1" x14ac:dyDescent="0.25">
      <c r="A7" s="15">
        <v>5</v>
      </c>
      <c r="B7" s="15">
        <v>384</v>
      </c>
      <c r="C7" s="15">
        <v>263</v>
      </c>
      <c r="D7" s="15">
        <v>9</v>
      </c>
      <c r="E7" s="15">
        <v>4</v>
      </c>
      <c r="F7" s="15">
        <v>0</v>
      </c>
      <c r="G7" s="15">
        <v>0</v>
      </c>
      <c r="H7" s="15">
        <v>0</v>
      </c>
      <c r="I7" s="15">
        <v>1</v>
      </c>
      <c r="J7" s="15">
        <v>2</v>
      </c>
      <c r="K7" s="15">
        <v>0</v>
      </c>
      <c r="L7" s="15">
        <v>3</v>
      </c>
      <c r="M7" s="15">
        <v>0</v>
      </c>
      <c r="N7" s="15">
        <v>0</v>
      </c>
      <c r="O7" s="15">
        <v>0</v>
      </c>
      <c r="P7" s="15">
        <v>666</v>
      </c>
      <c r="Q7" s="16">
        <v>0</v>
      </c>
      <c r="R7" s="15">
        <v>3</v>
      </c>
      <c r="S7" s="15">
        <f t="shared" si="0"/>
        <v>669</v>
      </c>
      <c r="T7" s="15">
        <v>0</v>
      </c>
      <c r="U7" s="17">
        <v>5</v>
      </c>
      <c r="V7" s="17" t="s">
        <v>29</v>
      </c>
      <c r="W7" s="18" t="s">
        <v>32</v>
      </c>
      <c r="X7" s="16">
        <v>909</v>
      </c>
      <c r="Y7" s="16">
        <v>460</v>
      </c>
      <c r="Z7" s="16">
        <v>448</v>
      </c>
      <c r="AA7" s="16">
        <f t="shared" si="1"/>
        <v>121</v>
      </c>
      <c r="AB7" s="19">
        <f t="shared" si="2"/>
        <v>73.597359735973598</v>
      </c>
    </row>
    <row r="8" spans="1:28" ht="37.5" customHeight="1" x14ac:dyDescent="0.25">
      <c r="A8" s="20">
        <v>6</v>
      </c>
      <c r="B8" s="20">
        <v>273</v>
      </c>
      <c r="C8" s="20">
        <v>422</v>
      </c>
      <c r="D8" s="20">
        <v>110</v>
      </c>
      <c r="E8" s="20">
        <v>3</v>
      </c>
      <c r="F8" s="20">
        <v>1</v>
      </c>
      <c r="G8" s="20">
        <v>1</v>
      </c>
      <c r="H8" s="20">
        <v>2</v>
      </c>
      <c r="I8" s="20">
        <v>0</v>
      </c>
      <c r="J8" s="20">
        <v>3</v>
      </c>
      <c r="K8" s="20">
        <v>1</v>
      </c>
      <c r="L8" s="20">
        <v>4</v>
      </c>
      <c r="M8" s="20">
        <v>1</v>
      </c>
      <c r="N8" s="20">
        <v>1</v>
      </c>
      <c r="O8" s="20">
        <v>4</v>
      </c>
      <c r="P8" s="20">
        <v>826</v>
      </c>
      <c r="Q8" s="21">
        <v>0</v>
      </c>
      <c r="R8" s="20">
        <v>8</v>
      </c>
      <c r="S8" s="20">
        <f t="shared" si="0"/>
        <v>834</v>
      </c>
      <c r="T8" s="20">
        <v>0</v>
      </c>
      <c r="U8" s="22">
        <v>6</v>
      </c>
      <c r="V8" s="22" t="s">
        <v>33</v>
      </c>
      <c r="W8" s="23" t="s">
        <v>34</v>
      </c>
      <c r="X8" s="21">
        <v>984</v>
      </c>
      <c r="Y8" s="21">
        <v>512</v>
      </c>
      <c r="Z8" s="21">
        <v>472</v>
      </c>
      <c r="AA8" s="21">
        <f t="shared" si="1"/>
        <v>149</v>
      </c>
      <c r="AB8" s="24">
        <f t="shared" si="2"/>
        <v>84.756097560975604</v>
      </c>
    </row>
    <row r="9" spans="1:28" ht="37.5" customHeight="1" x14ac:dyDescent="0.25">
      <c r="A9" s="15">
        <v>7</v>
      </c>
      <c r="B9" s="15">
        <v>336</v>
      </c>
      <c r="C9" s="15">
        <v>154</v>
      </c>
      <c r="D9" s="15">
        <v>9</v>
      </c>
      <c r="E9" s="15">
        <v>1</v>
      </c>
      <c r="F9" s="15">
        <v>0</v>
      </c>
      <c r="G9" s="15">
        <v>0</v>
      </c>
      <c r="H9" s="15">
        <v>1</v>
      </c>
      <c r="I9" s="15">
        <v>0</v>
      </c>
      <c r="J9" s="15">
        <v>0</v>
      </c>
      <c r="K9" s="15">
        <v>0</v>
      </c>
      <c r="L9" s="15">
        <v>1</v>
      </c>
      <c r="M9" s="15">
        <v>0</v>
      </c>
      <c r="N9" s="15">
        <v>3</v>
      </c>
      <c r="O9" s="15">
        <v>1</v>
      </c>
      <c r="P9" s="15">
        <v>506</v>
      </c>
      <c r="Q9" s="16">
        <v>0</v>
      </c>
      <c r="R9" s="15">
        <v>4</v>
      </c>
      <c r="S9" s="15">
        <f t="shared" si="0"/>
        <v>510</v>
      </c>
      <c r="T9" s="15">
        <v>0</v>
      </c>
      <c r="U9" s="17">
        <v>7</v>
      </c>
      <c r="V9" s="17" t="s">
        <v>33</v>
      </c>
      <c r="W9" s="18" t="s">
        <v>35</v>
      </c>
      <c r="X9" s="16">
        <v>690</v>
      </c>
      <c r="Y9" s="16">
        <v>345</v>
      </c>
      <c r="Z9" s="16">
        <v>342</v>
      </c>
      <c r="AA9" s="16">
        <f t="shared" si="1"/>
        <v>182</v>
      </c>
      <c r="AB9" s="19">
        <f t="shared" si="2"/>
        <v>73.91304347826086</v>
      </c>
    </row>
    <row r="10" spans="1:28" ht="37.5" customHeight="1" x14ac:dyDescent="0.25">
      <c r="A10" s="15">
        <v>8</v>
      </c>
      <c r="B10" s="15">
        <v>539</v>
      </c>
      <c r="C10" s="15">
        <v>322</v>
      </c>
      <c r="D10" s="15">
        <v>13</v>
      </c>
      <c r="E10" s="15">
        <v>0</v>
      </c>
      <c r="F10" s="15">
        <v>1</v>
      </c>
      <c r="G10" s="15">
        <v>0</v>
      </c>
      <c r="H10" s="15">
        <v>0</v>
      </c>
      <c r="I10" s="15">
        <v>1</v>
      </c>
      <c r="J10" s="15">
        <v>2</v>
      </c>
      <c r="K10" s="15">
        <v>2</v>
      </c>
      <c r="L10" s="15">
        <v>6</v>
      </c>
      <c r="M10" s="15">
        <v>3</v>
      </c>
      <c r="N10" s="15">
        <v>3</v>
      </c>
      <c r="O10" s="15">
        <v>6</v>
      </c>
      <c r="P10" s="15">
        <v>898</v>
      </c>
      <c r="Q10" s="16">
        <v>0</v>
      </c>
      <c r="R10" s="15">
        <v>12</v>
      </c>
      <c r="S10" s="15">
        <f t="shared" si="0"/>
        <v>910</v>
      </c>
      <c r="T10" s="15">
        <v>0</v>
      </c>
      <c r="U10" s="17">
        <v>8</v>
      </c>
      <c r="V10" s="17" t="s">
        <v>36</v>
      </c>
      <c r="W10" s="18" t="s">
        <v>37</v>
      </c>
      <c r="X10" s="16">
        <v>1245</v>
      </c>
      <c r="Y10" s="16">
        <v>638</v>
      </c>
      <c r="Z10" s="16">
        <v>607</v>
      </c>
      <c r="AA10" s="16">
        <f t="shared" si="1"/>
        <v>217</v>
      </c>
      <c r="AB10" s="19">
        <f t="shared" si="2"/>
        <v>73.092369477911646</v>
      </c>
    </row>
    <row r="11" spans="1:28" ht="37.5" customHeight="1" x14ac:dyDescent="0.25">
      <c r="A11" s="15">
        <v>9</v>
      </c>
      <c r="B11" s="15">
        <v>380</v>
      </c>
      <c r="C11" s="15">
        <v>273</v>
      </c>
      <c r="D11" s="15">
        <v>25</v>
      </c>
      <c r="E11" s="15">
        <v>1</v>
      </c>
      <c r="F11" s="15">
        <v>0</v>
      </c>
      <c r="G11" s="15">
        <v>0</v>
      </c>
      <c r="H11" s="15">
        <v>3</v>
      </c>
      <c r="I11" s="15">
        <v>0</v>
      </c>
      <c r="J11" s="15">
        <v>0</v>
      </c>
      <c r="K11" s="15">
        <v>2</v>
      </c>
      <c r="L11" s="15">
        <v>3</v>
      </c>
      <c r="M11" s="15">
        <v>3</v>
      </c>
      <c r="N11" s="15">
        <v>0</v>
      </c>
      <c r="O11" s="15">
        <v>2</v>
      </c>
      <c r="P11" s="15">
        <v>692</v>
      </c>
      <c r="Q11" s="16">
        <v>0</v>
      </c>
      <c r="R11" s="15">
        <v>5</v>
      </c>
      <c r="S11" s="15">
        <f t="shared" si="0"/>
        <v>697</v>
      </c>
      <c r="T11" s="15">
        <v>0</v>
      </c>
      <c r="U11" s="17">
        <v>9</v>
      </c>
      <c r="V11" s="17" t="s">
        <v>38</v>
      </c>
      <c r="W11" s="18" t="s">
        <v>39</v>
      </c>
      <c r="X11" s="16">
        <v>816</v>
      </c>
      <c r="Y11" s="16">
        <v>438</v>
      </c>
      <c r="Z11" s="16">
        <v>378</v>
      </c>
      <c r="AA11" s="16">
        <f t="shared" si="1"/>
        <v>107</v>
      </c>
      <c r="AB11" s="19">
        <f t="shared" si="2"/>
        <v>85.416666666666657</v>
      </c>
    </row>
    <row r="12" spans="1:28" ht="37.5" customHeight="1" x14ac:dyDescent="0.25">
      <c r="A12" s="20">
        <v>10</v>
      </c>
      <c r="B12" s="20">
        <v>224</v>
      </c>
      <c r="C12" s="20">
        <v>309</v>
      </c>
      <c r="D12" s="20">
        <v>9</v>
      </c>
      <c r="E12" s="20">
        <v>0</v>
      </c>
      <c r="F12" s="20">
        <v>0</v>
      </c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2</v>
      </c>
      <c r="M12" s="20">
        <v>0</v>
      </c>
      <c r="N12" s="20">
        <v>1</v>
      </c>
      <c r="O12" s="20">
        <v>3</v>
      </c>
      <c r="P12" s="20">
        <v>553</v>
      </c>
      <c r="Q12" s="21">
        <v>0</v>
      </c>
      <c r="R12" s="20">
        <v>3</v>
      </c>
      <c r="S12" s="20">
        <f t="shared" si="0"/>
        <v>556</v>
      </c>
      <c r="T12" s="20">
        <v>0</v>
      </c>
      <c r="U12" s="22">
        <v>10</v>
      </c>
      <c r="V12" s="22" t="s">
        <v>40</v>
      </c>
      <c r="W12" s="23" t="s">
        <v>41</v>
      </c>
      <c r="X12" s="21">
        <v>700</v>
      </c>
      <c r="Y12" s="21">
        <v>368</v>
      </c>
      <c r="Z12" s="21">
        <v>330</v>
      </c>
      <c r="AA12" s="21">
        <f t="shared" si="1"/>
        <v>85</v>
      </c>
      <c r="AB12" s="24">
        <f t="shared" si="2"/>
        <v>79.428571428571431</v>
      </c>
    </row>
    <row r="13" spans="1:28" ht="37.5" customHeight="1" x14ac:dyDescent="0.25">
      <c r="A13" s="15">
        <v>11</v>
      </c>
      <c r="B13" s="15">
        <v>595</v>
      </c>
      <c r="C13" s="15">
        <v>250</v>
      </c>
      <c r="D13" s="15">
        <v>9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1</v>
      </c>
      <c r="K13" s="15">
        <v>2</v>
      </c>
      <c r="L13" s="15">
        <v>5</v>
      </c>
      <c r="M13" s="15">
        <v>2</v>
      </c>
      <c r="N13" s="15">
        <v>3</v>
      </c>
      <c r="O13" s="15">
        <v>3</v>
      </c>
      <c r="P13" s="15">
        <v>873</v>
      </c>
      <c r="Q13" s="16">
        <v>0</v>
      </c>
      <c r="R13" s="15">
        <v>9</v>
      </c>
      <c r="S13" s="15">
        <f t="shared" si="0"/>
        <v>882</v>
      </c>
      <c r="T13" s="15">
        <v>0</v>
      </c>
      <c r="U13" s="17">
        <v>11</v>
      </c>
      <c r="V13" s="17" t="s">
        <v>42</v>
      </c>
      <c r="W13" s="18" t="s">
        <v>43</v>
      </c>
      <c r="X13" s="16">
        <v>1214</v>
      </c>
      <c r="Y13" s="16">
        <v>633</v>
      </c>
      <c r="Z13" s="16">
        <v>581</v>
      </c>
      <c r="AA13" s="16">
        <f t="shared" si="1"/>
        <v>345</v>
      </c>
      <c r="AB13" s="19">
        <f t="shared" si="2"/>
        <v>72.652388797364083</v>
      </c>
    </row>
    <row r="14" spans="1:28" ht="37.5" customHeight="1" x14ac:dyDescent="0.25">
      <c r="A14" s="15">
        <v>12</v>
      </c>
      <c r="B14" s="15">
        <v>356</v>
      </c>
      <c r="C14" s="15">
        <v>228</v>
      </c>
      <c r="D14" s="15">
        <v>20</v>
      </c>
      <c r="E14" s="15">
        <v>3</v>
      </c>
      <c r="F14" s="15">
        <v>0</v>
      </c>
      <c r="G14" s="15">
        <v>0</v>
      </c>
      <c r="H14" s="15">
        <v>1</v>
      </c>
      <c r="I14" s="15">
        <v>3</v>
      </c>
      <c r="J14" s="15">
        <v>1</v>
      </c>
      <c r="K14" s="15">
        <v>0</v>
      </c>
      <c r="L14" s="15">
        <v>4</v>
      </c>
      <c r="M14" s="15">
        <v>1</v>
      </c>
      <c r="N14" s="15">
        <v>0</v>
      </c>
      <c r="O14" s="15">
        <v>2</v>
      </c>
      <c r="P14" s="15">
        <v>619</v>
      </c>
      <c r="Q14" s="16">
        <v>0</v>
      </c>
      <c r="R14" s="15">
        <v>6</v>
      </c>
      <c r="S14" s="15">
        <f t="shared" si="0"/>
        <v>625</v>
      </c>
      <c r="T14" s="15">
        <v>0</v>
      </c>
      <c r="U14" s="17">
        <v>12</v>
      </c>
      <c r="V14" s="17" t="s">
        <v>42</v>
      </c>
      <c r="W14" s="18" t="s">
        <v>44</v>
      </c>
      <c r="X14" s="16">
        <v>1010</v>
      </c>
      <c r="Y14" s="16">
        <v>553</v>
      </c>
      <c r="Z14" s="16">
        <v>457</v>
      </c>
      <c r="AA14" s="16">
        <f t="shared" si="1"/>
        <v>128</v>
      </c>
      <c r="AB14" s="19">
        <f t="shared" si="2"/>
        <v>61.881188118811878</v>
      </c>
    </row>
    <row r="15" spans="1:28" ht="37.5" customHeight="1" x14ac:dyDescent="0.25">
      <c r="A15" s="15">
        <v>13</v>
      </c>
      <c r="B15" s="15">
        <v>374</v>
      </c>
      <c r="C15" s="15">
        <v>94</v>
      </c>
      <c r="D15" s="15">
        <v>51</v>
      </c>
      <c r="E15" s="15">
        <v>1</v>
      </c>
      <c r="F15" s="15">
        <v>0</v>
      </c>
      <c r="G15" s="15">
        <v>1</v>
      </c>
      <c r="H15" s="15">
        <v>0</v>
      </c>
      <c r="I15" s="15">
        <v>2</v>
      </c>
      <c r="J15" s="15">
        <v>1</v>
      </c>
      <c r="K15" s="15">
        <v>1</v>
      </c>
      <c r="L15" s="15">
        <v>2</v>
      </c>
      <c r="M15" s="15">
        <v>2</v>
      </c>
      <c r="N15" s="15">
        <v>1</v>
      </c>
      <c r="O15" s="15">
        <v>2</v>
      </c>
      <c r="P15" s="15">
        <v>532</v>
      </c>
      <c r="Q15" s="16">
        <v>0</v>
      </c>
      <c r="R15" s="15">
        <v>11</v>
      </c>
      <c r="S15" s="15">
        <f t="shared" si="0"/>
        <v>543</v>
      </c>
      <c r="T15" s="15">
        <v>0</v>
      </c>
      <c r="U15" s="17">
        <v>13</v>
      </c>
      <c r="V15" s="17" t="s">
        <v>42</v>
      </c>
      <c r="W15" s="18" t="s">
        <v>45</v>
      </c>
      <c r="X15" s="16">
        <v>803</v>
      </c>
      <c r="Y15" s="16">
        <v>409</v>
      </c>
      <c r="Z15" s="16">
        <v>394</v>
      </c>
      <c r="AA15" s="16">
        <f t="shared" si="1"/>
        <v>280</v>
      </c>
      <c r="AB15" s="19">
        <f t="shared" si="2"/>
        <v>67.621419676214202</v>
      </c>
    </row>
    <row r="16" spans="1:28" ht="37.5" customHeight="1" x14ac:dyDescent="0.25">
      <c r="A16" s="20">
        <v>14</v>
      </c>
      <c r="B16" s="20">
        <v>154</v>
      </c>
      <c r="C16" s="20">
        <v>192</v>
      </c>
      <c r="D16" s="20">
        <v>189</v>
      </c>
      <c r="E16" s="20">
        <v>2</v>
      </c>
      <c r="F16" s="20">
        <v>3</v>
      </c>
      <c r="G16" s="20">
        <v>1</v>
      </c>
      <c r="H16" s="20">
        <v>4</v>
      </c>
      <c r="I16" s="20">
        <v>0</v>
      </c>
      <c r="J16" s="20">
        <v>0</v>
      </c>
      <c r="K16" s="20">
        <v>1</v>
      </c>
      <c r="L16" s="20">
        <v>2</v>
      </c>
      <c r="M16" s="20">
        <v>3</v>
      </c>
      <c r="N16" s="20">
        <v>2</v>
      </c>
      <c r="O16" s="20">
        <v>1</v>
      </c>
      <c r="P16" s="20">
        <v>554</v>
      </c>
      <c r="Q16" s="21">
        <v>0</v>
      </c>
      <c r="R16" s="20">
        <v>3</v>
      </c>
      <c r="S16" s="20">
        <f t="shared" si="0"/>
        <v>557</v>
      </c>
      <c r="T16" s="20">
        <v>0</v>
      </c>
      <c r="U16" s="22">
        <v>14</v>
      </c>
      <c r="V16" s="22" t="s">
        <v>42</v>
      </c>
      <c r="W16" s="23" t="s">
        <v>46</v>
      </c>
      <c r="X16" s="21">
        <v>721</v>
      </c>
      <c r="Y16" s="21">
        <v>380</v>
      </c>
      <c r="Z16" s="21">
        <v>338</v>
      </c>
      <c r="AA16" s="21">
        <f t="shared" si="1"/>
        <v>38</v>
      </c>
      <c r="AB16" s="24">
        <f t="shared" si="2"/>
        <v>77.253814147018034</v>
      </c>
    </row>
    <row r="17" spans="1:28" ht="37.5" customHeight="1" x14ac:dyDescent="0.25">
      <c r="A17" s="15">
        <v>15</v>
      </c>
      <c r="B17" s="15">
        <v>205</v>
      </c>
      <c r="C17" s="15">
        <v>116</v>
      </c>
      <c r="D17" s="15">
        <v>2</v>
      </c>
      <c r="E17" s="15">
        <v>0</v>
      </c>
      <c r="F17" s="15">
        <v>0</v>
      </c>
      <c r="G17" s="15">
        <v>0</v>
      </c>
      <c r="H17" s="15">
        <v>1</v>
      </c>
      <c r="I17" s="15">
        <v>0</v>
      </c>
      <c r="J17" s="15">
        <v>1</v>
      </c>
      <c r="K17" s="15">
        <v>1</v>
      </c>
      <c r="L17" s="15">
        <v>6</v>
      </c>
      <c r="M17" s="15">
        <v>5</v>
      </c>
      <c r="N17" s="15">
        <v>4</v>
      </c>
      <c r="O17" s="15">
        <v>4</v>
      </c>
      <c r="P17" s="15">
        <v>345</v>
      </c>
      <c r="Q17" s="16">
        <v>0</v>
      </c>
      <c r="R17" s="15">
        <v>9</v>
      </c>
      <c r="S17" s="15">
        <f t="shared" si="0"/>
        <v>354</v>
      </c>
      <c r="T17" s="15">
        <v>0</v>
      </c>
      <c r="U17" s="17">
        <v>15</v>
      </c>
      <c r="V17" s="17" t="s">
        <v>42</v>
      </c>
      <c r="W17" s="18" t="s">
        <v>47</v>
      </c>
      <c r="X17" s="16">
        <v>558</v>
      </c>
      <c r="Y17" s="16">
        <v>274</v>
      </c>
      <c r="Z17" s="16">
        <v>278</v>
      </c>
      <c r="AA17" s="16">
        <f t="shared" si="1"/>
        <v>89</v>
      </c>
      <c r="AB17" s="19">
        <f t="shared" si="2"/>
        <v>63.44086021505376</v>
      </c>
    </row>
    <row r="18" spans="1:28" ht="37.5" customHeight="1" x14ac:dyDescent="0.25">
      <c r="A18" s="20">
        <v>16</v>
      </c>
      <c r="B18" s="20">
        <v>156</v>
      </c>
      <c r="C18" s="20">
        <v>399</v>
      </c>
      <c r="D18" s="20">
        <v>16</v>
      </c>
      <c r="E18" s="20">
        <v>2</v>
      </c>
      <c r="F18" s="20">
        <v>1</v>
      </c>
      <c r="G18" s="20">
        <v>4</v>
      </c>
      <c r="H18" s="20">
        <v>0</v>
      </c>
      <c r="I18" s="20">
        <v>3</v>
      </c>
      <c r="J18" s="20">
        <v>2</v>
      </c>
      <c r="K18" s="20">
        <v>3</v>
      </c>
      <c r="L18" s="20">
        <v>6</v>
      </c>
      <c r="M18" s="20">
        <v>5</v>
      </c>
      <c r="N18" s="20">
        <v>1</v>
      </c>
      <c r="O18" s="20">
        <v>4</v>
      </c>
      <c r="P18" s="20">
        <v>602</v>
      </c>
      <c r="Q18" s="21">
        <v>0</v>
      </c>
      <c r="R18" s="20">
        <v>13</v>
      </c>
      <c r="S18" s="20">
        <f t="shared" si="0"/>
        <v>615</v>
      </c>
      <c r="T18" s="20">
        <v>0</v>
      </c>
      <c r="U18" s="22">
        <v>16</v>
      </c>
      <c r="V18" s="22" t="s">
        <v>42</v>
      </c>
      <c r="W18" s="23" t="s">
        <v>48</v>
      </c>
      <c r="X18" s="21">
        <v>732</v>
      </c>
      <c r="Y18" s="21">
        <v>361</v>
      </c>
      <c r="Z18" s="21">
        <v>363</v>
      </c>
      <c r="AA18" s="21">
        <f t="shared" si="1"/>
        <v>243</v>
      </c>
      <c r="AB18" s="24">
        <f t="shared" si="2"/>
        <v>84.016393442622956</v>
      </c>
    </row>
    <row r="19" spans="1:28" ht="37.5" customHeight="1" x14ac:dyDescent="0.25">
      <c r="A19" s="15">
        <v>17</v>
      </c>
      <c r="B19" s="15">
        <v>526</v>
      </c>
      <c r="C19" s="15">
        <v>131</v>
      </c>
      <c r="D19" s="15">
        <v>256</v>
      </c>
      <c r="E19" s="15">
        <v>5</v>
      </c>
      <c r="F19" s="15">
        <v>0</v>
      </c>
      <c r="G19" s="15">
        <v>0</v>
      </c>
      <c r="H19" s="15">
        <v>1</v>
      </c>
      <c r="I19" s="15">
        <v>0</v>
      </c>
      <c r="J19" s="15">
        <v>2</v>
      </c>
      <c r="K19" s="15">
        <v>1</v>
      </c>
      <c r="L19" s="15">
        <v>3</v>
      </c>
      <c r="M19" s="15">
        <v>5</v>
      </c>
      <c r="N19" s="15">
        <v>2</v>
      </c>
      <c r="O19" s="15">
        <v>4</v>
      </c>
      <c r="P19" s="15">
        <v>936</v>
      </c>
      <c r="Q19" s="16">
        <v>0</v>
      </c>
      <c r="R19" s="15">
        <v>6</v>
      </c>
      <c r="S19" s="15">
        <f t="shared" si="0"/>
        <v>942</v>
      </c>
      <c r="T19" s="15">
        <v>0</v>
      </c>
      <c r="U19" s="17">
        <v>17</v>
      </c>
      <c r="V19" s="17" t="s">
        <v>49</v>
      </c>
      <c r="W19" s="18" t="s">
        <v>50</v>
      </c>
      <c r="X19" s="16">
        <v>1131</v>
      </c>
      <c r="Y19" s="16">
        <v>582</v>
      </c>
      <c r="Z19" s="16">
        <v>545</v>
      </c>
      <c r="AA19" s="16">
        <f t="shared" si="1"/>
        <v>395</v>
      </c>
      <c r="AB19" s="19">
        <f t="shared" si="2"/>
        <v>83.289124668435008</v>
      </c>
    </row>
    <row r="20" spans="1:28" ht="37.5" customHeight="1" x14ac:dyDescent="0.25">
      <c r="A20" s="20">
        <v>18</v>
      </c>
      <c r="B20" s="20">
        <v>392</v>
      </c>
      <c r="C20" s="20">
        <v>448</v>
      </c>
      <c r="D20" s="20">
        <v>52</v>
      </c>
      <c r="E20" s="20">
        <v>1</v>
      </c>
      <c r="F20" s="20">
        <v>1</v>
      </c>
      <c r="G20" s="20">
        <v>1</v>
      </c>
      <c r="H20" s="20">
        <v>2</v>
      </c>
      <c r="I20" s="20">
        <v>0</v>
      </c>
      <c r="J20" s="20">
        <v>0</v>
      </c>
      <c r="K20" s="20">
        <v>5</v>
      </c>
      <c r="L20" s="20">
        <v>6</v>
      </c>
      <c r="M20" s="20">
        <v>2</v>
      </c>
      <c r="N20" s="20">
        <v>7</v>
      </c>
      <c r="O20" s="21">
        <v>2</v>
      </c>
      <c r="P20" s="20">
        <v>919</v>
      </c>
      <c r="Q20" s="21">
        <v>0</v>
      </c>
      <c r="R20" s="20">
        <v>18</v>
      </c>
      <c r="S20" s="20">
        <f t="shared" si="0"/>
        <v>937</v>
      </c>
      <c r="T20" s="20">
        <v>0</v>
      </c>
      <c r="U20" s="22">
        <v>18</v>
      </c>
      <c r="V20" s="22" t="s">
        <v>51</v>
      </c>
      <c r="W20" s="23" t="s">
        <v>52</v>
      </c>
      <c r="X20" s="21">
        <v>1098</v>
      </c>
      <c r="Y20" s="21">
        <v>580</v>
      </c>
      <c r="Z20" s="21">
        <v>518</v>
      </c>
      <c r="AA20" s="21">
        <f t="shared" si="1"/>
        <v>56</v>
      </c>
      <c r="AB20" s="24">
        <f t="shared" si="2"/>
        <v>85.336976320582878</v>
      </c>
    </row>
    <row r="21" spans="1:28" ht="37.5" customHeight="1" x14ac:dyDescent="0.25">
      <c r="A21" s="20">
        <v>19</v>
      </c>
      <c r="B21" s="20">
        <v>139</v>
      </c>
      <c r="C21" s="20">
        <v>408</v>
      </c>
      <c r="D21" s="20">
        <v>163</v>
      </c>
      <c r="E21" s="20">
        <v>0</v>
      </c>
      <c r="F21" s="20">
        <v>0</v>
      </c>
      <c r="G21" s="20">
        <v>1</v>
      </c>
      <c r="H21" s="20">
        <v>0</v>
      </c>
      <c r="I21" s="20">
        <v>1</v>
      </c>
      <c r="J21" s="20">
        <v>0</v>
      </c>
      <c r="K21" s="20">
        <v>0</v>
      </c>
      <c r="L21" s="20">
        <v>1</v>
      </c>
      <c r="M21" s="20">
        <v>0</v>
      </c>
      <c r="N21" s="20">
        <v>0</v>
      </c>
      <c r="O21" s="20">
        <v>2</v>
      </c>
      <c r="P21" s="20">
        <v>715</v>
      </c>
      <c r="Q21" s="21">
        <v>0</v>
      </c>
      <c r="R21" s="20">
        <v>3</v>
      </c>
      <c r="S21" s="20">
        <f t="shared" si="0"/>
        <v>718</v>
      </c>
      <c r="T21" s="20">
        <v>0</v>
      </c>
      <c r="U21" s="22">
        <v>19</v>
      </c>
      <c r="V21" s="22" t="s">
        <v>53</v>
      </c>
      <c r="W21" s="23" t="s">
        <v>54</v>
      </c>
      <c r="X21" s="21">
        <v>855</v>
      </c>
      <c r="Y21" s="21">
        <v>434</v>
      </c>
      <c r="Z21" s="21">
        <v>418</v>
      </c>
      <c r="AA21" s="21">
        <f t="shared" si="1"/>
        <v>269</v>
      </c>
      <c r="AB21" s="24">
        <f t="shared" si="2"/>
        <v>83.976608187134502</v>
      </c>
    </row>
    <row r="22" spans="1:28" ht="37.5" customHeight="1" x14ac:dyDescent="0.25">
      <c r="A22" s="15">
        <v>20</v>
      </c>
      <c r="B22" s="15">
        <v>283</v>
      </c>
      <c r="C22" s="15">
        <v>191</v>
      </c>
      <c r="D22" s="15">
        <v>14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2</v>
      </c>
      <c r="K22" s="15">
        <v>2</v>
      </c>
      <c r="L22" s="15">
        <v>1</v>
      </c>
      <c r="M22" s="15">
        <v>0</v>
      </c>
      <c r="N22" s="15">
        <v>0</v>
      </c>
      <c r="O22" s="15">
        <v>0</v>
      </c>
      <c r="P22" s="15">
        <v>493</v>
      </c>
      <c r="Q22" s="16">
        <v>0</v>
      </c>
      <c r="R22" s="15">
        <v>5</v>
      </c>
      <c r="S22" s="15">
        <f t="shared" si="0"/>
        <v>498</v>
      </c>
      <c r="T22" s="15">
        <v>0</v>
      </c>
      <c r="U22" s="17">
        <v>20</v>
      </c>
      <c r="V22" s="17" t="s">
        <v>55</v>
      </c>
      <c r="W22" s="18" t="s">
        <v>56</v>
      </c>
      <c r="X22" s="16">
        <v>757</v>
      </c>
      <c r="Y22" s="16">
        <v>399</v>
      </c>
      <c r="Z22" s="16">
        <v>355</v>
      </c>
      <c r="AA22" s="16">
        <f t="shared" si="1"/>
        <v>92</v>
      </c>
      <c r="AB22" s="19">
        <f t="shared" si="2"/>
        <v>65.785997357992073</v>
      </c>
    </row>
    <row r="23" spans="1:28" ht="37.5" customHeight="1" x14ac:dyDescent="0.25">
      <c r="A23" s="20">
        <v>21</v>
      </c>
      <c r="B23" s="20">
        <v>207</v>
      </c>
      <c r="C23" s="20">
        <v>295</v>
      </c>
      <c r="D23" s="20">
        <v>145</v>
      </c>
      <c r="E23" s="20">
        <v>1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1</v>
      </c>
      <c r="L23" s="20">
        <v>0</v>
      </c>
      <c r="M23" s="20">
        <v>0</v>
      </c>
      <c r="N23" s="20">
        <v>0</v>
      </c>
      <c r="O23" s="20">
        <v>3</v>
      </c>
      <c r="P23" s="20">
        <v>652</v>
      </c>
      <c r="Q23" s="21">
        <v>0</v>
      </c>
      <c r="R23" s="20">
        <v>1</v>
      </c>
      <c r="S23" s="20">
        <f t="shared" si="0"/>
        <v>653</v>
      </c>
      <c r="T23" s="20">
        <v>0</v>
      </c>
      <c r="U23" s="22">
        <v>21</v>
      </c>
      <c r="V23" s="22" t="s">
        <v>57</v>
      </c>
      <c r="W23" s="23" t="s">
        <v>58</v>
      </c>
      <c r="X23" s="21">
        <v>757</v>
      </c>
      <c r="Y23" s="21">
        <v>391</v>
      </c>
      <c r="Z23" s="21">
        <v>366</v>
      </c>
      <c r="AA23" s="21">
        <f t="shared" si="1"/>
        <v>88</v>
      </c>
      <c r="AB23" s="24">
        <f t="shared" si="2"/>
        <v>86.261558784676353</v>
      </c>
    </row>
    <row r="24" spans="1:28" ht="37.5" customHeight="1" x14ac:dyDescent="0.25">
      <c r="A24" s="15">
        <v>22</v>
      </c>
      <c r="B24" s="15">
        <v>387</v>
      </c>
      <c r="C24" s="15">
        <v>244</v>
      </c>
      <c r="D24" s="15">
        <v>17</v>
      </c>
      <c r="E24" s="15">
        <v>3</v>
      </c>
      <c r="F24" s="16">
        <v>1</v>
      </c>
      <c r="G24" s="15">
        <v>0</v>
      </c>
      <c r="H24" s="15">
        <v>0</v>
      </c>
      <c r="I24" s="15">
        <v>0</v>
      </c>
      <c r="J24" s="15">
        <v>1</v>
      </c>
      <c r="K24" s="15">
        <v>2</v>
      </c>
      <c r="L24" s="15">
        <v>5</v>
      </c>
      <c r="M24" s="15">
        <v>3</v>
      </c>
      <c r="N24" s="15">
        <v>2</v>
      </c>
      <c r="O24" s="15">
        <v>4</v>
      </c>
      <c r="P24" s="15">
        <v>669</v>
      </c>
      <c r="Q24" s="16">
        <v>0</v>
      </c>
      <c r="R24" s="15">
        <v>12</v>
      </c>
      <c r="S24" s="15">
        <f t="shared" si="0"/>
        <v>681</v>
      </c>
      <c r="T24" s="15">
        <v>0</v>
      </c>
      <c r="U24" s="17">
        <v>22</v>
      </c>
      <c r="V24" s="17" t="s">
        <v>59</v>
      </c>
      <c r="W24" s="18" t="s">
        <v>60</v>
      </c>
      <c r="X24" s="16">
        <v>760</v>
      </c>
      <c r="Y24" s="16">
        <v>399</v>
      </c>
      <c r="Z24" s="16">
        <v>360</v>
      </c>
      <c r="AA24" s="16">
        <f t="shared" si="1"/>
        <v>143</v>
      </c>
      <c r="AB24" s="19">
        <f t="shared" si="2"/>
        <v>89.605263157894726</v>
      </c>
    </row>
    <row r="25" spans="1:28" ht="37.5" customHeight="1" x14ac:dyDescent="0.25">
      <c r="A25" s="15">
        <v>23</v>
      </c>
      <c r="B25" s="15">
        <v>291</v>
      </c>
      <c r="C25" s="15">
        <v>150</v>
      </c>
      <c r="D25" s="15">
        <v>6</v>
      </c>
      <c r="E25" s="15">
        <v>0</v>
      </c>
      <c r="F25" s="15">
        <v>0</v>
      </c>
      <c r="G25" s="15">
        <v>0</v>
      </c>
      <c r="H25" s="15">
        <v>1</v>
      </c>
      <c r="I25" s="15">
        <v>1</v>
      </c>
      <c r="J25" s="15">
        <v>1</v>
      </c>
      <c r="K25" s="15">
        <v>3</v>
      </c>
      <c r="L25" s="15">
        <v>5</v>
      </c>
      <c r="M25" s="15">
        <v>3</v>
      </c>
      <c r="N25" s="15">
        <v>5</v>
      </c>
      <c r="O25" s="15">
        <v>3</v>
      </c>
      <c r="P25" s="15">
        <v>469</v>
      </c>
      <c r="Q25" s="16">
        <v>0</v>
      </c>
      <c r="R25" s="15">
        <v>7</v>
      </c>
      <c r="S25" s="15">
        <f t="shared" si="0"/>
        <v>476</v>
      </c>
      <c r="T25" s="15">
        <v>0</v>
      </c>
      <c r="U25" s="17">
        <v>23</v>
      </c>
      <c r="V25" s="17" t="s">
        <v>61</v>
      </c>
      <c r="W25" s="18" t="s">
        <v>62</v>
      </c>
      <c r="X25" s="16">
        <v>603</v>
      </c>
      <c r="Y25" s="16">
        <v>292</v>
      </c>
      <c r="Z25" s="16">
        <v>311</v>
      </c>
      <c r="AA25" s="16">
        <f t="shared" si="1"/>
        <v>141</v>
      </c>
      <c r="AB25" s="19">
        <f t="shared" si="2"/>
        <v>78.938640132669974</v>
      </c>
    </row>
    <row r="26" spans="1:28" ht="37.5" customHeight="1" x14ac:dyDescent="0.25">
      <c r="A26" s="20">
        <v>24</v>
      </c>
      <c r="B26" s="20">
        <v>217</v>
      </c>
      <c r="C26" s="20">
        <v>417</v>
      </c>
      <c r="D26" s="20">
        <v>26</v>
      </c>
      <c r="E26" s="20">
        <v>4</v>
      </c>
      <c r="F26" s="20">
        <v>2</v>
      </c>
      <c r="G26" s="20">
        <v>1</v>
      </c>
      <c r="H26" s="20">
        <v>2</v>
      </c>
      <c r="I26" s="20">
        <v>0</v>
      </c>
      <c r="J26" s="21">
        <v>1</v>
      </c>
      <c r="K26" s="20">
        <v>1</v>
      </c>
      <c r="L26" s="20">
        <v>3</v>
      </c>
      <c r="M26" s="20">
        <v>4</v>
      </c>
      <c r="N26" s="20">
        <v>2</v>
      </c>
      <c r="O26" s="20">
        <v>6</v>
      </c>
      <c r="P26" s="20">
        <v>686</v>
      </c>
      <c r="Q26" s="21">
        <v>0</v>
      </c>
      <c r="R26" s="20">
        <v>17</v>
      </c>
      <c r="S26" s="20">
        <f t="shared" si="0"/>
        <v>703</v>
      </c>
      <c r="T26" s="20">
        <v>0</v>
      </c>
      <c r="U26" s="22">
        <v>24</v>
      </c>
      <c r="V26" s="22" t="s">
        <v>63</v>
      </c>
      <c r="W26" s="23" t="s">
        <v>64</v>
      </c>
      <c r="X26" s="21">
        <v>898</v>
      </c>
      <c r="Y26" s="21">
        <v>475</v>
      </c>
      <c r="Z26" s="21">
        <v>421</v>
      </c>
      <c r="AA26" s="21">
        <f t="shared" si="1"/>
        <v>200</v>
      </c>
      <c r="AB26" s="24">
        <f t="shared" si="2"/>
        <v>78.285077951002222</v>
      </c>
    </row>
    <row r="27" spans="1:28" ht="37.5" customHeight="1" x14ac:dyDescent="0.25">
      <c r="A27" s="20">
        <v>25</v>
      </c>
      <c r="B27" s="20">
        <v>234</v>
      </c>
      <c r="C27" s="20">
        <v>336</v>
      </c>
      <c r="D27" s="20">
        <v>11</v>
      </c>
      <c r="E27" s="20">
        <v>1</v>
      </c>
      <c r="F27" s="20">
        <v>0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1</v>
      </c>
      <c r="M27" s="20">
        <v>0</v>
      </c>
      <c r="N27" s="20">
        <v>0</v>
      </c>
      <c r="O27" s="20">
        <v>0</v>
      </c>
      <c r="P27" s="20">
        <v>584</v>
      </c>
      <c r="Q27" s="21">
        <v>0</v>
      </c>
      <c r="R27" s="20">
        <v>6</v>
      </c>
      <c r="S27" s="20">
        <f t="shared" si="0"/>
        <v>590</v>
      </c>
      <c r="T27" s="20">
        <v>0</v>
      </c>
      <c r="U27" s="22">
        <v>25</v>
      </c>
      <c r="V27" s="22" t="s">
        <v>65</v>
      </c>
      <c r="W27" s="23" t="s">
        <v>66</v>
      </c>
      <c r="X27" s="21">
        <v>755</v>
      </c>
      <c r="Y27" s="21">
        <v>391</v>
      </c>
      <c r="Z27" s="21">
        <v>362</v>
      </c>
      <c r="AA27" s="21">
        <f t="shared" si="1"/>
        <v>102</v>
      </c>
      <c r="AB27" s="24">
        <f t="shared" si="2"/>
        <v>78.145695364238406</v>
      </c>
    </row>
    <row r="28" spans="1:28" ht="37.5" customHeight="1" x14ac:dyDescent="0.25">
      <c r="A28" s="20">
        <v>26</v>
      </c>
      <c r="B28" s="20">
        <v>175</v>
      </c>
      <c r="C28" s="20">
        <v>432</v>
      </c>
      <c r="D28" s="20">
        <v>29</v>
      </c>
      <c r="E28" s="20">
        <v>3</v>
      </c>
      <c r="F28" s="20">
        <v>2</v>
      </c>
      <c r="G28" s="20">
        <v>0</v>
      </c>
      <c r="H28" s="20">
        <v>1</v>
      </c>
      <c r="I28" s="20">
        <v>0</v>
      </c>
      <c r="J28" s="20">
        <v>1</v>
      </c>
      <c r="K28" s="20">
        <v>0</v>
      </c>
      <c r="L28" s="20">
        <v>2</v>
      </c>
      <c r="M28" s="20">
        <v>2</v>
      </c>
      <c r="N28" s="20">
        <v>0</v>
      </c>
      <c r="O28" s="20">
        <v>2</v>
      </c>
      <c r="P28" s="20">
        <v>649</v>
      </c>
      <c r="Q28" s="21">
        <v>0</v>
      </c>
      <c r="R28" s="21">
        <v>5</v>
      </c>
      <c r="S28" s="20">
        <f t="shared" si="0"/>
        <v>654</v>
      </c>
      <c r="T28" s="20">
        <v>0</v>
      </c>
      <c r="U28" s="22">
        <v>26</v>
      </c>
      <c r="V28" s="22" t="s">
        <v>67</v>
      </c>
      <c r="W28" s="23" t="s">
        <v>68</v>
      </c>
      <c r="X28" s="21">
        <v>766</v>
      </c>
      <c r="Y28" s="21">
        <v>389</v>
      </c>
      <c r="Z28" s="21">
        <v>375</v>
      </c>
      <c r="AA28" s="21">
        <f t="shared" si="1"/>
        <v>257</v>
      </c>
      <c r="AB28" s="24">
        <f t="shared" si="2"/>
        <v>85.378590078328983</v>
      </c>
    </row>
    <row r="29" spans="1:28" ht="37.5" customHeight="1" x14ac:dyDescent="0.25">
      <c r="A29" s="20">
        <v>27</v>
      </c>
      <c r="B29" s="20">
        <v>287</v>
      </c>
      <c r="C29" s="20">
        <v>329</v>
      </c>
      <c r="D29" s="20">
        <v>21</v>
      </c>
      <c r="E29" s="20">
        <v>1</v>
      </c>
      <c r="F29" s="20">
        <v>0</v>
      </c>
      <c r="G29" s="20">
        <v>1</v>
      </c>
      <c r="H29" s="20">
        <v>0</v>
      </c>
      <c r="I29" s="20">
        <v>1</v>
      </c>
      <c r="J29" s="20">
        <v>0</v>
      </c>
      <c r="K29" s="20">
        <v>0</v>
      </c>
      <c r="L29" s="20">
        <v>2</v>
      </c>
      <c r="M29" s="20">
        <v>0</v>
      </c>
      <c r="N29" s="20">
        <v>1</v>
      </c>
      <c r="O29" s="20">
        <v>3</v>
      </c>
      <c r="P29" s="20">
        <v>646</v>
      </c>
      <c r="Q29" s="21">
        <v>0</v>
      </c>
      <c r="R29" s="20">
        <v>6</v>
      </c>
      <c r="S29" s="20">
        <f t="shared" si="0"/>
        <v>652</v>
      </c>
      <c r="T29" s="20">
        <v>0</v>
      </c>
      <c r="U29" s="22">
        <v>27</v>
      </c>
      <c r="V29" s="22" t="s">
        <v>69</v>
      </c>
      <c r="W29" s="23" t="s">
        <v>70</v>
      </c>
      <c r="X29" s="21">
        <v>789</v>
      </c>
      <c r="Y29" s="21">
        <v>408</v>
      </c>
      <c r="Z29" s="21">
        <v>378</v>
      </c>
      <c r="AA29" s="21">
        <f t="shared" si="1"/>
        <v>42</v>
      </c>
      <c r="AB29" s="24">
        <f t="shared" si="2"/>
        <v>82.636248415716096</v>
      </c>
    </row>
    <row r="30" spans="1:28" ht="37.5" customHeight="1" x14ac:dyDescent="0.25">
      <c r="A30" s="15">
        <v>28</v>
      </c>
      <c r="B30" s="15">
        <v>366</v>
      </c>
      <c r="C30" s="15">
        <v>129</v>
      </c>
      <c r="D30" s="15">
        <v>9</v>
      </c>
      <c r="E30" s="15">
        <v>0</v>
      </c>
      <c r="F30" s="16">
        <v>1</v>
      </c>
      <c r="G30" s="15">
        <v>1</v>
      </c>
      <c r="H30" s="15">
        <v>0</v>
      </c>
      <c r="I30" s="15">
        <v>1</v>
      </c>
      <c r="J30" s="15">
        <v>2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509</v>
      </c>
      <c r="Q30" s="16">
        <v>0</v>
      </c>
      <c r="R30" s="15">
        <v>2</v>
      </c>
      <c r="S30" s="15">
        <f t="shared" si="0"/>
        <v>511</v>
      </c>
      <c r="T30" s="15">
        <v>0</v>
      </c>
      <c r="U30" s="17">
        <v>28</v>
      </c>
      <c r="V30" s="17" t="s">
        <v>69</v>
      </c>
      <c r="W30" s="18" t="s">
        <v>71</v>
      </c>
      <c r="X30" s="16">
        <v>639</v>
      </c>
      <c r="Y30" s="16">
        <v>323</v>
      </c>
      <c r="Z30" s="16">
        <v>315</v>
      </c>
      <c r="AA30" s="16">
        <f t="shared" si="1"/>
        <v>237</v>
      </c>
      <c r="AB30" s="19">
        <f t="shared" si="2"/>
        <v>79.968701095461654</v>
      </c>
    </row>
    <row r="31" spans="1:28" ht="37.5" customHeight="1" x14ac:dyDescent="0.25">
      <c r="A31" s="21">
        <v>29</v>
      </c>
      <c r="B31" s="20">
        <v>196</v>
      </c>
      <c r="C31" s="20">
        <v>255</v>
      </c>
      <c r="D31" s="20">
        <v>181</v>
      </c>
      <c r="E31" s="20">
        <v>5</v>
      </c>
      <c r="F31" s="20">
        <v>0</v>
      </c>
      <c r="G31" s="20">
        <v>1</v>
      </c>
      <c r="H31" s="20">
        <v>1</v>
      </c>
      <c r="I31" s="20">
        <v>0</v>
      </c>
      <c r="J31" s="20">
        <v>3</v>
      </c>
      <c r="K31" s="20">
        <v>1</v>
      </c>
      <c r="L31" s="20">
        <v>3</v>
      </c>
      <c r="M31" s="20">
        <v>3</v>
      </c>
      <c r="N31" s="20">
        <v>2</v>
      </c>
      <c r="O31" s="20">
        <v>3</v>
      </c>
      <c r="P31" s="20">
        <v>654</v>
      </c>
      <c r="Q31" s="21">
        <v>0</v>
      </c>
      <c r="R31" s="20">
        <v>8</v>
      </c>
      <c r="S31" s="20">
        <f t="shared" si="0"/>
        <v>662</v>
      </c>
      <c r="T31" s="20">
        <v>0</v>
      </c>
      <c r="U31" s="22">
        <v>29</v>
      </c>
      <c r="V31" s="22" t="s">
        <v>69</v>
      </c>
      <c r="W31" s="23" t="s">
        <v>72</v>
      </c>
      <c r="X31" s="21">
        <v>779</v>
      </c>
      <c r="Y31" s="21">
        <v>398</v>
      </c>
      <c r="Z31" s="21">
        <v>378</v>
      </c>
      <c r="AA31" s="21">
        <f t="shared" si="1"/>
        <v>59</v>
      </c>
      <c r="AB31" s="24">
        <f t="shared" si="2"/>
        <v>84.980744544287546</v>
      </c>
    </row>
    <row r="32" spans="1:28" ht="37.5" customHeight="1" x14ac:dyDescent="0.25">
      <c r="A32" s="21">
        <v>30</v>
      </c>
      <c r="B32" s="20">
        <v>197</v>
      </c>
      <c r="C32" s="20">
        <v>271</v>
      </c>
      <c r="D32" s="20">
        <v>6</v>
      </c>
      <c r="E32" s="20">
        <v>0</v>
      </c>
      <c r="F32" s="20">
        <v>0</v>
      </c>
      <c r="G32" s="20">
        <v>1</v>
      </c>
      <c r="H32" s="20">
        <v>0</v>
      </c>
      <c r="I32" s="20">
        <v>0</v>
      </c>
      <c r="J32" s="20">
        <v>0</v>
      </c>
      <c r="K32" s="20">
        <v>0</v>
      </c>
      <c r="L32" s="20">
        <v>2</v>
      </c>
      <c r="M32" s="20">
        <v>0</v>
      </c>
      <c r="N32" s="20">
        <v>0</v>
      </c>
      <c r="O32" s="20">
        <v>5</v>
      </c>
      <c r="P32" s="21">
        <v>482</v>
      </c>
      <c r="Q32" s="21">
        <v>0</v>
      </c>
      <c r="R32" s="20">
        <v>2</v>
      </c>
      <c r="S32" s="20">
        <f t="shared" si="0"/>
        <v>484</v>
      </c>
      <c r="T32" s="20">
        <v>0</v>
      </c>
      <c r="U32" s="22">
        <v>30</v>
      </c>
      <c r="V32" s="22" t="s">
        <v>69</v>
      </c>
      <c r="W32" s="23" t="s">
        <v>73</v>
      </c>
      <c r="X32" s="21">
        <v>631</v>
      </c>
      <c r="Y32" s="21">
        <v>314</v>
      </c>
      <c r="Z32" s="21">
        <v>310</v>
      </c>
      <c r="AA32" s="21">
        <f t="shared" si="1"/>
        <v>74</v>
      </c>
      <c r="AB32" s="24">
        <f t="shared" si="2"/>
        <v>76.703645007923924</v>
      </c>
    </row>
    <row r="33" spans="1:28" ht="37.5" customHeight="1" x14ac:dyDescent="0.25">
      <c r="A33" s="21">
        <v>31</v>
      </c>
      <c r="B33" s="21">
        <v>372</v>
      </c>
      <c r="C33" s="20">
        <v>399</v>
      </c>
      <c r="D33" s="20">
        <v>8</v>
      </c>
      <c r="E33" s="20">
        <v>0</v>
      </c>
      <c r="F33" s="20">
        <v>0</v>
      </c>
      <c r="G33" s="20">
        <v>1</v>
      </c>
      <c r="H33" s="20">
        <v>0</v>
      </c>
      <c r="I33" s="20">
        <v>1</v>
      </c>
      <c r="J33" s="20">
        <v>0</v>
      </c>
      <c r="K33" s="20">
        <v>0</v>
      </c>
      <c r="L33" s="20">
        <v>1</v>
      </c>
      <c r="M33" s="20">
        <v>2</v>
      </c>
      <c r="N33" s="20">
        <v>1</v>
      </c>
      <c r="O33" s="20">
        <v>0</v>
      </c>
      <c r="P33" s="20">
        <v>785</v>
      </c>
      <c r="Q33" s="21">
        <v>0</v>
      </c>
      <c r="R33" s="21">
        <v>2</v>
      </c>
      <c r="S33" s="20">
        <f t="shared" si="0"/>
        <v>787</v>
      </c>
      <c r="T33" s="20">
        <v>0</v>
      </c>
      <c r="U33" s="22">
        <v>31</v>
      </c>
      <c r="V33" s="22" t="s">
        <v>74</v>
      </c>
      <c r="W33" s="23" t="s">
        <v>75</v>
      </c>
      <c r="X33" s="21">
        <v>933</v>
      </c>
      <c r="Y33" s="21">
        <v>489</v>
      </c>
      <c r="Z33" s="21">
        <v>444</v>
      </c>
      <c r="AA33" s="21">
        <f t="shared" si="1"/>
        <v>27</v>
      </c>
      <c r="AB33" s="24">
        <f t="shared" si="2"/>
        <v>84.351554126473744</v>
      </c>
    </row>
    <row r="34" spans="1:28" ht="37.5" customHeight="1" x14ac:dyDescent="0.25">
      <c r="A34" s="21">
        <v>32</v>
      </c>
      <c r="B34" s="20">
        <v>385</v>
      </c>
      <c r="C34" s="20">
        <v>406</v>
      </c>
      <c r="D34" s="20">
        <v>103</v>
      </c>
      <c r="E34" s="20">
        <v>1</v>
      </c>
      <c r="F34" s="20">
        <v>2</v>
      </c>
      <c r="G34" s="20">
        <v>0</v>
      </c>
      <c r="H34" s="20">
        <v>0</v>
      </c>
      <c r="I34" s="20">
        <v>0</v>
      </c>
      <c r="J34" s="20">
        <v>4</v>
      </c>
      <c r="K34" s="20">
        <v>3</v>
      </c>
      <c r="L34" s="20">
        <v>1</v>
      </c>
      <c r="M34" s="20">
        <v>1</v>
      </c>
      <c r="N34" s="20">
        <v>2</v>
      </c>
      <c r="O34" s="20">
        <v>3</v>
      </c>
      <c r="P34" s="20">
        <v>911</v>
      </c>
      <c r="Q34" s="21">
        <v>0</v>
      </c>
      <c r="R34" s="20">
        <v>4</v>
      </c>
      <c r="S34" s="20">
        <f t="shared" si="0"/>
        <v>915</v>
      </c>
      <c r="T34" s="20">
        <v>0</v>
      </c>
      <c r="U34" s="22">
        <v>32</v>
      </c>
      <c r="V34" s="22" t="s">
        <v>74</v>
      </c>
      <c r="W34" s="23" t="s">
        <v>76</v>
      </c>
      <c r="X34" s="21">
        <v>1165</v>
      </c>
      <c r="Y34" s="21">
        <v>602</v>
      </c>
      <c r="Z34" s="21">
        <v>557</v>
      </c>
      <c r="AA34" s="21">
        <f t="shared" si="1"/>
        <v>21</v>
      </c>
      <c r="AB34" s="24">
        <f t="shared" si="2"/>
        <v>78.540772532188839</v>
      </c>
    </row>
    <row r="35" spans="1:28" ht="37.5" customHeight="1" x14ac:dyDescent="0.25">
      <c r="A35" s="21">
        <v>33</v>
      </c>
      <c r="B35" s="20">
        <v>117</v>
      </c>
      <c r="C35" s="20">
        <v>271</v>
      </c>
      <c r="D35" s="20">
        <v>144</v>
      </c>
      <c r="E35" s="20">
        <v>2</v>
      </c>
      <c r="F35" s="20">
        <v>1</v>
      </c>
      <c r="G35" s="20">
        <v>2</v>
      </c>
      <c r="H35" s="20">
        <v>0</v>
      </c>
      <c r="I35" s="20">
        <v>0</v>
      </c>
      <c r="J35" s="20">
        <v>1</v>
      </c>
      <c r="K35" s="20">
        <v>1</v>
      </c>
      <c r="L35" s="20">
        <v>2</v>
      </c>
      <c r="M35" s="20">
        <v>0</v>
      </c>
      <c r="N35" s="20">
        <v>1</v>
      </c>
      <c r="O35" s="20">
        <v>3</v>
      </c>
      <c r="P35" s="21">
        <v>545</v>
      </c>
      <c r="Q35" s="21">
        <v>0</v>
      </c>
      <c r="R35" s="21">
        <v>1</v>
      </c>
      <c r="S35" s="20">
        <f t="shared" si="0"/>
        <v>546</v>
      </c>
      <c r="T35" s="20">
        <v>0</v>
      </c>
      <c r="U35" s="22">
        <v>33</v>
      </c>
      <c r="V35" s="22" t="s">
        <v>74</v>
      </c>
      <c r="W35" s="23" t="s">
        <v>77</v>
      </c>
      <c r="X35" s="21">
        <v>626</v>
      </c>
      <c r="Y35" s="21">
        <v>332</v>
      </c>
      <c r="Z35" s="21">
        <v>294</v>
      </c>
      <c r="AA35" s="21">
        <f t="shared" si="1"/>
        <v>154</v>
      </c>
      <c r="AB35" s="24">
        <f t="shared" si="2"/>
        <v>87.220447284345042</v>
      </c>
    </row>
    <row r="36" spans="1:28" ht="37.5" customHeight="1" x14ac:dyDescent="0.25">
      <c r="A36" s="21">
        <v>34</v>
      </c>
      <c r="B36" s="20">
        <v>329</v>
      </c>
      <c r="C36" s="20">
        <v>357</v>
      </c>
      <c r="D36" s="20">
        <v>13</v>
      </c>
      <c r="E36" s="20">
        <v>0</v>
      </c>
      <c r="F36" s="20">
        <v>0</v>
      </c>
      <c r="G36" s="20">
        <v>1</v>
      </c>
      <c r="H36" s="20">
        <v>0</v>
      </c>
      <c r="I36" s="20">
        <v>1</v>
      </c>
      <c r="J36" s="20">
        <v>1</v>
      </c>
      <c r="K36" s="20">
        <v>3</v>
      </c>
      <c r="L36" s="20">
        <v>3</v>
      </c>
      <c r="M36" s="20">
        <v>2</v>
      </c>
      <c r="N36" s="20">
        <v>1</v>
      </c>
      <c r="O36" s="20">
        <v>4</v>
      </c>
      <c r="P36" s="20">
        <v>715</v>
      </c>
      <c r="Q36" s="21">
        <v>0</v>
      </c>
      <c r="R36" s="20">
        <v>5</v>
      </c>
      <c r="S36" s="20">
        <f t="shared" si="0"/>
        <v>720</v>
      </c>
      <c r="T36" s="20">
        <v>0</v>
      </c>
      <c r="U36" s="22">
        <v>34</v>
      </c>
      <c r="V36" s="22" t="s">
        <v>78</v>
      </c>
      <c r="W36" s="23" t="s">
        <v>79</v>
      </c>
      <c r="X36" s="21">
        <v>875</v>
      </c>
      <c r="Y36" s="21">
        <v>458</v>
      </c>
      <c r="Z36" s="21">
        <v>411</v>
      </c>
      <c r="AA36" s="21">
        <f t="shared" si="1"/>
        <v>28</v>
      </c>
      <c r="AB36" s="24">
        <f t="shared" si="2"/>
        <v>82.285714285714278</v>
      </c>
    </row>
    <row r="37" spans="1:28" ht="37.5" customHeight="1" x14ac:dyDescent="0.25">
      <c r="A37" s="21">
        <v>35</v>
      </c>
      <c r="B37" s="20">
        <v>226</v>
      </c>
      <c r="C37" s="20">
        <v>271</v>
      </c>
      <c r="D37" s="20">
        <v>201</v>
      </c>
      <c r="E37" s="20">
        <v>5</v>
      </c>
      <c r="F37" s="20">
        <v>0</v>
      </c>
      <c r="G37" s="20">
        <v>1</v>
      </c>
      <c r="H37" s="20">
        <v>2</v>
      </c>
      <c r="I37" s="20">
        <v>0</v>
      </c>
      <c r="J37" s="20">
        <v>2</v>
      </c>
      <c r="K37" s="20">
        <v>1</v>
      </c>
      <c r="L37" s="20">
        <v>2</v>
      </c>
      <c r="M37" s="20">
        <v>3</v>
      </c>
      <c r="N37" s="20">
        <v>1</v>
      </c>
      <c r="O37" s="20">
        <v>1</v>
      </c>
      <c r="P37" s="20">
        <v>716</v>
      </c>
      <c r="Q37" s="21">
        <v>0</v>
      </c>
      <c r="R37" s="20">
        <v>8</v>
      </c>
      <c r="S37" s="20">
        <f t="shared" si="0"/>
        <v>724</v>
      </c>
      <c r="T37" s="20">
        <v>0</v>
      </c>
      <c r="U37" s="22">
        <v>35</v>
      </c>
      <c r="V37" s="22" t="s">
        <v>80</v>
      </c>
      <c r="W37" s="23" t="s">
        <v>81</v>
      </c>
      <c r="X37" s="21">
        <v>858</v>
      </c>
      <c r="Y37" s="21">
        <v>455</v>
      </c>
      <c r="Z37" s="21">
        <v>403</v>
      </c>
      <c r="AA37" s="21">
        <f t="shared" si="1"/>
        <v>45</v>
      </c>
      <c r="AB37" s="24">
        <f t="shared" si="2"/>
        <v>84.382284382284382</v>
      </c>
    </row>
    <row r="38" spans="1:28" ht="37.5" customHeight="1" x14ac:dyDescent="0.25">
      <c r="A38" s="21">
        <v>36</v>
      </c>
      <c r="B38" s="20">
        <v>149</v>
      </c>
      <c r="C38" s="20">
        <v>230</v>
      </c>
      <c r="D38" s="20">
        <v>148</v>
      </c>
      <c r="E38" s="20">
        <v>0</v>
      </c>
      <c r="F38" s="20">
        <v>0</v>
      </c>
      <c r="G38" s="20">
        <v>2</v>
      </c>
      <c r="H38" s="20">
        <v>0</v>
      </c>
      <c r="I38" s="20">
        <v>0</v>
      </c>
      <c r="J38" s="20">
        <v>0</v>
      </c>
      <c r="K38" s="20">
        <v>0</v>
      </c>
      <c r="L38" s="20">
        <v>2</v>
      </c>
      <c r="M38" s="20">
        <v>2</v>
      </c>
      <c r="N38" s="20">
        <v>2</v>
      </c>
      <c r="O38" s="20">
        <v>0</v>
      </c>
      <c r="P38" s="20">
        <v>535</v>
      </c>
      <c r="Q38" s="21">
        <v>0</v>
      </c>
      <c r="R38" s="20">
        <v>2</v>
      </c>
      <c r="S38" s="20">
        <f t="shared" si="0"/>
        <v>537</v>
      </c>
      <c r="T38" s="20">
        <v>0</v>
      </c>
      <c r="U38" s="22">
        <v>36</v>
      </c>
      <c r="V38" s="22" t="s">
        <v>82</v>
      </c>
      <c r="W38" s="23" t="s">
        <v>83</v>
      </c>
      <c r="X38" s="21">
        <v>602</v>
      </c>
      <c r="Y38" s="21">
        <v>304</v>
      </c>
      <c r="Z38" s="21">
        <v>294</v>
      </c>
      <c r="AA38" s="21">
        <f t="shared" si="1"/>
        <v>81</v>
      </c>
      <c r="AB38" s="24">
        <f t="shared" si="2"/>
        <v>89.202657807308967</v>
      </c>
    </row>
    <row r="39" spans="1:28" ht="37.5" customHeight="1" x14ac:dyDescent="0.25">
      <c r="A39" s="21">
        <v>37</v>
      </c>
      <c r="B39" s="20">
        <v>117</v>
      </c>
      <c r="C39" s="20">
        <v>330</v>
      </c>
      <c r="D39" s="20">
        <v>4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3</v>
      </c>
      <c r="N39" s="20">
        <v>0</v>
      </c>
      <c r="O39" s="20">
        <v>1</v>
      </c>
      <c r="P39" s="20">
        <v>455</v>
      </c>
      <c r="Q39" s="21">
        <v>0</v>
      </c>
      <c r="R39" s="20">
        <v>0</v>
      </c>
      <c r="S39" s="20">
        <f t="shared" si="0"/>
        <v>455</v>
      </c>
      <c r="T39" s="20">
        <v>0</v>
      </c>
      <c r="U39" s="22">
        <v>37</v>
      </c>
      <c r="V39" s="22" t="s">
        <v>84</v>
      </c>
      <c r="W39" s="23" t="s">
        <v>85</v>
      </c>
      <c r="X39" s="21">
        <v>515</v>
      </c>
      <c r="Y39" s="21">
        <v>270</v>
      </c>
      <c r="Z39" s="21">
        <v>245</v>
      </c>
      <c r="AA39" s="21">
        <f t="shared" si="1"/>
        <v>213</v>
      </c>
      <c r="AB39" s="24">
        <f t="shared" si="2"/>
        <v>88.349514563106794</v>
      </c>
    </row>
    <row r="40" spans="1:28" ht="37.5" customHeight="1" x14ac:dyDescent="0.25">
      <c r="A40" s="16">
        <v>38</v>
      </c>
      <c r="B40" s="15">
        <v>294</v>
      </c>
      <c r="C40" s="15">
        <v>226</v>
      </c>
      <c r="D40" s="15">
        <v>63</v>
      </c>
      <c r="E40" s="15">
        <v>0</v>
      </c>
      <c r="F40" s="15">
        <v>0</v>
      </c>
      <c r="G40" s="15">
        <v>0</v>
      </c>
      <c r="H40" s="15">
        <v>0</v>
      </c>
      <c r="I40" s="15">
        <v>2</v>
      </c>
      <c r="J40" s="15">
        <v>0</v>
      </c>
      <c r="K40" s="15">
        <v>0</v>
      </c>
      <c r="L40" s="15">
        <v>2</v>
      </c>
      <c r="M40" s="15">
        <v>1</v>
      </c>
      <c r="N40" s="15">
        <v>1</v>
      </c>
      <c r="O40" s="15">
        <v>0</v>
      </c>
      <c r="P40" s="15">
        <v>589</v>
      </c>
      <c r="Q40" s="16">
        <v>0</v>
      </c>
      <c r="R40" s="15">
        <v>4</v>
      </c>
      <c r="S40" s="15">
        <f t="shared" si="0"/>
        <v>593</v>
      </c>
      <c r="T40" s="15">
        <v>0</v>
      </c>
      <c r="U40" s="17">
        <v>38</v>
      </c>
      <c r="V40" s="17" t="s">
        <v>86</v>
      </c>
      <c r="W40" s="18" t="s">
        <v>87</v>
      </c>
      <c r="X40" s="16">
        <v>797</v>
      </c>
      <c r="Y40" s="16">
        <v>419</v>
      </c>
      <c r="Z40" s="16">
        <v>376</v>
      </c>
      <c r="AA40" s="16">
        <f t="shared" si="1"/>
        <v>68</v>
      </c>
      <c r="AB40" s="19">
        <f t="shared" si="2"/>
        <v>74.404015056461731</v>
      </c>
    </row>
    <row r="41" spans="1:28" ht="37.5" customHeight="1" x14ac:dyDescent="0.25">
      <c r="A41" s="16">
        <v>39</v>
      </c>
      <c r="B41" s="15">
        <v>370</v>
      </c>
      <c r="C41" s="15">
        <v>202</v>
      </c>
      <c r="D41" s="15">
        <v>74</v>
      </c>
      <c r="E41" s="15">
        <v>2</v>
      </c>
      <c r="F41" s="15">
        <v>0</v>
      </c>
      <c r="G41" s="15">
        <v>0</v>
      </c>
      <c r="H41" s="15">
        <v>0</v>
      </c>
      <c r="I41" s="15">
        <v>0</v>
      </c>
      <c r="J41" s="15">
        <v>1</v>
      </c>
      <c r="K41" s="15">
        <v>0</v>
      </c>
      <c r="L41" s="15">
        <v>1</v>
      </c>
      <c r="M41" s="15">
        <v>2</v>
      </c>
      <c r="N41" s="15">
        <v>1</v>
      </c>
      <c r="O41" s="15">
        <v>0</v>
      </c>
      <c r="P41" s="15">
        <v>653</v>
      </c>
      <c r="Q41" s="16">
        <v>0</v>
      </c>
      <c r="R41" s="15">
        <v>1</v>
      </c>
      <c r="S41" s="15">
        <f t="shared" si="0"/>
        <v>654</v>
      </c>
      <c r="T41" s="15">
        <v>0</v>
      </c>
      <c r="U41" s="17">
        <v>39</v>
      </c>
      <c r="V41" s="17" t="s">
        <v>88</v>
      </c>
      <c r="W41" s="18" t="s">
        <v>89</v>
      </c>
      <c r="X41" s="16">
        <v>776</v>
      </c>
      <c r="Y41" s="16">
        <v>392</v>
      </c>
      <c r="Z41" s="16">
        <v>381</v>
      </c>
      <c r="AA41" s="16">
        <f t="shared" si="1"/>
        <v>168</v>
      </c>
      <c r="AB41" s="19">
        <f t="shared" si="2"/>
        <v>84.278350515463913</v>
      </c>
    </row>
    <row r="42" spans="1:28" ht="37.5" customHeight="1" x14ac:dyDescent="0.25">
      <c r="A42" s="16">
        <v>40</v>
      </c>
      <c r="B42" s="15">
        <v>351</v>
      </c>
      <c r="C42" s="15">
        <v>338</v>
      </c>
      <c r="D42" s="15">
        <v>38</v>
      </c>
      <c r="E42" s="15">
        <v>0</v>
      </c>
      <c r="F42" s="15">
        <v>2</v>
      </c>
      <c r="G42" s="15">
        <v>0</v>
      </c>
      <c r="H42" s="15">
        <v>2</v>
      </c>
      <c r="I42" s="15">
        <v>3</v>
      </c>
      <c r="J42" s="15">
        <v>0</v>
      </c>
      <c r="K42" s="15">
        <v>1</v>
      </c>
      <c r="L42" s="15">
        <v>2</v>
      </c>
      <c r="M42" s="15">
        <v>2</v>
      </c>
      <c r="N42" s="15">
        <v>0</v>
      </c>
      <c r="O42" s="15">
        <v>0</v>
      </c>
      <c r="P42" s="15">
        <v>739</v>
      </c>
      <c r="Q42" s="16">
        <v>0</v>
      </c>
      <c r="R42" s="15">
        <v>6</v>
      </c>
      <c r="S42" s="15">
        <f t="shared" si="0"/>
        <v>745</v>
      </c>
      <c r="T42" s="15">
        <v>0</v>
      </c>
      <c r="U42" s="17">
        <v>40</v>
      </c>
      <c r="V42" s="17" t="s">
        <v>90</v>
      </c>
      <c r="W42" s="18" t="s">
        <v>91</v>
      </c>
      <c r="X42" s="16">
        <v>843</v>
      </c>
      <c r="Y42" s="16">
        <v>426</v>
      </c>
      <c r="Z42" s="16">
        <v>414</v>
      </c>
      <c r="AA42" s="16">
        <f t="shared" si="1"/>
        <v>13</v>
      </c>
      <c r="AB42" s="19">
        <f t="shared" si="2"/>
        <v>88.374851720047459</v>
      </c>
    </row>
    <row r="43" spans="1:28" ht="37.5" customHeight="1" x14ac:dyDescent="0.25">
      <c r="A43" s="16">
        <v>41</v>
      </c>
      <c r="B43" s="15">
        <v>580</v>
      </c>
      <c r="C43" s="15">
        <v>200</v>
      </c>
      <c r="D43" s="15">
        <v>78</v>
      </c>
      <c r="E43" s="15">
        <v>1</v>
      </c>
      <c r="F43" s="15">
        <v>1</v>
      </c>
      <c r="G43" s="15">
        <v>0</v>
      </c>
      <c r="H43" s="15">
        <v>4</v>
      </c>
      <c r="I43" s="15">
        <v>0</v>
      </c>
      <c r="J43" s="15">
        <v>0</v>
      </c>
      <c r="K43" s="15">
        <v>2</v>
      </c>
      <c r="L43" s="15">
        <v>2</v>
      </c>
      <c r="M43" s="15">
        <v>0</v>
      </c>
      <c r="N43" s="15">
        <v>3</v>
      </c>
      <c r="O43" s="15">
        <v>0</v>
      </c>
      <c r="P43" s="16">
        <v>871</v>
      </c>
      <c r="Q43" s="16">
        <v>0</v>
      </c>
      <c r="R43" s="15">
        <v>1</v>
      </c>
      <c r="S43" s="15">
        <f t="shared" si="0"/>
        <v>872</v>
      </c>
      <c r="T43" s="15">
        <v>0</v>
      </c>
      <c r="U43" s="17">
        <v>41</v>
      </c>
      <c r="V43" s="17" t="s">
        <v>92</v>
      </c>
      <c r="W43" s="18" t="s">
        <v>93</v>
      </c>
      <c r="X43" s="16">
        <v>1053</v>
      </c>
      <c r="Y43" s="16">
        <v>549</v>
      </c>
      <c r="Z43" s="16">
        <v>502</v>
      </c>
      <c r="AA43" s="16">
        <f t="shared" si="1"/>
        <v>380</v>
      </c>
      <c r="AB43" s="19">
        <f t="shared" si="2"/>
        <v>82.81101614434948</v>
      </c>
    </row>
    <row r="44" spans="1:28" ht="37.5" customHeight="1" x14ac:dyDescent="0.25">
      <c r="A44" s="16">
        <v>42</v>
      </c>
      <c r="B44" s="15">
        <v>389</v>
      </c>
      <c r="C44" s="15">
        <v>188</v>
      </c>
      <c r="D44" s="15">
        <v>5</v>
      </c>
      <c r="E44" s="15">
        <v>0</v>
      </c>
      <c r="F44" s="15">
        <v>0</v>
      </c>
      <c r="G44" s="15">
        <v>0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1</v>
      </c>
      <c r="P44" s="15">
        <v>585</v>
      </c>
      <c r="Q44" s="16">
        <v>0</v>
      </c>
      <c r="R44" s="15">
        <v>5</v>
      </c>
      <c r="S44" s="15">
        <f t="shared" si="0"/>
        <v>590</v>
      </c>
      <c r="T44" s="15">
        <v>0</v>
      </c>
      <c r="U44" s="17">
        <v>42</v>
      </c>
      <c r="V44" s="17" t="s">
        <v>94</v>
      </c>
      <c r="W44" s="18" t="s">
        <v>95</v>
      </c>
      <c r="X44" s="16">
        <v>739</v>
      </c>
      <c r="Y44" s="16">
        <v>385</v>
      </c>
      <c r="Z44" s="16">
        <v>352</v>
      </c>
      <c r="AA44" s="16">
        <f t="shared" si="1"/>
        <v>201</v>
      </c>
      <c r="AB44" s="19">
        <f t="shared" si="2"/>
        <v>79.837618403247632</v>
      </c>
    </row>
    <row r="45" spans="1:28" ht="37.5" customHeight="1" x14ac:dyDescent="0.25">
      <c r="A45" s="16">
        <v>43</v>
      </c>
      <c r="B45" s="15">
        <v>225</v>
      </c>
      <c r="C45" s="15">
        <v>110</v>
      </c>
      <c r="D45" s="15">
        <v>4</v>
      </c>
      <c r="E45" s="15">
        <v>2</v>
      </c>
      <c r="F45" s="15">
        <v>0</v>
      </c>
      <c r="G45" s="15">
        <v>0</v>
      </c>
      <c r="H45" s="15">
        <v>1</v>
      </c>
      <c r="I45" s="15">
        <v>0</v>
      </c>
      <c r="J45" s="15">
        <v>0</v>
      </c>
      <c r="K45" s="15">
        <v>0</v>
      </c>
      <c r="L45" s="15">
        <v>1</v>
      </c>
      <c r="M45" s="15">
        <v>9</v>
      </c>
      <c r="N45" s="15">
        <v>0</v>
      </c>
      <c r="O45" s="15">
        <v>0</v>
      </c>
      <c r="P45" s="16">
        <v>352</v>
      </c>
      <c r="Q45" s="16">
        <v>0</v>
      </c>
      <c r="R45" s="15">
        <v>4</v>
      </c>
      <c r="S45" s="15">
        <f t="shared" si="0"/>
        <v>356</v>
      </c>
      <c r="T45" s="15">
        <v>0</v>
      </c>
      <c r="U45" s="17">
        <v>43</v>
      </c>
      <c r="V45" s="17" t="s">
        <v>96</v>
      </c>
      <c r="W45" s="18" t="s">
        <v>97</v>
      </c>
      <c r="X45" s="16">
        <v>372</v>
      </c>
      <c r="Y45" s="16">
        <v>185</v>
      </c>
      <c r="Z45" s="16">
        <v>187</v>
      </c>
      <c r="AA45" s="16">
        <f t="shared" si="1"/>
        <v>115</v>
      </c>
      <c r="AB45" s="19">
        <f t="shared" si="2"/>
        <v>95.6989247311828</v>
      </c>
    </row>
    <row r="46" spans="1:28" ht="37.5" customHeight="1" x14ac:dyDescent="0.25">
      <c r="A46" s="21">
        <v>44</v>
      </c>
      <c r="B46" s="20">
        <v>225</v>
      </c>
      <c r="C46" s="20">
        <v>353</v>
      </c>
      <c r="D46" s="20">
        <v>164</v>
      </c>
      <c r="E46" s="20">
        <v>3</v>
      </c>
      <c r="F46" s="20">
        <v>0</v>
      </c>
      <c r="G46" s="20">
        <v>1</v>
      </c>
      <c r="H46" s="20">
        <v>1</v>
      </c>
      <c r="I46" s="20">
        <v>1</v>
      </c>
      <c r="J46" s="20">
        <v>2</v>
      </c>
      <c r="K46" s="20">
        <v>1</v>
      </c>
      <c r="L46" s="20">
        <v>1</v>
      </c>
      <c r="M46" s="20">
        <v>4</v>
      </c>
      <c r="N46" s="20">
        <v>2</v>
      </c>
      <c r="O46" s="20">
        <v>1</v>
      </c>
      <c r="P46" s="20">
        <v>759</v>
      </c>
      <c r="Q46" s="21">
        <v>0</v>
      </c>
      <c r="R46" s="20">
        <v>10</v>
      </c>
      <c r="S46" s="20">
        <f t="shared" si="0"/>
        <v>769</v>
      </c>
      <c r="T46" s="20">
        <v>0</v>
      </c>
      <c r="U46" s="22">
        <v>44</v>
      </c>
      <c r="V46" s="22" t="s">
        <v>98</v>
      </c>
      <c r="W46" s="23" t="s">
        <v>99</v>
      </c>
      <c r="X46" s="21">
        <v>914</v>
      </c>
      <c r="Y46" s="21">
        <v>491</v>
      </c>
      <c r="Z46" s="21">
        <v>423</v>
      </c>
      <c r="AA46" s="21">
        <f t="shared" si="1"/>
        <v>128</v>
      </c>
      <c r="AB46" s="24">
        <f t="shared" si="2"/>
        <v>84.135667396061265</v>
      </c>
    </row>
    <row r="47" spans="1:28" ht="37.5" customHeight="1" x14ac:dyDescent="0.25">
      <c r="A47" s="21">
        <v>45</v>
      </c>
      <c r="B47" s="20">
        <v>222</v>
      </c>
      <c r="C47" s="20">
        <v>624</v>
      </c>
      <c r="D47" s="20">
        <v>8</v>
      </c>
      <c r="E47" s="20">
        <v>2</v>
      </c>
      <c r="F47" s="20">
        <v>0</v>
      </c>
      <c r="G47" s="20">
        <v>0</v>
      </c>
      <c r="H47" s="20">
        <v>3</v>
      </c>
      <c r="I47" s="20">
        <v>1</v>
      </c>
      <c r="J47" s="20">
        <v>2</v>
      </c>
      <c r="K47" s="20">
        <v>0</v>
      </c>
      <c r="L47" s="20">
        <v>1</v>
      </c>
      <c r="M47" s="20">
        <v>1</v>
      </c>
      <c r="N47" s="20">
        <v>1</v>
      </c>
      <c r="O47" s="20">
        <v>4</v>
      </c>
      <c r="P47" s="20">
        <v>869</v>
      </c>
      <c r="Q47" s="21">
        <v>0</v>
      </c>
      <c r="R47" s="20">
        <v>8</v>
      </c>
      <c r="S47" s="20">
        <f t="shared" si="0"/>
        <v>877</v>
      </c>
      <c r="T47" s="20">
        <v>0</v>
      </c>
      <c r="U47" s="22">
        <v>45</v>
      </c>
      <c r="V47" s="22" t="s">
        <v>100</v>
      </c>
      <c r="W47" s="23" t="s">
        <v>101</v>
      </c>
      <c r="X47" s="21">
        <v>1101</v>
      </c>
      <c r="Y47" s="21">
        <v>594</v>
      </c>
      <c r="Z47" s="21">
        <v>507</v>
      </c>
      <c r="AA47" s="21">
        <f t="shared" si="1"/>
        <v>402</v>
      </c>
      <c r="AB47" s="24">
        <f t="shared" si="2"/>
        <v>79.654859218891914</v>
      </c>
    </row>
    <row r="48" spans="1:28" ht="37.5" customHeight="1" x14ac:dyDescent="0.25">
      <c r="A48" s="21">
        <v>46</v>
      </c>
      <c r="B48" s="20">
        <v>203</v>
      </c>
      <c r="C48" s="20">
        <v>473</v>
      </c>
      <c r="D48" s="20">
        <v>34</v>
      </c>
      <c r="E48" s="20">
        <v>3</v>
      </c>
      <c r="F48" s="20">
        <v>2</v>
      </c>
      <c r="G48" s="20">
        <v>0</v>
      </c>
      <c r="H48" s="20">
        <v>1</v>
      </c>
      <c r="I48" s="20">
        <v>1</v>
      </c>
      <c r="J48" s="20">
        <v>0</v>
      </c>
      <c r="K48" s="20">
        <v>0</v>
      </c>
      <c r="L48" s="20">
        <v>1</v>
      </c>
      <c r="M48" s="20">
        <v>0</v>
      </c>
      <c r="N48" s="20">
        <v>1</v>
      </c>
      <c r="O48" s="21">
        <v>1</v>
      </c>
      <c r="P48" s="21">
        <v>720</v>
      </c>
      <c r="Q48" s="21">
        <v>0</v>
      </c>
      <c r="R48" s="20">
        <v>5</v>
      </c>
      <c r="S48" s="20">
        <f t="shared" si="0"/>
        <v>725</v>
      </c>
      <c r="T48" s="20">
        <v>0</v>
      </c>
      <c r="U48" s="22">
        <v>46</v>
      </c>
      <c r="V48" s="22" t="s">
        <v>102</v>
      </c>
      <c r="W48" s="23" t="s">
        <v>103</v>
      </c>
      <c r="X48" s="21">
        <v>870</v>
      </c>
      <c r="Y48" s="21">
        <v>463</v>
      </c>
      <c r="Z48" s="21">
        <v>407</v>
      </c>
      <c r="AA48" s="21">
        <f t="shared" si="1"/>
        <v>270</v>
      </c>
      <c r="AB48" s="24">
        <f t="shared" si="2"/>
        <v>83.333333333333343</v>
      </c>
    </row>
    <row r="49" spans="1:28" ht="37.5" customHeight="1" x14ac:dyDescent="0.25">
      <c r="A49" s="21">
        <v>47</v>
      </c>
      <c r="B49" s="20">
        <v>292</v>
      </c>
      <c r="C49" s="20">
        <v>546</v>
      </c>
      <c r="D49" s="20">
        <v>78</v>
      </c>
      <c r="E49" s="20">
        <v>5</v>
      </c>
      <c r="F49" s="20">
        <v>0</v>
      </c>
      <c r="G49" s="20">
        <v>0</v>
      </c>
      <c r="H49" s="20">
        <v>0</v>
      </c>
      <c r="I49" s="20">
        <v>3</v>
      </c>
      <c r="J49" s="20">
        <v>0</v>
      </c>
      <c r="K49" s="20">
        <v>1</v>
      </c>
      <c r="L49" s="20">
        <v>6</v>
      </c>
      <c r="M49" s="20">
        <v>3</v>
      </c>
      <c r="N49" s="20">
        <v>0</v>
      </c>
      <c r="O49" s="20">
        <v>3</v>
      </c>
      <c r="P49" s="21">
        <v>937</v>
      </c>
      <c r="Q49" s="21">
        <v>0</v>
      </c>
      <c r="R49" s="20">
        <v>4</v>
      </c>
      <c r="S49" s="20">
        <f t="shared" si="0"/>
        <v>941</v>
      </c>
      <c r="T49" s="20">
        <v>0</v>
      </c>
      <c r="U49" s="22">
        <v>47</v>
      </c>
      <c r="V49" s="22" t="s">
        <v>104</v>
      </c>
      <c r="W49" s="23" t="s">
        <v>105</v>
      </c>
      <c r="X49" s="21">
        <v>1131</v>
      </c>
      <c r="Y49" s="21">
        <v>613</v>
      </c>
      <c r="Z49" s="21">
        <v>509</v>
      </c>
      <c r="AA49" s="21">
        <f t="shared" si="1"/>
        <v>254</v>
      </c>
      <c r="AB49" s="24">
        <f t="shared" si="2"/>
        <v>83.200707338638367</v>
      </c>
    </row>
    <row r="50" spans="1:28" ht="37.5" customHeight="1" x14ac:dyDescent="0.25">
      <c r="A50" s="16">
        <v>48</v>
      </c>
      <c r="B50" s="15">
        <v>133</v>
      </c>
      <c r="C50" s="15">
        <v>123</v>
      </c>
      <c r="D50" s="15">
        <v>7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2</v>
      </c>
      <c r="M50" s="15">
        <v>2</v>
      </c>
      <c r="N50" s="15">
        <v>1</v>
      </c>
      <c r="O50" s="15">
        <v>2</v>
      </c>
      <c r="P50" s="15">
        <v>272</v>
      </c>
      <c r="Q50" s="16">
        <v>0</v>
      </c>
      <c r="R50" s="15">
        <v>4</v>
      </c>
      <c r="S50" s="15">
        <f t="shared" si="0"/>
        <v>276</v>
      </c>
      <c r="T50" s="15">
        <v>0</v>
      </c>
      <c r="U50" s="17">
        <v>48</v>
      </c>
      <c r="V50" s="17" t="s">
        <v>106</v>
      </c>
      <c r="W50" s="18" t="s">
        <v>107</v>
      </c>
      <c r="X50" s="16">
        <v>288</v>
      </c>
      <c r="Y50" s="16">
        <v>150</v>
      </c>
      <c r="Z50" s="16">
        <v>138</v>
      </c>
      <c r="AA50" s="16">
        <f t="shared" si="1"/>
        <v>10</v>
      </c>
      <c r="AB50" s="19">
        <f t="shared" si="2"/>
        <v>95.833333333333343</v>
      </c>
    </row>
    <row r="51" spans="1:28" ht="37.5" customHeight="1" x14ac:dyDescent="0.25">
      <c r="A51" s="21">
        <v>49</v>
      </c>
      <c r="B51" s="20">
        <v>96</v>
      </c>
      <c r="C51" s="20">
        <v>741</v>
      </c>
      <c r="D51" s="20">
        <v>10</v>
      </c>
      <c r="E51" s="20">
        <v>1</v>
      </c>
      <c r="F51" s="20">
        <v>2</v>
      </c>
      <c r="G51" s="20">
        <v>0</v>
      </c>
      <c r="H51" s="20">
        <v>1</v>
      </c>
      <c r="I51" s="20">
        <v>0</v>
      </c>
      <c r="J51" s="20">
        <v>0</v>
      </c>
      <c r="K51" s="20">
        <v>1</v>
      </c>
      <c r="L51" s="20">
        <v>3</v>
      </c>
      <c r="M51" s="20">
        <v>12</v>
      </c>
      <c r="N51" s="20">
        <v>0</v>
      </c>
      <c r="O51" s="20">
        <v>1</v>
      </c>
      <c r="P51" s="21">
        <v>868</v>
      </c>
      <c r="Q51" s="21">
        <v>0</v>
      </c>
      <c r="R51" s="20">
        <v>2</v>
      </c>
      <c r="S51" s="20">
        <f t="shared" si="0"/>
        <v>870</v>
      </c>
      <c r="T51" s="20">
        <v>0</v>
      </c>
      <c r="U51" s="22">
        <v>49</v>
      </c>
      <c r="V51" s="22" t="s">
        <v>108</v>
      </c>
      <c r="W51" s="23" t="s">
        <v>109</v>
      </c>
      <c r="X51" s="21">
        <v>1046</v>
      </c>
      <c r="Y51" s="21">
        <v>553</v>
      </c>
      <c r="Z51" s="21">
        <v>492</v>
      </c>
      <c r="AA51" s="21">
        <f t="shared" si="1"/>
        <v>645</v>
      </c>
      <c r="AB51" s="24">
        <f t="shared" si="2"/>
        <v>83.173996175908229</v>
      </c>
    </row>
    <row r="52" spans="1:28" ht="37.5" customHeight="1" x14ac:dyDescent="0.25">
      <c r="A52" s="21">
        <v>50</v>
      </c>
      <c r="B52" s="20">
        <v>191</v>
      </c>
      <c r="C52" s="20">
        <v>363</v>
      </c>
      <c r="D52" s="20">
        <v>218</v>
      </c>
      <c r="E52" s="20">
        <v>7</v>
      </c>
      <c r="F52" s="20">
        <v>1</v>
      </c>
      <c r="G52" s="20">
        <v>2</v>
      </c>
      <c r="H52" s="20">
        <v>3</v>
      </c>
      <c r="I52" s="20">
        <v>1</v>
      </c>
      <c r="J52" s="20">
        <v>0</v>
      </c>
      <c r="K52" s="20">
        <v>2</v>
      </c>
      <c r="L52" s="20">
        <v>0</v>
      </c>
      <c r="M52" s="20">
        <v>0</v>
      </c>
      <c r="N52" s="20">
        <v>0</v>
      </c>
      <c r="O52" s="20">
        <v>3</v>
      </c>
      <c r="P52" s="21">
        <v>791</v>
      </c>
      <c r="Q52" s="21">
        <v>0</v>
      </c>
      <c r="R52" s="20">
        <v>6</v>
      </c>
      <c r="S52" s="20">
        <f t="shared" si="0"/>
        <v>797</v>
      </c>
      <c r="T52" s="20">
        <v>0</v>
      </c>
      <c r="U52" s="22">
        <v>50</v>
      </c>
      <c r="V52" s="22" t="s">
        <v>108</v>
      </c>
      <c r="W52" s="23" t="s">
        <v>110</v>
      </c>
      <c r="X52" s="21">
        <v>969</v>
      </c>
      <c r="Y52" s="21">
        <v>518</v>
      </c>
      <c r="Z52" s="21">
        <v>451</v>
      </c>
      <c r="AA52" s="21">
        <f t="shared" si="1"/>
        <v>172</v>
      </c>
      <c r="AB52" s="24">
        <f t="shared" si="2"/>
        <v>82.249742002063982</v>
      </c>
    </row>
    <row r="53" spans="1:28" ht="37.5" customHeight="1" x14ac:dyDescent="0.25">
      <c r="A53" s="21">
        <v>51</v>
      </c>
      <c r="B53" s="20">
        <v>222</v>
      </c>
      <c r="C53" s="20">
        <v>552</v>
      </c>
      <c r="D53" s="20">
        <v>299</v>
      </c>
      <c r="E53" s="20">
        <v>3</v>
      </c>
      <c r="F53" s="20">
        <v>10</v>
      </c>
      <c r="G53" s="20">
        <v>2</v>
      </c>
      <c r="H53" s="20">
        <v>3</v>
      </c>
      <c r="I53" s="20">
        <v>4</v>
      </c>
      <c r="J53" s="20">
        <v>1</v>
      </c>
      <c r="K53" s="20">
        <v>4</v>
      </c>
      <c r="L53" s="20">
        <v>6</v>
      </c>
      <c r="M53" s="20">
        <v>5</v>
      </c>
      <c r="N53" s="20">
        <v>3</v>
      </c>
      <c r="O53" s="20">
        <v>6</v>
      </c>
      <c r="P53" s="21">
        <v>1120</v>
      </c>
      <c r="Q53" s="21">
        <v>0</v>
      </c>
      <c r="R53" s="20">
        <v>11</v>
      </c>
      <c r="S53" s="20">
        <f t="shared" si="0"/>
        <v>1131</v>
      </c>
      <c r="T53" s="20">
        <v>0</v>
      </c>
      <c r="U53" s="22">
        <v>51</v>
      </c>
      <c r="V53" s="22" t="s">
        <v>111</v>
      </c>
      <c r="W53" s="23" t="s">
        <v>112</v>
      </c>
      <c r="X53" s="21">
        <v>1303</v>
      </c>
      <c r="Y53" s="21">
        <v>659</v>
      </c>
      <c r="Z53" s="21">
        <v>640</v>
      </c>
      <c r="AA53" s="21">
        <f t="shared" si="1"/>
        <v>330</v>
      </c>
      <c r="AB53" s="24">
        <f t="shared" si="2"/>
        <v>86.799693016116649</v>
      </c>
    </row>
    <row r="54" spans="1:28" ht="37.5" customHeight="1" x14ac:dyDescent="0.25">
      <c r="A54" s="21">
        <v>52</v>
      </c>
      <c r="B54" s="20">
        <v>86</v>
      </c>
      <c r="C54" s="20">
        <v>499</v>
      </c>
      <c r="D54" s="20">
        <v>25</v>
      </c>
      <c r="E54" s="20">
        <v>2</v>
      </c>
      <c r="F54" s="20">
        <v>1</v>
      </c>
      <c r="G54" s="20">
        <v>1</v>
      </c>
      <c r="H54" s="20">
        <v>2</v>
      </c>
      <c r="I54" s="20">
        <v>0</v>
      </c>
      <c r="J54" s="20">
        <v>0</v>
      </c>
      <c r="K54" s="20">
        <v>1</v>
      </c>
      <c r="L54" s="20">
        <v>2</v>
      </c>
      <c r="M54" s="20">
        <v>2</v>
      </c>
      <c r="N54" s="20">
        <v>3</v>
      </c>
      <c r="O54" s="20">
        <v>3</v>
      </c>
      <c r="P54" s="21">
        <v>627</v>
      </c>
      <c r="Q54" s="21">
        <v>0</v>
      </c>
      <c r="R54" s="20">
        <v>16</v>
      </c>
      <c r="S54" s="20">
        <f t="shared" si="0"/>
        <v>643</v>
      </c>
      <c r="T54" s="20">
        <v>0</v>
      </c>
      <c r="U54" s="22">
        <v>52</v>
      </c>
      <c r="V54" s="22" t="s">
        <v>113</v>
      </c>
      <c r="W54" s="23" t="s">
        <v>114</v>
      </c>
      <c r="X54" s="21">
        <v>764</v>
      </c>
      <c r="Y54" s="21">
        <v>395</v>
      </c>
      <c r="Z54" s="21">
        <v>369</v>
      </c>
      <c r="AA54" s="21">
        <f t="shared" si="1"/>
        <v>413</v>
      </c>
      <c r="AB54" s="24">
        <f t="shared" si="2"/>
        <v>84.162303664921467</v>
      </c>
    </row>
    <row r="55" spans="1:28" ht="37.5" customHeight="1" x14ac:dyDescent="0.25">
      <c r="A55" s="16">
        <v>53</v>
      </c>
      <c r="B55" s="15">
        <v>159</v>
      </c>
      <c r="C55" s="15">
        <v>85</v>
      </c>
      <c r="D55" s="15">
        <v>240</v>
      </c>
      <c r="E55" s="15">
        <v>7</v>
      </c>
      <c r="F55" s="15">
        <v>2</v>
      </c>
      <c r="G55" s="15">
        <v>0</v>
      </c>
      <c r="H55" s="15">
        <v>1</v>
      </c>
      <c r="I55" s="15">
        <v>1</v>
      </c>
      <c r="J55" s="15">
        <v>1</v>
      </c>
      <c r="K55" s="15">
        <v>2</v>
      </c>
      <c r="L55" s="15">
        <v>3</v>
      </c>
      <c r="M55" s="15">
        <v>1</v>
      </c>
      <c r="N55" s="15">
        <v>2</v>
      </c>
      <c r="O55" s="15">
        <v>1</v>
      </c>
      <c r="P55" s="16">
        <v>505</v>
      </c>
      <c r="Q55" s="16">
        <v>0</v>
      </c>
      <c r="R55" s="15">
        <v>6</v>
      </c>
      <c r="S55" s="15">
        <f t="shared" si="0"/>
        <v>511</v>
      </c>
      <c r="T55" s="15">
        <v>0</v>
      </c>
      <c r="U55" s="17">
        <v>53</v>
      </c>
      <c r="V55" s="17" t="s">
        <v>115</v>
      </c>
      <c r="W55" s="18" t="s">
        <v>116</v>
      </c>
      <c r="X55" s="16">
        <v>595</v>
      </c>
      <c r="Y55" s="16">
        <v>302</v>
      </c>
      <c r="Z55" s="16">
        <v>293</v>
      </c>
      <c r="AA55" s="16">
        <f t="shared" si="1"/>
        <v>74</v>
      </c>
      <c r="AB55" s="19">
        <f t="shared" si="2"/>
        <v>85.882352941176464</v>
      </c>
    </row>
    <row r="56" spans="1:28" ht="37.5" customHeight="1" x14ac:dyDescent="0.25">
      <c r="A56" s="21">
        <v>54</v>
      </c>
      <c r="B56" s="20">
        <v>244</v>
      </c>
      <c r="C56" s="20">
        <v>365</v>
      </c>
      <c r="D56" s="20">
        <v>188</v>
      </c>
      <c r="E56" s="20">
        <v>4</v>
      </c>
      <c r="F56" s="20">
        <v>1</v>
      </c>
      <c r="G56" s="20">
        <v>3</v>
      </c>
      <c r="H56" s="20">
        <v>1</v>
      </c>
      <c r="I56" s="20">
        <v>3</v>
      </c>
      <c r="J56" s="20">
        <v>0</v>
      </c>
      <c r="K56" s="20">
        <v>3</v>
      </c>
      <c r="L56" s="20">
        <v>6</v>
      </c>
      <c r="M56" s="20">
        <v>2</v>
      </c>
      <c r="N56" s="20">
        <v>2</v>
      </c>
      <c r="O56" s="20">
        <v>9</v>
      </c>
      <c r="P56" s="21">
        <v>831</v>
      </c>
      <c r="Q56" s="21">
        <v>0</v>
      </c>
      <c r="R56" s="20">
        <v>17</v>
      </c>
      <c r="S56" s="20">
        <f t="shared" si="0"/>
        <v>848</v>
      </c>
      <c r="T56" s="20">
        <v>0</v>
      </c>
      <c r="U56" s="22">
        <v>54</v>
      </c>
      <c r="V56" s="22" t="s">
        <v>117</v>
      </c>
      <c r="W56" s="23" t="s">
        <v>118</v>
      </c>
      <c r="X56" s="21">
        <v>1071</v>
      </c>
      <c r="Y56" s="21">
        <v>540</v>
      </c>
      <c r="Z56" s="21">
        <v>531</v>
      </c>
      <c r="AA56" s="21">
        <f t="shared" si="1"/>
        <v>121</v>
      </c>
      <c r="AB56" s="24">
        <f t="shared" si="2"/>
        <v>79.178338001867417</v>
      </c>
    </row>
    <row r="57" spans="1:28" ht="37.5" customHeight="1" x14ac:dyDescent="0.25">
      <c r="A57" s="16">
        <v>55</v>
      </c>
      <c r="B57" s="15">
        <v>387</v>
      </c>
      <c r="C57" s="15">
        <v>329</v>
      </c>
      <c r="D57" s="15">
        <v>213</v>
      </c>
      <c r="E57" s="15">
        <v>0</v>
      </c>
      <c r="F57" s="15">
        <v>1</v>
      </c>
      <c r="G57" s="15">
        <v>1</v>
      </c>
      <c r="H57" s="15">
        <v>1</v>
      </c>
      <c r="I57" s="15">
        <v>0</v>
      </c>
      <c r="J57" s="15">
        <v>0</v>
      </c>
      <c r="K57" s="15">
        <v>3</v>
      </c>
      <c r="L57" s="15">
        <v>3</v>
      </c>
      <c r="M57" s="15">
        <v>1</v>
      </c>
      <c r="N57" s="15">
        <v>2</v>
      </c>
      <c r="O57" s="15">
        <v>5</v>
      </c>
      <c r="P57" s="15">
        <v>946</v>
      </c>
      <c r="Q57" s="16">
        <v>0</v>
      </c>
      <c r="R57" s="15">
        <v>4</v>
      </c>
      <c r="S57" s="15">
        <f t="shared" si="0"/>
        <v>950</v>
      </c>
      <c r="T57" s="15">
        <v>0</v>
      </c>
      <c r="U57" s="17">
        <v>55</v>
      </c>
      <c r="V57" s="17" t="s">
        <v>119</v>
      </c>
      <c r="W57" s="18" t="s">
        <v>120</v>
      </c>
      <c r="X57" s="16">
        <v>1105</v>
      </c>
      <c r="Y57" s="16">
        <v>555</v>
      </c>
      <c r="Z57" s="16">
        <v>537</v>
      </c>
      <c r="AA57" s="16">
        <f t="shared" si="1"/>
        <v>58</v>
      </c>
      <c r="AB57" s="19">
        <f t="shared" si="2"/>
        <v>85.972850678733039</v>
      </c>
    </row>
    <row r="58" spans="1:28" ht="37.5" customHeight="1" x14ac:dyDescent="0.25">
      <c r="A58" s="16">
        <v>56</v>
      </c>
      <c r="B58" s="15">
        <v>386</v>
      </c>
      <c r="C58" s="15">
        <v>145</v>
      </c>
      <c r="D58" s="15">
        <v>5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2</v>
      </c>
      <c r="K58" s="15">
        <v>0</v>
      </c>
      <c r="L58" s="15">
        <v>1</v>
      </c>
      <c r="M58" s="15">
        <v>1</v>
      </c>
      <c r="N58" s="15">
        <v>1</v>
      </c>
      <c r="O58" s="15">
        <v>2</v>
      </c>
      <c r="P58" s="15">
        <v>543</v>
      </c>
      <c r="Q58" s="16">
        <v>0</v>
      </c>
      <c r="R58" s="15">
        <v>10</v>
      </c>
      <c r="S58" s="15">
        <f t="shared" si="0"/>
        <v>553</v>
      </c>
      <c r="T58" s="15">
        <v>0</v>
      </c>
      <c r="U58" s="17">
        <v>56</v>
      </c>
      <c r="V58" s="17" t="s">
        <v>121</v>
      </c>
      <c r="W58" s="18" t="s">
        <v>122</v>
      </c>
      <c r="X58" s="16">
        <v>744</v>
      </c>
      <c r="Y58" s="16">
        <v>378</v>
      </c>
      <c r="Z58" s="16">
        <v>366</v>
      </c>
      <c r="AA58" s="16">
        <f t="shared" si="1"/>
        <v>241</v>
      </c>
      <c r="AB58" s="19">
        <f t="shared" si="2"/>
        <v>74.327956989247312</v>
      </c>
    </row>
    <row r="59" spans="1:28" ht="37.5" customHeight="1" x14ac:dyDescent="0.25">
      <c r="A59" s="16">
        <v>57</v>
      </c>
      <c r="B59" s="15">
        <v>623</v>
      </c>
      <c r="C59" s="15">
        <v>139</v>
      </c>
      <c r="D59" s="15">
        <v>17</v>
      </c>
      <c r="E59" s="15">
        <v>2</v>
      </c>
      <c r="F59" s="15">
        <v>0</v>
      </c>
      <c r="G59" s="15">
        <v>0</v>
      </c>
      <c r="H59" s="15">
        <v>5</v>
      </c>
      <c r="I59" s="15">
        <v>1</v>
      </c>
      <c r="J59" s="15">
        <v>0</v>
      </c>
      <c r="K59" s="15">
        <v>3</v>
      </c>
      <c r="L59" s="15">
        <v>6</v>
      </c>
      <c r="M59" s="15">
        <v>2</v>
      </c>
      <c r="N59" s="15">
        <v>4</v>
      </c>
      <c r="O59" s="15">
        <v>4</v>
      </c>
      <c r="P59" s="16">
        <v>806</v>
      </c>
      <c r="Q59" s="16">
        <v>0</v>
      </c>
      <c r="R59" s="15">
        <v>23</v>
      </c>
      <c r="S59" s="15">
        <f t="shared" si="0"/>
        <v>829</v>
      </c>
      <c r="T59" s="15">
        <v>0</v>
      </c>
      <c r="U59" s="17">
        <v>57</v>
      </c>
      <c r="V59" s="17" t="s">
        <v>123</v>
      </c>
      <c r="W59" s="18" t="s">
        <v>124</v>
      </c>
      <c r="X59" s="16">
        <v>941</v>
      </c>
      <c r="Y59" s="16">
        <v>487</v>
      </c>
      <c r="Z59" s="16">
        <v>453</v>
      </c>
      <c r="AA59" s="16">
        <f t="shared" si="1"/>
        <v>484</v>
      </c>
      <c r="AB59" s="19">
        <f t="shared" si="2"/>
        <v>88.097768331562165</v>
      </c>
    </row>
    <row r="60" spans="1:28" ht="37.5" customHeight="1" x14ac:dyDescent="0.25">
      <c r="A60" s="21">
        <v>58</v>
      </c>
      <c r="B60" s="20">
        <v>29</v>
      </c>
      <c r="C60" s="20">
        <v>306</v>
      </c>
      <c r="D60" s="20">
        <v>138</v>
      </c>
      <c r="E60" s="20">
        <v>2</v>
      </c>
      <c r="F60" s="20">
        <v>1</v>
      </c>
      <c r="G60" s="20">
        <v>0</v>
      </c>
      <c r="H60" s="20">
        <v>1</v>
      </c>
      <c r="I60" s="20">
        <v>1</v>
      </c>
      <c r="J60" s="20">
        <v>0</v>
      </c>
      <c r="K60" s="20">
        <v>0</v>
      </c>
      <c r="L60" s="20">
        <v>2</v>
      </c>
      <c r="M60" s="20">
        <v>4</v>
      </c>
      <c r="N60" s="20">
        <v>0</v>
      </c>
      <c r="O60" s="20">
        <v>4</v>
      </c>
      <c r="P60" s="21">
        <v>488</v>
      </c>
      <c r="Q60" s="21">
        <v>0</v>
      </c>
      <c r="R60" s="20">
        <v>4</v>
      </c>
      <c r="S60" s="20">
        <f t="shared" si="0"/>
        <v>492</v>
      </c>
      <c r="T60" s="20">
        <v>0</v>
      </c>
      <c r="U60" s="22">
        <v>58</v>
      </c>
      <c r="V60" s="22" t="s">
        <v>125</v>
      </c>
      <c r="W60" s="23" t="s">
        <v>126</v>
      </c>
      <c r="X60" s="21">
        <v>723</v>
      </c>
      <c r="Y60" s="21">
        <v>370</v>
      </c>
      <c r="Z60" s="21">
        <v>351</v>
      </c>
      <c r="AA60" s="21">
        <f t="shared" si="1"/>
        <v>277</v>
      </c>
      <c r="AB60" s="24">
        <f t="shared" si="2"/>
        <v>68.049792531120332</v>
      </c>
    </row>
    <row r="61" spans="1:28" ht="37.5" customHeight="1" x14ac:dyDescent="0.25">
      <c r="A61" s="16">
        <v>59</v>
      </c>
      <c r="B61" s="15">
        <v>475</v>
      </c>
      <c r="C61" s="15">
        <v>174</v>
      </c>
      <c r="D61" s="15">
        <v>230</v>
      </c>
      <c r="E61" s="15">
        <v>2</v>
      </c>
      <c r="F61" s="15">
        <v>2</v>
      </c>
      <c r="G61" s="15">
        <v>0</v>
      </c>
      <c r="H61" s="15">
        <v>0</v>
      </c>
      <c r="I61" s="15">
        <v>1</v>
      </c>
      <c r="J61" s="15">
        <v>0</v>
      </c>
      <c r="K61" s="15">
        <v>0</v>
      </c>
      <c r="L61" s="15">
        <v>6</v>
      </c>
      <c r="M61" s="15">
        <v>0</v>
      </c>
      <c r="N61" s="15">
        <v>2</v>
      </c>
      <c r="O61" s="15">
        <v>0</v>
      </c>
      <c r="P61" s="16">
        <v>892</v>
      </c>
      <c r="Q61" s="16">
        <v>0</v>
      </c>
      <c r="R61" s="15">
        <v>2</v>
      </c>
      <c r="S61" s="15">
        <f t="shared" si="0"/>
        <v>894</v>
      </c>
      <c r="T61" s="15">
        <v>0</v>
      </c>
      <c r="U61" s="17">
        <v>59</v>
      </c>
      <c r="V61" s="17" t="s">
        <v>127</v>
      </c>
      <c r="W61" s="18" t="s">
        <v>128</v>
      </c>
      <c r="X61" s="16">
        <v>1138</v>
      </c>
      <c r="Y61" s="16">
        <v>591</v>
      </c>
      <c r="Z61" s="16">
        <v>540</v>
      </c>
      <c r="AA61" s="16">
        <f t="shared" si="1"/>
        <v>301</v>
      </c>
      <c r="AB61" s="19">
        <f t="shared" si="2"/>
        <v>78.558875219683657</v>
      </c>
    </row>
    <row r="62" spans="1:28" ht="37.5" customHeight="1" x14ac:dyDescent="0.25">
      <c r="A62" s="21">
        <v>60</v>
      </c>
      <c r="B62" s="20">
        <v>137</v>
      </c>
      <c r="C62" s="20">
        <v>482</v>
      </c>
      <c r="D62" s="20">
        <v>114</v>
      </c>
      <c r="E62" s="20">
        <v>1</v>
      </c>
      <c r="F62" s="20">
        <v>1</v>
      </c>
      <c r="G62" s="20">
        <v>0</v>
      </c>
      <c r="H62" s="20">
        <v>3</v>
      </c>
      <c r="I62" s="20">
        <v>1</v>
      </c>
      <c r="J62" s="20">
        <v>0</v>
      </c>
      <c r="K62" s="20">
        <v>0</v>
      </c>
      <c r="L62" s="20">
        <v>3</v>
      </c>
      <c r="M62" s="20">
        <v>0</v>
      </c>
      <c r="N62" s="20">
        <v>2</v>
      </c>
      <c r="O62" s="20">
        <v>2</v>
      </c>
      <c r="P62" s="21">
        <v>746</v>
      </c>
      <c r="Q62" s="21">
        <v>0</v>
      </c>
      <c r="R62" s="20">
        <v>1</v>
      </c>
      <c r="S62" s="20">
        <f t="shared" si="0"/>
        <v>747</v>
      </c>
      <c r="T62" s="20">
        <v>0</v>
      </c>
      <c r="U62" s="22">
        <v>60</v>
      </c>
      <c r="V62" s="22" t="s">
        <v>129</v>
      </c>
      <c r="W62" s="23" t="s">
        <v>130</v>
      </c>
      <c r="X62" s="21">
        <v>913</v>
      </c>
      <c r="Y62" s="21">
        <v>492</v>
      </c>
      <c r="Z62" s="21">
        <v>419</v>
      </c>
      <c r="AA62" s="21">
        <f t="shared" si="1"/>
        <v>345</v>
      </c>
      <c r="AB62" s="24">
        <f t="shared" si="2"/>
        <v>81.818181818181827</v>
      </c>
    </row>
    <row r="63" spans="1:28" ht="37.5" customHeight="1" x14ac:dyDescent="0.25">
      <c r="A63" s="21">
        <v>61</v>
      </c>
      <c r="B63" s="20">
        <v>431</v>
      </c>
      <c r="C63" s="20">
        <v>452</v>
      </c>
      <c r="D63" s="20">
        <v>16</v>
      </c>
      <c r="E63" s="20">
        <v>2</v>
      </c>
      <c r="F63" s="20">
        <v>2</v>
      </c>
      <c r="G63" s="20">
        <v>3</v>
      </c>
      <c r="H63" s="20">
        <v>2</v>
      </c>
      <c r="I63" s="20">
        <v>0</v>
      </c>
      <c r="J63" s="20">
        <v>1</v>
      </c>
      <c r="K63" s="20">
        <v>2</v>
      </c>
      <c r="L63" s="20">
        <v>6</v>
      </c>
      <c r="M63" s="20">
        <v>4</v>
      </c>
      <c r="N63" s="20">
        <v>2</v>
      </c>
      <c r="O63" s="20">
        <v>2</v>
      </c>
      <c r="P63" s="20">
        <v>925</v>
      </c>
      <c r="Q63" s="21">
        <v>0</v>
      </c>
      <c r="R63" s="21">
        <v>9</v>
      </c>
      <c r="S63" s="20">
        <f t="shared" si="0"/>
        <v>934</v>
      </c>
      <c r="T63" s="20">
        <v>0</v>
      </c>
      <c r="U63" s="22">
        <v>61</v>
      </c>
      <c r="V63" s="22" t="s">
        <v>131</v>
      </c>
      <c r="W63" s="23" t="s">
        <v>132</v>
      </c>
      <c r="X63" s="21">
        <v>1139</v>
      </c>
      <c r="Y63" s="21">
        <v>580</v>
      </c>
      <c r="Z63" s="21">
        <v>557</v>
      </c>
      <c r="AA63" s="21">
        <f t="shared" si="1"/>
        <v>21</v>
      </c>
      <c r="AB63" s="24">
        <f t="shared" si="2"/>
        <v>82.001755926251093</v>
      </c>
    </row>
    <row r="64" spans="1:28" ht="37.5" customHeight="1" x14ac:dyDescent="0.25">
      <c r="A64" s="16">
        <v>62</v>
      </c>
      <c r="B64" s="15">
        <v>436</v>
      </c>
      <c r="C64" s="15">
        <v>137</v>
      </c>
      <c r="D64" s="15">
        <v>81</v>
      </c>
      <c r="E64" s="15">
        <v>0</v>
      </c>
      <c r="F64" s="15">
        <v>0</v>
      </c>
      <c r="G64" s="15">
        <v>0</v>
      </c>
      <c r="H64" s="15">
        <v>2</v>
      </c>
      <c r="I64" s="15">
        <v>0</v>
      </c>
      <c r="J64" s="15">
        <v>1</v>
      </c>
      <c r="K64" s="15">
        <v>0</v>
      </c>
      <c r="L64" s="15">
        <v>11</v>
      </c>
      <c r="M64" s="15">
        <v>1</v>
      </c>
      <c r="N64" s="15">
        <v>2</v>
      </c>
      <c r="O64" s="15">
        <v>3</v>
      </c>
      <c r="P64" s="15">
        <v>674</v>
      </c>
      <c r="Q64" s="16">
        <v>0</v>
      </c>
      <c r="R64" s="16">
        <v>3</v>
      </c>
      <c r="S64" s="15">
        <f t="shared" si="0"/>
        <v>677</v>
      </c>
      <c r="T64" s="15">
        <v>0</v>
      </c>
      <c r="U64" s="17">
        <v>62</v>
      </c>
      <c r="V64" s="17" t="s">
        <v>133</v>
      </c>
      <c r="W64" s="18" t="s">
        <v>134</v>
      </c>
      <c r="X64" s="16">
        <v>830</v>
      </c>
      <c r="Y64" s="16">
        <v>439</v>
      </c>
      <c r="Z64" s="16">
        <v>390</v>
      </c>
      <c r="AA64" s="16">
        <f t="shared" si="1"/>
        <v>299</v>
      </c>
      <c r="AB64" s="19">
        <f t="shared" si="2"/>
        <v>81.566265060240966</v>
      </c>
    </row>
    <row r="65" spans="1:28" ht="37.5" customHeight="1" x14ac:dyDescent="0.25">
      <c r="A65" s="21">
        <v>63</v>
      </c>
      <c r="B65" s="20">
        <v>64</v>
      </c>
      <c r="C65" s="20">
        <v>279</v>
      </c>
      <c r="D65" s="20">
        <v>44</v>
      </c>
      <c r="E65" s="21">
        <v>1</v>
      </c>
      <c r="F65" s="20">
        <v>1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1</v>
      </c>
      <c r="M65" s="20">
        <v>0</v>
      </c>
      <c r="N65" s="20">
        <v>0</v>
      </c>
      <c r="O65" s="20">
        <v>0</v>
      </c>
      <c r="P65" s="20">
        <v>390</v>
      </c>
      <c r="Q65" s="21">
        <v>0</v>
      </c>
      <c r="R65" s="20">
        <v>0</v>
      </c>
      <c r="S65" s="20">
        <f t="shared" si="0"/>
        <v>390</v>
      </c>
      <c r="T65" s="20">
        <v>0</v>
      </c>
      <c r="U65" s="22">
        <v>63</v>
      </c>
      <c r="V65" s="22" t="s">
        <v>135</v>
      </c>
      <c r="W65" s="23" t="s">
        <v>136</v>
      </c>
      <c r="X65" s="21">
        <v>452</v>
      </c>
      <c r="Y65" s="21">
        <v>240</v>
      </c>
      <c r="Z65" s="21">
        <v>210</v>
      </c>
      <c r="AA65" s="21">
        <f t="shared" si="1"/>
        <v>215</v>
      </c>
      <c r="AB65" s="24">
        <f t="shared" si="2"/>
        <v>86.283185840707972</v>
      </c>
    </row>
    <row r="66" spans="1:28" ht="37.5" customHeight="1" x14ac:dyDescent="0.25">
      <c r="A66" s="20">
        <v>64</v>
      </c>
      <c r="B66" s="20">
        <v>224</v>
      </c>
      <c r="C66" s="20">
        <v>325</v>
      </c>
      <c r="D66" s="20">
        <v>273</v>
      </c>
      <c r="E66" s="20">
        <v>0</v>
      </c>
      <c r="F66" s="20">
        <v>2</v>
      </c>
      <c r="G66" s="20">
        <v>1</v>
      </c>
      <c r="H66" s="20">
        <v>0</v>
      </c>
      <c r="I66" s="20">
        <v>0</v>
      </c>
      <c r="J66" s="20">
        <v>0</v>
      </c>
      <c r="K66" s="20">
        <v>1</v>
      </c>
      <c r="L66" s="20">
        <v>3</v>
      </c>
      <c r="M66" s="20">
        <v>0</v>
      </c>
      <c r="N66" s="20">
        <v>0</v>
      </c>
      <c r="O66" s="20">
        <v>1</v>
      </c>
      <c r="P66" s="20">
        <v>830</v>
      </c>
      <c r="Q66" s="21">
        <v>0</v>
      </c>
      <c r="R66" s="20">
        <v>1</v>
      </c>
      <c r="S66" s="20">
        <f t="shared" si="0"/>
        <v>831</v>
      </c>
      <c r="T66" s="20">
        <v>0</v>
      </c>
      <c r="U66" s="22">
        <v>64</v>
      </c>
      <c r="V66" s="22" t="s">
        <v>137</v>
      </c>
      <c r="W66" s="23" t="s">
        <v>138</v>
      </c>
      <c r="X66" s="21">
        <v>951</v>
      </c>
      <c r="Y66" s="21">
        <v>483</v>
      </c>
      <c r="Z66" s="21">
        <v>457</v>
      </c>
      <c r="AA66" s="21">
        <f t="shared" si="1"/>
        <v>101</v>
      </c>
      <c r="AB66" s="24">
        <f t="shared" si="2"/>
        <v>87.381703470031553</v>
      </c>
    </row>
    <row r="67" spans="1:28" ht="37.5" customHeight="1" x14ac:dyDescent="0.25">
      <c r="A67" s="15">
        <v>65</v>
      </c>
      <c r="B67" s="15">
        <v>250</v>
      </c>
      <c r="C67" s="15">
        <v>72</v>
      </c>
      <c r="D67" s="15">
        <v>51</v>
      </c>
      <c r="E67" s="15">
        <v>1</v>
      </c>
      <c r="F67" s="15">
        <v>0</v>
      </c>
      <c r="G67" s="15">
        <v>1</v>
      </c>
      <c r="H67" s="15">
        <v>1</v>
      </c>
      <c r="I67" s="15">
        <v>1</v>
      </c>
      <c r="J67" s="15">
        <v>1</v>
      </c>
      <c r="K67" s="15">
        <v>3</v>
      </c>
      <c r="L67" s="15">
        <v>2</v>
      </c>
      <c r="M67" s="15">
        <v>1</v>
      </c>
      <c r="N67" s="15">
        <v>1</v>
      </c>
      <c r="O67" s="15">
        <v>2</v>
      </c>
      <c r="P67" s="15">
        <v>387</v>
      </c>
      <c r="Q67" s="16">
        <v>0</v>
      </c>
      <c r="R67" s="15">
        <v>3</v>
      </c>
      <c r="S67" s="15">
        <f t="shared" si="0"/>
        <v>390</v>
      </c>
      <c r="T67" s="15">
        <v>0</v>
      </c>
      <c r="U67" s="17">
        <v>65</v>
      </c>
      <c r="V67" s="17" t="s">
        <v>139</v>
      </c>
      <c r="W67" s="18" t="s">
        <v>140</v>
      </c>
      <c r="X67" s="16">
        <v>522</v>
      </c>
      <c r="Y67" s="16">
        <v>262</v>
      </c>
      <c r="Z67" s="16">
        <v>254</v>
      </c>
      <c r="AA67" s="16">
        <f t="shared" si="1"/>
        <v>178</v>
      </c>
      <c r="AB67" s="19">
        <f t="shared" si="2"/>
        <v>74.712643678160916</v>
      </c>
    </row>
    <row r="68" spans="1:28" ht="37.5" customHeight="1" x14ac:dyDescent="0.25">
      <c r="A68" s="15">
        <v>66</v>
      </c>
      <c r="B68" s="15">
        <v>207</v>
      </c>
      <c r="C68" s="15">
        <v>170</v>
      </c>
      <c r="D68" s="15">
        <v>71</v>
      </c>
      <c r="E68" s="15">
        <v>1</v>
      </c>
      <c r="F68" s="15">
        <v>1</v>
      </c>
      <c r="G68" s="15">
        <v>0</v>
      </c>
      <c r="H68" s="15">
        <v>0</v>
      </c>
      <c r="I68" s="15">
        <v>1</v>
      </c>
      <c r="J68" s="15">
        <v>0</v>
      </c>
      <c r="K68" s="15">
        <v>0</v>
      </c>
      <c r="L68" s="15">
        <v>1</v>
      </c>
      <c r="M68" s="15">
        <v>0</v>
      </c>
      <c r="N68" s="15">
        <v>1</v>
      </c>
      <c r="O68" s="15">
        <v>0</v>
      </c>
      <c r="P68" s="15">
        <v>453</v>
      </c>
      <c r="Q68" s="16">
        <v>0</v>
      </c>
      <c r="R68" s="15">
        <v>3</v>
      </c>
      <c r="S68" s="15">
        <f t="shared" ref="S68:S131" si="3">SUM(P68:R68)</f>
        <v>456</v>
      </c>
      <c r="T68" s="15">
        <v>0</v>
      </c>
      <c r="U68" s="17">
        <v>66</v>
      </c>
      <c r="V68" s="17" t="s">
        <v>141</v>
      </c>
      <c r="W68" s="18" t="s">
        <v>142</v>
      </c>
      <c r="X68" s="16">
        <v>546</v>
      </c>
      <c r="Y68" s="16">
        <v>288</v>
      </c>
      <c r="Z68" s="16">
        <v>257</v>
      </c>
      <c r="AA68" s="16">
        <f t="shared" ref="AA68:AA131" si="4">MAX(B68,C68)-MIN(B68,C68)</f>
        <v>37</v>
      </c>
      <c r="AB68" s="19">
        <f t="shared" ref="AB68:AB131" si="5">(S68/X68)*100</f>
        <v>83.516483516483518</v>
      </c>
    </row>
    <row r="69" spans="1:28" ht="37.5" customHeight="1" x14ac:dyDescent="0.25">
      <c r="A69" s="20">
        <v>67</v>
      </c>
      <c r="B69" s="20">
        <v>196</v>
      </c>
      <c r="C69" s="20">
        <v>397</v>
      </c>
      <c r="D69" s="20">
        <v>77</v>
      </c>
      <c r="E69" s="20">
        <v>3</v>
      </c>
      <c r="F69" s="20">
        <v>4</v>
      </c>
      <c r="G69" s="20">
        <v>1</v>
      </c>
      <c r="H69" s="20">
        <v>2</v>
      </c>
      <c r="I69" s="20">
        <v>2</v>
      </c>
      <c r="J69" s="20">
        <v>1</v>
      </c>
      <c r="K69" s="20">
        <v>1</v>
      </c>
      <c r="L69" s="20">
        <v>7</v>
      </c>
      <c r="M69" s="20">
        <v>4</v>
      </c>
      <c r="N69" s="20">
        <v>5</v>
      </c>
      <c r="O69" s="20">
        <v>2</v>
      </c>
      <c r="P69" s="20">
        <v>702</v>
      </c>
      <c r="Q69" s="21">
        <v>0</v>
      </c>
      <c r="R69" s="20">
        <v>11</v>
      </c>
      <c r="S69" s="20">
        <f t="shared" si="3"/>
        <v>713</v>
      </c>
      <c r="T69" s="20">
        <v>0</v>
      </c>
      <c r="U69" s="22">
        <v>67</v>
      </c>
      <c r="V69" s="22" t="s">
        <v>143</v>
      </c>
      <c r="W69" s="23" t="s">
        <v>144</v>
      </c>
      <c r="X69" s="21">
        <v>873</v>
      </c>
      <c r="Y69" s="21">
        <v>460</v>
      </c>
      <c r="Z69" s="21">
        <v>407</v>
      </c>
      <c r="AA69" s="21">
        <f t="shared" si="4"/>
        <v>201</v>
      </c>
      <c r="AB69" s="24">
        <f t="shared" si="5"/>
        <v>81.672394043528058</v>
      </c>
    </row>
    <row r="70" spans="1:28" ht="37.5" customHeight="1" x14ac:dyDescent="0.25">
      <c r="A70" s="15">
        <v>68</v>
      </c>
      <c r="B70" s="15">
        <v>189</v>
      </c>
      <c r="C70" s="15">
        <v>164</v>
      </c>
      <c r="D70" s="15">
        <v>190</v>
      </c>
      <c r="E70" s="15">
        <v>5</v>
      </c>
      <c r="F70" s="15">
        <v>5</v>
      </c>
      <c r="G70" s="15">
        <v>2</v>
      </c>
      <c r="H70" s="15">
        <v>0</v>
      </c>
      <c r="I70" s="15">
        <v>1</v>
      </c>
      <c r="J70" s="15">
        <v>0</v>
      </c>
      <c r="K70" s="15">
        <v>0</v>
      </c>
      <c r="L70" s="15">
        <v>6</v>
      </c>
      <c r="M70" s="15">
        <v>1</v>
      </c>
      <c r="N70" s="15">
        <v>1</v>
      </c>
      <c r="O70" s="15">
        <v>1</v>
      </c>
      <c r="P70" s="15">
        <v>565</v>
      </c>
      <c r="Q70" s="16">
        <v>0</v>
      </c>
      <c r="R70" s="15">
        <v>4</v>
      </c>
      <c r="S70" s="15">
        <f t="shared" si="3"/>
        <v>569</v>
      </c>
      <c r="T70" s="15">
        <v>0</v>
      </c>
      <c r="U70" s="17">
        <v>68</v>
      </c>
      <c r="V70" s="17" t="s">
        <v>145</v>
      </c>
      <c r="W70" s="18" t="s">
        <v>146</v>
      </c>
      <c r="X70" s="16">
        <v>669</v>
      </c>
      <c r="Y70" s="16">
        <v>348</v>
      </c>
      <c r="Z70" s="16">
        <v>321</v>
      </c>
      <c r="AA70" s="16">
        <f t="shared" si="4"/>
        <v>25</v>
      </c>
      <c r="AB70" s="19">
        <f t="shared" si="5"/>
        <v>85.052316890881912</v>
      </c>
    </row>
    <row r="71" spans="1:28" ht="37.5" customHeight="1" x14ac:dyDescent="0.25">
      <c r="A71" s="15">
        <v>69</v>
      </c>
      <c r="B71" s="15">
        <v>352</v>
      </c>
      <c r="C71" s="15">
        <v>141</v>
      </c>
      <c r="D71" s="15">
        <v>46</v>
      </c>
      <c r="E71" s="15">
        <v>0</v>
      </c>
      <c r="F71" s="15">
        <v>1</v>
      </c>
      <c r="G71" s="15">
        <v>1</v>
      </c>
      <c r="H71" s="15">
        <v>2</v>
      </c>
      <c r="I71" s="15">
        <v>2</v>
      </c>
      <c r="J71" s="15">
        <v>0</v>
      </c>
      <c r="K71" s="15">
        <v>0</v>
      </c>
      <c r="L71" s="15">
        <v>2</v>
      </c>
      <c r="M71" s="15">
        <v>2</v>
      </c>
      <c r="N71" s="15">
        <v>1</v>
      </c>
      <c r="O71" s="15">
        <v>2</v>
      </c>
      <c r="P71" s="15">
        <v>552</v>
      </c>
      <c r="Q71" s="16">
        <v>0</v>
      </c>
      <c r="R71" s="15">
        <v>4</v>
      </c>
      <c r="S71" s="15">
        <f t="shared" si="3"/>
        <v>556</v>
      </c>
      <c r="T71" s="15">
        <v>0</v>
      </c>
      <c r="U71" s="17">
        <v>69</v>
      </c>
      <c r="V71" s="17" t="s">
        <v>147</v>
      </c>
      <c r="W71" s="18" t="s">
        <v>148</v>
      </c>
      <c r="X71" s="16">
        <v>681</v>
      </c>
      <c r="Y71" s="16">
        <v>355</v>
      </c>
      <c r="Z71" s="16">
        <v>317</v>
      </c>
      <c r="AA71" s="16">
        <f t="shared" si="4"/>
        <v>211</v>
      </c>
      <c r="AB71" s="19">
        <f t="shared" si="5"/>
        <v>81.644640234948611</v>
      </c>
    </row>
    <row r="72" spans="1:28" ht="37.5" customHeight="1" x14ac:dyDescent="0.25">
      <c r="A72" s="15">
        <v>70</v>
      </c>
      <c r="B72" s="15">
        <v>203</v>
      </c>
      <c r="C72" s="15">
        <v>183</v>
      </c>
      <c r="D72" s="15">
        <v>181</v>
      </c>
      <c r="E72" s="15">
        <v>4</v>
      </c>
      <c r="F72" s="15">
        <v>1</v>
      </c>
      <c r="G72" s="15">
        <v>0</v>
      </c>
      <c r="H72" s="15">
        <v>2</v>
      </c>
      <c r="I72" s="15">
        <v>3</v>
      </c>
      <c r="J72" s="15">
        <v>0</v>
      </c>
      <c r="K72" s="15">
        <v>1</v>
      </c>
      <c r="L72" s="15">
        <v>1</v>
      </c>
      <c r="M72" s="15">
        <v>1</v>
      </c>
      <c r="N72" s="15">
        <v>1</v>
      </c>
      <c r="O72" s="15">
        <v>2</v>
      </c>
      <c r="P72" s="15">
        <v>583</v>
      </c>
      <c r="Q72" s="16">
        <v>0</v>
      </c>
      <c r="R72" s="15">
        <v>9</v>
      </c>
      <c r="S72" s="15">
        <f t="shared" si="3"/>
        <v>592</v>
      </c>
      <c r="T72" s="15">
        <v>0</v>
      </c>
      <c r="U72" s="17">
        <v>70</v>
      </c>
      <c r="V72" s="17" t="s">
        <v>149</v>
      </c>
      <c r="W72" s="18" t="s">
        <v>150</v>
      </c>
      <c r="X72" s="16">
        <v>704</v>
      </c>
      <c r="Y72" s="16">
        <v>350</v>
      </c>
      <c r="Z72" s="16">
        <v>350</v>
      </c>
      <c r="AA72" s="16">
        <f t="shared" si="4"/>
        <v>20</v>
      </c>
      <c r="AB72" s="19">
        <f t="shared" si="5"/>
        <v>84.090909090909093</v>
      </c>
    </row>
    <row r="73" spans="1:28" ht="37.5" customHeight="1" x14ac:dyDescent="0.25">
      <c r="A73" s="15">
        <v>71</v>
      </c>
      <c r="B73" s="15">
        <v>243</v>
      </c>
      <c r="C73" s="15">
        <v>228</v>
      </c>
      <c r="D73" s="15">
        <v>95</v>
      </c>
      <c r="E73" s="15">
        <v>1</v>
      </c>
      <c r="F73" s="15">
        <v>3</v>
      </c>
      <c r="G73" s="15">
        <v>0</v>
      </c>
      <c r="H73" s="15">
        <v>6</v>
      </c>
      <c r="I73" s="15">
        <v>1</v>
      </c>
      <c r="J73" s="15">
        <v>0</v>
      </c>
      <c r="K73" s="15">
        <v>1</v>
      </c>
      <c r="L73" s="15">
        <v>2</v>
      </c>
      <c r="M73" s="15">
        <v>3</v>
      </c>
      <c r="N73" s="15">
        <v>2</v>
      </c>
      <c r="O73" s="15">
        <v>2</v>
      </c>
      <c r="P73" s="15">
        <v>587</v>
      </c>
      <c r="Q73" s="16">
        <v>0</v>
      </c>
      <c r="R73" s="15">
        <v>4</v>
      </c>
      <c r="S73" s="15">
        <f t="shared" si="3"/>
        <v>591</v>
      </c>
      <c r="T73" s="15">
        <v>0</v>
      </c>
      <c r="U73" s="17">
        <v>71</v>
      </c>
      <c r="V73" s="17" t="s">
        <v>151</v>
      </c>
      <c r="W73" s="18" t="s">
        <v>152</v>
      </c>
      <c r="X73" s="16">
        <v>695</v>
      </c>
      <c r="Y73" s="16">
        <v>350</v>
      </c>
      <c r="Z73" s="16">
        <v>341</v>
      </c>
      <c r="AA73" s="16">
        <f t="shared" si="4"/>
        <v>15</v>
      </c>
      <c r="AB73" s="19">
        <f t="shared" si="5"/>
        <v>85.035971223021576</v>
      </c>
    </row>
    <row r="74" spans="1:28" ht="37.5" customHeight="1" x14ac:dyDescent="0.25">
      <c r="A74" s="20">
        <v>72</v>
      </c>
      <c r="B74" s="20">
        <v>213</v>
      </c>
      <c r="C74" s="20">
        <v>361</v>
      </c>
      <c r="D74" s="20">
        <v>9</v>
      </c>
      <c r="E74" s="20">
        <v>1</v>
      </c>
      <c r="F74" s="20">
        <v>0</v>
      </c>
      <c r="G74" s="20">
        <v>1</v>
      </c>
      <c r="H74" s="20">
        <v>2</v>
      </c>
      <c r="I74" s="20">
        <v>0</v>
      </c>
      <c r="J74" s="20">
        <v>1</v>
      </c>
      <c r="K74" s="20">
        <v>3</v>
      </c>
      <c r="L74" s="20">
        <v>4</v>
      </c>
      <c r="M74" s="20">
        <v>1</v>
      </c>
      <c r="N74" s="20">
        <v>2</v>
      </c>
      <c r="O74" s="20">
        <v>2</v>
      </c>
      <c r="P74" s="20">
        <v>600</v>
      </c>
      <c r="Q74" s="21">
        <v>0</v>
      </c>
      <c r="R74" s="20">
        <v>7</v>
      </c>
      <c r="S74" s="20">
        <f t="shared" si="3"/>
        <v>607</v>
      </c>
      <c r="T74" s="20">
        <v>0</v>
      </c>
      <c r="U74" s="22">
        <v>72</v>
      </c>
      <c r="V74" s="22" t="s">
        <v>153</v>
      </c>
      <c r="W74" s="23" t="s">
        <v>154</v>
      </c>
      <c r="X74" s="21">
        <v>766</v>
      </c>
      <c r="Y74" s="21">
        <v>400</v>
      </c>
      <c r="Z74" s="21">
        <v>364</v>
      </c>
      <c r="AA74" s="21">
        <f t="shared" si="4"/>
        <v>148</v>
      </c>
      <c r="AB74" s="24">
        <f t="shared" si="5"/>
        <v>79.242819843342033</v>
      </c>
    </row>
    <row r="75" spans="1:28" ht="37.5" customHeight="1" x14ac:dyDescent="0.25">
      <c r="A75" s="20">
        <v>73</v>
      </c>
      <c r="B75" s="20">
        <v>113</v>
      </c>
      <c r="C75" s="20">
        <v>425</v>
      </c>
      <c r="D75" s="20">
        <v>53</v>
      </c>
      <c r="E75" s="20">
        <v>2</v>
      </c>
      <c r="F75" s="20">
        <v>1</v>
      </c>
      <c r="G75" s="20">
        <v>0</v>
      </c>
      <c r="H75" s="20">
        <v>3</v>
      </c>
      <c r="I75" s="20">
        <v>0</v>
      </c>
      <c r="J75" s="20">
        <v>2</v>
      </c>
      <c r="K75" s="20">
        <v>0</v>
      </c>
      <c r="L75" s="20">
        <v>2</v>
      </c>
      <c r="M75" s="20">
        <v>0</v>
      </c>
      <c r="N75" s="20">
        <v>1</v>
      </c>
      <c r="O75" s="20">
        <v>1</v>
      </c>
      <c r="P75" s="20">
        <v>603</v>
      </c>
      <c r="Q75" s="21">
        <v>0</v>
      </c>
      <c r="R75" s="20">
        <v>6</v>
      </c>
      <c r="S75" s="20">
        <f t="shared" si="3"/>
        <v>609</v>
      </c>
      <c r="T75" s="20">
        <v>0</v>
      </c>
      <c r="U75" s="22">
        <v>73</v>
      </c>
      <c r="V75" s="22" t="s">
        <v>155</v>
      </c>
      <c r="W75" s="23" t="s">
        <v>156</v>
      </c>
      <c r="X75" s="21">
        <v>714</v>
      </c>
      <c r="Y75" s="21">
        <v>375</v>
      </c>
      <c r="Z75" s="21">
        <v>334</v>
      </c>
      <c r="AA75" s="21">
        <f t="shared" si="4"/>
        <v>312</v>
      </c>
      <c r="AB75" s="24">
        <f t="shared" si="5"/>
        <v>85.294117647058826</v>
      </c>
    </row>
    <row r="76" spans="1:28" ht="37.5" customHeight="1" x14ac:dyDescent="0.25">
      <c r="A76" s="20">
        <v>74</v>
      </c>
      <c r="B76" s="20">
        <v>247</v>
      </c>
      <c r="C76" s="20">
        <v>419</v>
      </c>
      <c r="D76" s="20">
        <v>111</v>
      </c>
      <c r="E76" s="20">
        <v>2</v>
      </c>
      <c r="F76" s="20">
        <v>3</v>
      </c>
      <c r="G76" s="20">
        <v>2</v>
      </c>
      <c r="H76" s="20">
        <v>3</v>
      </c>
      <c r="I76" s="20">
        <v>1</v>
      </c>
      <c r="J76" s="20">
        <v>1</v>
      </c>
      <c r="K76" s="20">
        <v>0</v>
      </c>
      <c r="L76" s="20">
        <v>5</v>
      </c>
      <c r="M76" s="20">
        <v>1</v>
      </c>
      <c r="N76" s="20">
        <v>1</v>
      </c>
      <c r="O76" s="20">
        <v>6</v>
      </c>
      <c r="P76" s="20">
        <v>802</v>
      </c>
      <c r="Q76" s="21">
        <v>0</v>
      </c>
      <c r="R76" s="20">
        <v>6</v>
      </c>
      <c r="S76" s="20">
        <f t="shared" si="3"/>
        <v>808</v>
      </c>
      <c r="T76" s="20">
        <v>0</v>
      </c>
      <c r="U76" s="22">
        <v>74</v>
      </c>
      <c r="V76" s="22" t="s">
        <v>157</v>
      </c>
      <c r="W76" s="23" t="s">
        <v>158</v>
      </c>
      <c r="X76" s="21">
        <v>1019</v>
      </c>
      <c r="Y76" s="21">
        <v>533</v>
      </c>
      <c r="Z76" s="21">
        <v>483</v>
      </c>
      <c r="AA76" s="21">
        <f t="shared" si="4"/>
        <v>172</v>
      </c>
      <c r="AB76" s="24">
        <f t="shared" si="5"/>
        <v>79.29342492639843</v>
      </c>
    </row>
    <row r="77" spans="1:28" ht="37.5" customHeight="1" x14ac:dyDescent="0.25">
      <c r="A77" s="20">
        <v>75</v>
      </c>
      <c r="B77" s="20">
        <v>167</v>
      </c>
      <c r="C77" s="20">
        <v>318</v>
      </c>
      <c r="D77" s="20">
        <v>168</v>
      </c>
      <c r="E77" s="20">
        <v>2</v>
      </c>
      <c r="F77" s="20">
        <v>0</v>
      </c>
      <c r="G77" s="20">
        <v>0</v>
      </c>
      <c r="H77" s="20">
        <v>2</v>
      </c>
      <c r="I77" s="20">
        <v>0</v>
      </c>
      <c r="J77" s="20">
        <v>0</v>
      </c>
      <c r="K77" s="20">
        <v>1</v>
      </c>
      <c r="L77" s="20">
        <v>1</v>
      </c>
      <c r="M77" s="20">
        <v>0</v>
      </c>
      <c r="N77" s="20">
        <v>4</v>
      </c>
      <c r="O77" s="20">
        <v>1</v>
      </c>
      <c r="P77" s="20">
        <v>664</v>
      </c>
      <c r="Q77" s="21">
        <v>0</v>
      </c>
      <c r="R77" s="20">
        <v>5</v>
      </c>
      <c r="S77" s="20">
        <f t="shared" si="3"/>
        <v>669</v>
      </c>
      <c r="T77" s="20">
        <v>0</v>
      </c>
      <c r="U77" s="22">
        <v>75</v>
      </c>
      <c r="V77" s="22" t="s">
        <v>159</v>
      </c>
      <c r="W77" s="23" t="s">
        <v>160</v>
      </c>
      <c r="X77" s="21">
        <v>786</v>
      </c>
      <c r="Y77" s="21">
        <v>411</v>
      </c>
      <c r="Z77" s="21">
        <v>371</v>
      </c>
      <c r="AA77" s="21">
        <f t="shared" si="4"/>
        <v>151</v>
      </c>
      <c r="AB77" s="24">
        <f t="shared" si="5"/>
        <v>85.114503816793899</v>
      </c>
    </row>
    <row r="78" spans="1:28" ht="37.5" customHeight="1" x14ac:dyDescent="0.25">
      <c r="A78" s="20">
        <v>76</v>
      </c>
      <c r="B78" s="20">
        <v>223</v>
      </c>
      <c r="C78" s="20">
        <v>326</v>
      </c>
      <c r="D78" s="20">
        <v>48</v>
      </c>
      <c r="E78" s="20">
        <v>1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2</v>
      </c>
      <c r="M78" s="20">
        <v>0</v>
      </c>
      <c r="N78" s="20">
        <v>1</v>
      </c>
      <c r="O78" s="20">
        <v>2</v>
      </c>
      <c r="P78" s="20">
        <v>603</v>
      </c>
      <c r="Q78" s="21">
        <v>0</v>
      </c>
      <c r="R78" s="20">
        <v>4</v>
      </c>
      <c r="S78" s="20">
        <f t="shared" si="3"/>
        <v>607</v>
      </c>
      <c r="T78" s="20">
        <v>0</v>
      </c>
      <c r="U78" s="22">
        <v>76</v>
      </c>
      <c r="V78" s="22" t="s">
        <v>161</v>
      </c>
      <c r="W78" s="23" t="s">
        <v>162</v>
      </c>
      <c r="X78" s="21">
        <v>721</v>
      </c>
      <c r="Y78" s="21">
        <v>368</v>
      </c>
      <c r="Z78" s="21">
        <v>348</v>
      </c>
      <c r="AA78" s="21">
        <f t="shared" si="4"/>
        <v>103</v>
      </c>
      <c r="AB78" s="24">
        <f t="shared" si="5"/>
        <v>84.188626907073498</v>
      </c>
    </row>
    <row r="79" spans="1:28" ht="37.5" customHeight="1" x14ac:dyDescent="0.25">
      <c r="A79" s="20">
        <v>77</v>
      </c>
      <c r="B79" s="20">
        <v>53</v>
      </c>
      <c r="C79" s="20">
        <v>308</v>
      </c>
      <c r="D79" s="20">
        <v>1</v>
      </c>
      <c r="E79" s="20">
        <v>1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1</v>
      </c>
      <c r="O79" s="20">
        <v>0</v>
      </c>
      <c r="P79" s="20">
        <v>364</v>
      </c>
      <c r="Q79" s="21">
        <v>0</v>
      </c>
      <c r="R79" s="20">
        <v>0</v>
      </c>
      <c r="S79" s="20">
        <f t="shared" si="3"/>
        <v>364</v>
      </c>
      <c r="T79" s="20">
        <v>0</v>
      </c>
      <c r="U79" s="22">
        <v>77</v>
      </c>
      <c r="V79" s="22" t="s">
        <v>163</v>
      </c>
      <c r="W79" s="23" t="s">
        <v>164</v>
      </c>
      <c r="X79" s="21">
        <v>369</v>
      </c>
      <c r="Y79" s="21">
        <v>190</v>
      </c>
      <c r="Z79" s="21">
        <v>178</v>
      </c>
      <c r="AA79" s="21">
        <f t="shared" si="4"/>
        <v>255</v>
      </c>
      <c r="AB79" s="24">
        <f t="shared" si="5"/>
        <v>98.644986449864504</v>
      </c>
    </row>
    <row r="80" spans="1:28" ht="37.5" customHeight="1" x14ac:dyDescent="0.25">
      <c r="A80" s="20">
        <v>78</v>
      </c>
      <c r="B80" s="20">
        <v>203</v>
      </c>
      <c r="C80" s="20">
        <v>237</v>
      </c>
      <c r="D80" s="20">
        <v>127</v>
      </c>
      <c r="E80" s="20">
        <v>4</v>
      </c>
      <c r="F80" s="20">
        <v>0</v>
      </c>
      <c r="G80" s="20">
        <v>0</v>
      </c>
      <c r="H80" s="20">
        <v>0</v>
      </c>
      <c r="I80" s="20">
        <v>1</v>
      </c>
      <c r="J80" s="20">
        <v>0</v>
      </c>
      <c r="K80" s="20">
        <v>12</v>
      </c>
      <c r="L80" s="20">
        <v>0</v>
      </c>
      <c r="M80" s="20">
        <v>1</v>
      </c>
      <c r="N80" s="20">
        <v>1</v>
      </c>
      <c r="O80" s="20">
        <v>0</v>
      </c>
      <c r="P80" s="20">
        <v>586</v>
      </c>
      <c r="Q80" s="21">
        <v>0</v>
      </c>
      <c r="R80" s="20">
        <v>3</v>
      </c>
      <c r="S80" s="20">
        <f t="shared" si="3"/>
        <v>589</v>
      </c>
      <c r="T80" s="20">
        <v>0</v>
      </c>
      <c r="U80" s="22">
        <v>78</v>
      </c>
      <c r="V80" s="22" t="s">
        <v>165</v>
      </c>
      <c r="W80" s="23" t="s">
        <v>166</v>
      </c>
      <c r="X80" s="21">
        <v>702</v>
      </c>
      <c r="Y80" s="21">
        <v>370</v>
      </c>
      <c r="Z80" s="21">
        <v>328</v>
      </c>
      <c r="AA80" s="21">
        <f t="shared" si="4"/>
        <v>34</v>
      </c>
      <c r="AB80" s="24">
        <f t="shared" si="5"/>
        <v>83.903133903133906</v>
      </c>
    </row>
    <row r="81" spans="1:28" ht="37.5" customHeight="1" x14ac:dyDescent="0.25">
      <c r="A81" s="15">
        <v>79</v>
      </c>
      <c r="B81" s="15">
        <v>190</v>
      </c>
      <c r="C81" s="15">
        <v>173</v>
      </c>
      <c r="D81" s="15">
        <v>23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  <c r="J81" s="15">
        <v>0</v>
      </c>
      <c r="K81" s="15">
        <v>1</v>
      </c>
      <c r="L81" s="15">
        <v>0</v>
      </c>
      <c r="M81" s="15">
        <v>5</v>
      </c>
      <c r="N81" s="15">
        <v>1</v>
      </c>
      <c r="O81" s="15">
        <v>1</v>
      </c>
      <c r="P81" s="15">
        <v>395</v>
      </c>
      <c r="Q81" s="16">
        <v>0</v>
      </c>
      <c r="R81" s="15">
        <v>0</v>
      </c>
      <c r="S81" s="15">
        <f t="shared" si="3"/>
        <v>395</v>
      </c>
      <c r="T81" s="15">
        <v>0</v>
      </c>
      <c r="U81" s="17">
        <v>79</v>
      </c>
      <c r="V81" s="17" t="s">
        <v>167</v>
      </c>
      <c r="W81" s="18" t="s">
        <v>168</v>
      </c>
      <c r="X81" s="16">
        <v>430</v>
      </c>
      <c r="Y81" s="16">
        <v>222</v>
      </c>
      <c r="Z81" s="16">
        <v>208</v>
      </c>
      <c r="AA81" s="16">
        <f t="shared" si="4"/>
        <v>17</v>
      </c>
      <c r="AB81" s="19">
        <f t="shared" si="5"/>
        <v>91.860465116279073</v>
      </c>
    </row>
    <row r="82" spans="1:28" ht="37.5" customHeight="1" x14ac:dyDescent="0.25">
      <c r="A82" s="20">
        <v>80</v>
      </c>
      <c r="B82" s="20">
        <v>304</v>
      </c>
      <c r="C82" s="20">
        <v>526</v>
      </c>
      <c r="D82" s="20">
        <v>17</v>
      </c>
      <c r="E82" s="20">
        <v>0</v>
      </c>
      <c r="F82" s="20">
        <v>0</v>
      </c>
      <c r="G82" s="20">
        <v>0</v>
      </c>
      <c r="H82" s="20">
        <v>1</v>
      </c>
      <c r="I82" s="20">
        <v>1</v>
      </c>
      <c r="J82" s="20">
        <v>0</v>
      </c>
      <c r="K82" s="20">
        <v>0</v>
      </c>
      <c r="L82" s="20">
        <v>2</v>
      </c>
      <c r="M82" s="20">
        <v>1</v>
      </c>
      <c r="N82" s="20">
        <v>0</v>
      </c>
      <c r="O82" s="20">
        <v>0</v>
      </c>
      <c r="P82" s="20">
        <v>852</v>
      </c>
      <c r="Q82" s="21">
        <v>0</v>
      </c>
      <c r="R82" s="20">
        <v>2</v>
      </c>
      <c r="S82" s="20">
        <f t="shared" si="3"/>
        <v>854</v>
      </c>
      <c r="T82" s="20">
        <v>0</v>
      </c>
      <c r="U82" s="22">
        <v>80</v>
      </c>
      <c r="V82" s="22" t="s">
        <v>169</v>
      </c>
      <c r="W82" s="23" t="s">
        <v>170</v>
      </c>
      <c r="X82" s="21">
        <v>1042</v>
      </c>
      <c r="Y82" s="21">
        <v>553</v>
      </c>
      <c r="Z82" s="21">
        <v>489</v>
      </c>
      <c r="AA82" s="21">
        <f t="shared" si="4"/>
        <v>222</v>
      </c>
      <c r="AB82" s="24">
        <f t="shared" si="5"/>
        <v>81.95777351247601</v>
      </c>
    </row>
    <row r="83" spans="1:28" ht="37.5" customHeight="1" x14ac:dyDescent="0.25">
      <c r="A83" s="20">
        <v>81</v>
      </c>
      <c r="B83" s="20">
        <v>315</v>
      </c>
      <c r="C83" s="20">
        <v>444</v>
      </c>
      <c r="D83" s="20">
        <v>23</v>
      </c>
      <c r="E83" s="20">
        <v>1</v>
      </c>
      <c r="F83" s="20">
        <v>3</v>
      </c>
      <c r="G83" s="20">
        <v>0</v>
      </c>
      <c r="H83" s="20">
        <v>1</v>
      </c>
      <c r="I83" s="20">
        <v>1</v>
      </c>
      <c r="J83" s="20">
        <v>0</v>
      </c>
      <c r="K83" s="20">
        <v>1</v>
      </c>
      <c r="L83" s="20">
        <v>4</v>
      </c>
      <c r="M83" s="20">
        <v>2</v>
      </c>
      <c r="N83" s="20">
        <v>0</v>
      </c>
      <c r="O83" s="20">
        <v>0</v>
      </c>
      <c r="P83" s="20">
        <v>795</v>
      </c>
      <c r="Q83" s="21">
        <v>0</v>
      </c>
      <c r="R83" s="20">
        <v>5</v>
      </c>
      <c r="S83" s="20">
        <f t="shared" si="3"/>
        <v>800</v>
      </c>
      <c r="T83" s="20">
        <v>0</v>
      </c>
      <c r="U83" s="22">
        <v>81</v>
      </c>
      <c r="V83" s="22" t="s">
        <v>171</v>
      </c>
      <c r="W83" s="23" t="s">
        <v>172</v>
      </c>
      <c r="X83" s="21">
        <v>982</v>
      </c>
      <c r="Y83" s="21">
        <v>507</v>
      </c>
      <c r="Z83" s="21">
        <v>471</v>
      </c>
      <c r="AA83" s="21">
        <f t="shared" si="4"/>
        <v>129</v>
      </c>
      <c r="AB83" s="24">
        <f t="shared" si="5"/>
        <v>81.466395112016301</v>
      </c>
    </row>
    <row r="84" spans="1:28" ht="37.5" customHeight="1" x14ac:dyDescent="0.25">
      <c r="A84" s="15">
        <v>82</v>
      </c>
      <c r="B84" s="15">
        <v>339</v>
      </c>
      <c r="C84" s="15">
        <v>200</v>
      </c>
      <c r="D84" s="15">
        <v>105</v>
      </c>
      <c r="E84" s="15">
        <v>2</v>
      </c>
      <c r="F84" s="15">
        <v>0</v>
      </c>
      <c r="G84" s="15">
        <v>2</v>
      </c>
      <c r="H84" s="15">
        <v>1</v>
      </c>
      <c r="I84" s="15">
        <v>1</v>
      </c>
      <c r="J84" s="15">
        <v>0</v>
      </c>
      <c r="K84" s="15">
        <v>1</v>
      </c>
      <c r="L84" s="15">
        <v>0</v>
      </c>
      <c r="M84" s="15">
        <v>5</v>
      </c>
      <c r="N84" s="15">
        <v>0</v>
      </c>
      <c r="O84" s="15">
        <v>0</v>
      </c>
      <c r="P84" s="15">
        <v>656</v>
      </c>
      <c r="Q84" s="16">
        <v>0</v>
      </c>
      <c r="R84" s="15">
        <v>6</v>
      </c>
      <c r="S84" s="15">
        <f t="shared" si="3"/>
        <v>662</v>
      </c>
      <c r="T84" s="15">
        <v>0</v>
      </c>
      <c r="U84" s="17">
        <v>82</v>
      </c>
      <c r="V84" s="17" t="s">
        <v>173</v>
      </c>
      <c r="W84" s="18" t="s">
        <v>174</v>
      </c>
      <c r="X84" s="16">
        <v>880</v>
      </c>
      <c r="Y84" s="16">
        <v>460</v>
      </c>
      <c r="Z84" s="16">
        <v>417</v>
      </c>
      <c r="AA84" s="16">
        <f t="shared" si="4"/>
        <v>139</v>
      </c>
      <c r="AB84" s="19">
        <f t="shared" si="5"/>
        <v>75.227272727272734</v>
      </c>
    </row>
    <row r="85" spans="1:28" ht="37.5" customHeight="1" x14ac:dyDescent="0.25">
      <c r="A85" s="20">
        <v>83</v>
      </c>
      <c r="B85" s="20">
        <v>125</v>
      </c>
      <c r="C85" s="20">
        <v>287</v>
      </c>
      <c r="D85" s="20">
        <v>282</v>
      </c>
      <c r="E85" s="20">
        <v>4</v>
      </c>
      <c r="F85" s="20">
        <v>0</v>
      </c>
      <c r="G85" s="20">
        <v>2</v>
      </c>
      <c r="H85" s="20">
        <v>2</v>
      </c>
      <c r="I85" s="20">
        <v>0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3</v>
      </c>
      <c r="P85" s="20">
        <v>710</v>
      </c>
      <c r="Q85" s="21">
        <v>0</v>
      </c>
      <c r="R85" s="20">
        <v>7</v>
      </c>
      <c r="S85" s="20">
        <f t="shared" si="3"/>
        <v>717</v>
      </c>
      <c r="T85" s="20">
        <v>0</v>
      </c>
      <c r="U85" s="22">
        <v>83</v>
      </c>
      <c r="V85" s="22" t="s">
        <v>175</v>
      </c>
      <c r="W85" s="23" t="s">
        <v>176</v>
      </c>
      <c r="X85" s="21">
        <v>892</v>
      </c>
      <c r="Y85" s="21">
        <v>468</v>
      </c>
      <c r="Z85" s="21">
        <v>424</v>
      </c>
      <c r="AA85" s="21">
        <f t="shared" si="4"/>
        <v>162</v>
      </c>
      <c r="AB85" s="24">
        <f t="shared" si="5"/>
        <v>80.381165919282509</v>
      </c>
    </row>
    <row r="86" spans="1:28" ht="37.5" customHeight="1" x14ac:dyDescent="0.25">
      <c r="A86" s="15">
        <v>84</v>
      </c>
      <c r="B86" s="15">
        <v>348</v>
      </c>
      <c r="C86" s="15">
        <v>220</v>
      </c>
      <c r="D86" s="15">
        <v>24</v>
      </c>
      <c r="E86" s="15">
        <v>0</v>
      </c>
      <c r="F86" s="15">
        <v>0</v>
      </c>
      <c r="G86" s="15">
        <v>0</v>
      </c>
      <c r="H86" s="15">
        <v>0</v>
      </c>
      <c r="I86" s="15">
        <v>1</v>
      </c>
      <c r="J86" s="15">
        <v>1</v>
      </c>
      <c r="K86" s="15">
        <v>1</v>
      </c>
      <c r="L86" s="15">
        <v>0</v>
      </c>
      <c r="M86" s="15">
        <v>1</v>
      </c>
      <c r="N86" s="15">
        <v>4</v>
      </c>
      <c r="O86" s="15">
        <v>1</v>
      </c>
      <c r="P86" s="15">
        <v>601</v>
      </c>
      <c r="Q86" s="16">
        <v>0</v>
      </c>
      <c r="R86" s="15">
        <v>3</v>
      </c>
      <c r="S86" s="15">
        <f t="shared" si="3"/>
        <v>604</v>
      </c>
      <c r="T86" s="15">
        <v>0</v>
      </c>
      <c r="U86" s="17">
        <v>84</v>
      </c>
      <c r="V86" s="17" t="s">
        <v>177</v>
      </c>
      <c r="W86" s="18" t="s">
        <v>178</v>
      </c>
      <c r="X86" s="16">
        <v>768</v>
      </c>
      <c r="Y86" s="16">
        <v>404</v>
      </c>
      <c r="Z86" s="16">
        <v>361</v>
      </c>
      <c r="AA86" s="16">
        <f t="shared" si="4"/>
        <v>128</v>
      </c>
      <c r="AB86" s="19">
        <f t="shared" si="5"/>
        <v>78.645833333333343</v>
      </c>
    </row>
    <row r="87" spans="1:28" ht="37.5" customHeight="1" x14ac:dyDescent="0.25">
      <c r="A87" s="15">
        <v>85</v>
      </c>
      <c r="B87" s="15">
        <v>189</v>
      </c>
      <c r="C87" s="15">
        <v>100</v>
      </c>
      <c r="D87" s="15">
        <v>41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1</v>
      </c>
      <c r="N87" s="15">
        <v>0</v>
      </c>
      <c r="O87" s="15">
        <v>2</v>
      </c>
      <c r="P87" s="15">
        <v>333</v>
      </c>
      <c r="Q87" s="16">
        <v>0</v>
      </c>
      <c r="R87" s="15">
        <v>3</v>
      </c>
      <c r="S87" s="15">
        <f t="shared" si="3"/>
        <v>336</v>
      </c>
      <c r="T87" s="15">
        <v>0</v>
      </c>
      <c r="U87" s="17">
        <v>85</v>
      </c>
      <c r="V87" s="17" t="s">
        <v>179</v>
      </c>
      <c r="W87" s="18" t="s">
        <v>180</v>
      </c>
      <c r="X87" s="16">
        <v>396</v>
      </c>
      <c r="Y87" s="16">
        <v>200</v>
      </c>
      <c r="Z87" s="16">
        <v>190</v>
      </c>
      <c r="AA87" s="16">
        <f t="shared" si="4"/>
        <v>89</v>
      </c>
      <c r="AB87" s="19">
        <f t="shared" si="5"/>
        <v>84.848484848484844</v>
      </c>
    </row>
    <row r="88" spans="1:28" ht="37.5" customHeight="1" x14ac:dyDescent="0.25">
      <c r="A88" s="15">
        <v>86</v>
      </c>
      <c r="B88" s="15">
        <v>169</v>
      </c>
      <c r="C88" s="15">
        <v>48</v>
      </c>
      <c r="D88" s="15">
        <v>37</v>
      </c>
      <c r="E88" s="15">
        <v>0</v>
      </c>
      <c r="F88" s="15">
        <v>4</v>
      </c>
      <c r="G88" s="15">
        <v>1</v>
      </c>
      <c r="H88" s="15">
        <v>1</v>
      </c>
      <c r="I88" s="15">
        <v>1</v>
      </c>
      <c r="J88" s="15">
        <v>0</v>
      </c>
      <c r="K88" s="15">
        <v>1</v>
      </c>
      <c r="L88" s="15">
        <v>1</v>
      </c>
      <c r="M88" s="15">
        <v>0</v>
      </c>
      <c r="N88" s="15">
        <v>0</v>
      </c>
      <c r="O88" s="15">
        <v>0</v>
      </c>
      <c r="P88" s="15">
        <v>263</v>
      </c>
      <c r="Q88" s="16">
        <v>0</v>
      </c>
      <c r="R88" s="15">
        <v>6</v>
      </c>
      <c r="S88" s="15">
        <f t="shared" si="3"/>
        <v>269</v>
      </c>
      <c r="T88" s="15">
        <v>0</v>
      </c>
      <c r="U88" s="17">
        <v>86</v>
      </c>
      <c r="V88" s="17" t="s">
        <v>181</v>
      </c>
      <c r="W88" s="18" t="s">
        <v>182</v>
      </c>
      <c r="X88" s="16">
        <v>303</v>
      </c>
      <c r="Y88" s="16">
        <v>163</v>
      </c>
      <c r="Z88" s="16">
        <v>140</v>
      </c>
      <c r="AA88" s="16">
        <f t="shared" si="4"/>
        <v>121</v>
      </c>
      <c r="AB88" s="19">
        <f t="shared" si="5"/>
        <v>88.778877887788781</v>
      </c>
    </row>
    <row r="89" spans="1:28" ht="37.5" customHeight="1" x14ac:dyDescent="0.25">
      <c r="A89" s="15">
        <v>87</v>
      </c>
      <c r="B89" s="15">
        <v>240</v>
      </c>
      <c r="C89" s="15">
        <v>24</v>
      </c>
      <c r="D89" s="15">
        <v>4</v>
      </c>
      <c r="E89" s="15">
        <v>0</v>
      </c>
      <c r="F89" s="15">
        <v>0</v>
      </c>
      <c r="G89" s="15">
        <v>0</v>
      </c>
      <c r="H89" s="15">
        <v>1</v>
      </c>
      <c r="I89" s="15">
        <v>1</v>
      </c>
      <c r="J89" s="15">
        <v>0</v>
      </c>
      <c r="K89" s="15">
        <v>0</v>
      </c>
      <c r="L89" s="15">
        <v>2</v>
      </c>
      <c r="M89" s="15">
        <v>1</v>
      </c>
      <c r="N89" s="15">
        <v>0</v>
      </c>
      <c r="O89" s="15">
        <v>1</v>
      </c>
      <c r="P89" s="15">
        <v>274</v>
      </c>
      <c r="Q89" s="16">
        <v>0</v>
      </c>
      <c r="R89" s="15">
        <v>11</v>
      </c>
      <c r="S89" s="15">
        <f t="shared" si="3"/>
        <v>285</v>
      </c>
      <c r="T89" s="15">
        <v>0</v>
      </c>
      <c r="U89" s="17">
        <v>87</v>
      </c>
      <c r="V89" s="17" t="s">
        <v>183</v>
      </c>
      <c r="W89" s="18" t="s">
        <v>184</v>
      </c>
      <c r="X89" s="16">
        <v>291</v>
      </c>
      <c r="Y89" s="16">
        <v>147</v>
      </c>
      <c r="Z89" s="16">
        <v>144</v>
      </c>
      <c r="AA89" s="16">
        <f t="shared" si="4"/>
        <v>216</v>
      </c>
      <c r="AB89" s="19">
        <f t="shared" si="5"/>
        <v>97.9381443298969</v>
      </c>
    </row>
    <row r="90" spans="1:28" ht="37.5" customHeight="1" x14ac:dyDescent="0.25">
      <c r="A90" s="20">
        <v>88</v>
      </c>
      <c r="B90" s="20">
        <v>108</v>
      </c>
      <c r="C90" s="20">
        <v>648</v>
      </c>
      <c r="D90" s="20">
        <v>72</v>
      </c>
      <c r="E90" s="20">
        <v>10</v>
      </c>
      <c r="F90" s="20">
        <v>2</v>
      </c>
      <c r="G90" s="20">
        <v>0</v>
      </c>
      <c r="H90" s="20">
        <v>2</v>
      </c>
      <c r="I90" s="20">
        <v>1</v>
      </c>
      <c r="J90" s="20">
        <v>2</v>
      </c>
      <c r="K90" s="20">
        <v>0</v>
      </c>
      <c r="L90" s="20">
        <v>3</v>
      </c>
      <c r="M90" s="20">
        <v>4</v>
      </c>
      <c r="N90" s="20">
        <v>1</v>
      </c>
      <c r="O90" s="20">
        <v>4</v>
      </c>
      <c r="P90" s="20">
        <v>857</v>
      </c>
      <c r="Q90" s="21">
        <v>0</v>
      </c>
      <c r="R90" s="20">
        <v>3</v>
      </c>
      <c r="S90" s="20">
        <f t="shared" si="3"/>
        <v>860</v>
      </c>
      <c r="T90" s="20">
        <v>0</v>
      </c>
      <c r="U90" s="22">
        <v>88</v>
      </c>
      <c r="V90" s="22" t="s">
        <v>185</v>
      </c>
      <c r="W90" s="23" t="s">
        <v>186</v>
      </c>
      <c r="X90" s="21">
        <v>1031</v>
      </c>
      <c r="Y90" s="21">
        <v>541</v>
      </c>
      <c r="Z90" s="21">
        <v>489</v>
      </c>
      <c r="AA90" s="21">
        <f t="shared" si="4"/>
        <v>540</v>
      </c>
      <c r="AB90" s="24">
        <f t="shared" si="5"/>
        <v>83.414161008729394</v>
      </c>
    </row>
    <row r="91" spans="1:28" ht="37.5" customHeight="1" x14ac:dyDescent="0.25">
      <c r="A91" s="15">
        <v>89</v>
      </c>
      <c r="B91" s="15">
        <v>242</v>
      </c>
      <c r="C91" s="15">
        <v>240</v>
      </c>
      <c r="D91" s="15">
        <v>39</v>
      </c>
      <c r="E91" s="15">
        <v>1</v>
      </c>
      <c r="F91" s="15">
        <v>2</v>
      </c>
      <c r="G91" s="15">
        <v>0</v>
      </c>
      <c r="H91" s="15">
        <v>1</v>
      </c>
      <c r="I91" s="15">
        <v>1</v>
      </c>
      <c r="J91" s="15">
        <v>0</v>
      </c>
      <c r="K91" s="15">
        <v>4</v>
      </c>
      <c r="L91" s="15">
        <v>4</v>
      </c>
      <c r="M91" s="15">
        <v>1</v>
      </c>
      <c r="N91" s="15">
        <v>0</v>
      </c>
      <c r="O91" s="15">
        <v>0</v>
      </c>
      <c r="P91" s="15">
        <v>535</v>
      </c>
      <c r="Q91" s="16">
        <v>0</v>
      </c>
      <c r="R91" s="15">
        <v>1</v>
      </c>
      <c r="S91" s="15">
        <f t="shared" si="3"/>
        <v>536</v>
      </c>
      <c r="T91" s="15">
        <v>0</v>
      </c>
      <c r="U91" s="17">
        <v>89</v>
      </c>
      <c r="V91" s="17" t="s">
        <v>187</v>
      </c>
      <c r="W91" s="18" t="s">
        <v>188</v>
      </c>
      <c r="X91" s="16">
        <v>637</v>
      </c>
      <c r="Y91" s="16">
        <v>341</v>
      </c>
      <c r="Z91" s="16">
        <v>296</v>
      </c>
      <c r="AA91" s="16">
        <f t="shared" si="4"/>
        <v>2</v>
      </c>
      <c r="AB91" s="19">
        <f t="shared" si="5"/>
        <v>84.144427001569852</v>
      </c>
    </row>
    <row r="92" spans="1:28" ht="37.5" customHeight="1" x14ac:dyDescent="0.25">
      <c r="A92" s="20">
        <v>90</v>
      </c>
      <c r="B92" s="20">
        <v>336</v>
      </c>
      <c r="C92" s="20">
        <v>474</v>
      </c>
      <c r="D92" s="20">
        <v>16</v>
      </c>
      <c r="E92" s="20">
        <v>5</v>
      </c>
      <c r="F92" s="20">
        <v>1</v>
      </c>
      <c r="G92" s="20">
        <v>2</v>
      </c>
      <c r="H92" s="20">
        <v>2</v>
      </c>
      <c r="I92" s="20">
        <v>1</v>
      </c>
      <c r="J92" s="20">
        <v>0</v>
      </c>
      <c r="K92" s="20">
        <v>3</v>
      </c>
      <c r="L92" s="20">
        <v>4</v>
      </c>
      <c r="M92" s="20">
        <v>6</v>
      </c>
      <c r="N92" s="20">
        <v>8</v>
      </c>
      <c r="O92" s="20">
        <v>4</v>
      </c>
      <c r="P92" s="20">
        <v>862</v>
      </c>
      <c r="Q92" s="21">
        <v>0</v>
      </c>
      <c r="R92" s="20">
        <v>26</v>
      </c>
      <c r="S92" s="20">
        <f t="shared" si="3"/>
        <v>888</v>
      </c>
      <c r="T92" s="20">
        <v>0</v>
      </c>
      <c r="U92" s="22">
        <v>90</v>
      </c>
      <c r="V92" s="22" t="s">
        <v>189</v>
      </c>
      <c r="W92" s="23" t="s">
        <v>190</v>
      </c>
      <c r="X92" s="21">
        <v>1161</v>
      </c>
      <c r="Y92" s="21">
        <v>594</v>
      </c>
      <c r="Z92" s="21">
        <v>567</v>
      </c>
      <c r="AA92" s="21">
        <f t="shared" si="4"/>
        <v>138</v>
      </c>
      <c r="AB92" s="24">
        <f t="shared" si="5"/>
        <v>76.485788113695079</v>
      </c>
    </row>
    <row r="93" spans="1:28" ht="37.5" customHeight="1" x14ac:dyDescent="0.25">
      <c r="A93" s="20">
        <v>91</v>
      </c>
      <c r="B93" s="20">
        <v>274</v>
      </c>
      <c r="C93" s="20">
        <v>459</v>
      </c>
      <c r="D93" s="20">
        <v>143</v>
      </c>
      <c r="E93" s="21">
        <v>18</v>
      </c>
      <c r="F93" s="20">
        <v>1</v>
      </c>
      <c r="G93" s="20">
        <v>0</v>
      </c>
      <c r="H93" s="20">
        <v>1</v>
      </c>
      <c r="I93" s="20">
        <v>2</v>
      </c>
      <c r="J93" s="20">
        <v>0</v>
      </c>
      <c r="K93" s="20">
        <v>0</v>
      </c>
      <c r="L93" s="20">
        <v>4</v>
      </c>
      <c r="M93" s="20">
        <v>2</v>
      </c>
      <c r="N93" s="20">
        <v>3</v>
      </c>
      <c r="O93" s="20">
        <v>10</v>
      </c>
      <c r="P93" s="20">
        <v>917</v>
      </c>
      <c r="Q93" s="21">
        <v>0</v>
      </c>
      <c r="R93" s="20">
        <v>8</v>
      </c>
      <c r="S93" s="20">
        <f t="shared" si="3"/>
        <v>925</v>
      </c>
      <c r="T93" s="20">
        <v>0</v>
      </c>
      <c r="U93" s="22">
        <v>91</v>
      </c>
      <c r="V93" s="22" t="s">
        <v>191</v>
      </c>
      <c r="W93" s="23" t="s">
        <v>192</v>
      </c>
      <c r="X93" s="21">
        <v>1068</v>
      </c>
      <c r="Y93" s="21">
        <v>555</v>
      </c>
      <c r="Z93" s="21">
        <v>513</v>
      </c>
      <c r="AA93" s="21">
        <f t="shared" si="4"/>
        <v>185</v>
      </c>
      <c r="AB93" s="24">
        <f t="shared" si="5"/>
        <v>86.610486891385762</v>
      </c>
    </row>
    <row r="94" spans="1:28" ht="37.5" customHeight="1" x14ac:dyDescent="0.25">
      <c r="A94" s="20">
        <v>92</v>
      </c>
      <c r="B94" s="20">
        <v>326</v>
      </c>
      <c r="C94" s="20">
        <v>354</v>
      </c>
      <c r="D94" s="20">
        <v>22</v>
      </c>
      <c r="E94" s="20">
        <v>1</v>
      </c>
      <c r="F94" s="20">
        <v>0</v>
      </c>
      <c r="G94" s="20">
        <v>1</v>
      </c>
      <c r="H94" s="20">
        <v>0</v>
      </c>
      <c r="I94" s="20">
        <v>0</v>
      </c>
      <c r="J94" s="20">
        <v>1</v>
      </c>
      <c r="K94" s="20">
        <v>1</v>
      </c>
      <c r="L94" s="20">
        <v>3</v>
      </c>
      <c r="M94" s="20">
        <v>4</v>
      </c>
      <c r="N94" s="20">
        <v>0</v>
      </c>
      <c r="O94" s="20">
        <v>0</v>
      </c>
      <c r="P94" s="20">
        <v>713</v>
      </c>
      <c r="Q94" s="21">
        <v>0</v>
      </c>
      <c r="R94" s="20">
        <v>7</v>
      </c>
      <c r="S94" s="20">
        <f t="shared" si="3"/>
        <v>720</v>
      </c>
      <c r="T94" s="20">
        <v>0</v>
      </c>
      <c r="U94" s="22">
        <v>92</v>
      </c>
      <c r="V94" s="22" t="s">
        <v>191</v>
      </c>
      <c r="W94" s="23" t="s">
        <v>193</v>
      </c>
      <c r="X94" s="21">
        <v>887</v>
      </c>
      <c r="Y94" s="21">
        <v>453</v>
      </c>
      <c r="Z94" s="21">
        <v>434</v>
      </c>
      <c r="AA94" s="21">
        <f t="shared" si="4"/>
        <v>28</v>
      </c>
      <c r="AB94" s="24">
        <f t="shared" si="5"/>
        <v>81.172491544532136</v>
      </c>
    </row>
    <row r="95" spans="1:28" ht="37.5" customHeight="1" x14ac:dyDescent="0.25">
      <c r="A95" s="20">
        <v>93</v>
      </c>
      <c r="B95" s="20">
        <v>260</v>
      </c>
      <c r="C95" s="20">
        <v>523</v>
      </c>
      <c r="D95" s="20">
        <v>13</v>
      </c>
      <c r="E95" s="20">
        <v>3</v>
      </c>
      <c r="F95" s="20">
        <v>0</v>
      </c>
      <c r="G95" s="20">
        <v>0</v>
      </c>
      <c r="H95" s="20">
        <v>2</v>
      </c>
      <c r="I95" s="20">
        <v>2</v>
      </c>
      <c r="J95" s="20">
        <v>3</v>
      </c>
      <c r="K95" s="20">
        <v>0</v>
      </c>
      <c r="L95" s="20">
        <v>5</v>
      </c>
      <c r="M95" s="20">
        <v>3</v>
      </c>
      <c r="N95" s="20">
        <v>3</v>
      </c>
      <c r="O95" s="20">
        <v>5</v>
      </c>
      <c r="P95" s="20">
        <v>822</v>
      </c>
      <c r="Q95" s="21">
        <v>0</v>
      </c>
      <c r="R95" s="20">
        <v>7</v>
      </c>
      <c r="S95" s="20">
        <f t="shared" si="3"/>
        <v>829</v>
      </c>
      <c r="T95" s="20">
        <v>0</v>
      </c>
      <c r="U95" s="22">
        <v>93</v>
      </c>
      <c r="V95" s="22" t="s">
        <v>194</v>
      </c>
      <c r="W95" s="23" t="s">
        <v>195</v>
      </c>
      <c r="X95" s="21">
        <v>959</v>
      </c>
      <c r="Y95" s="21">
        <v>475</v>
      </c>
      <c r="Z95" s="21">
        <v>477</v>
      </c>
      <c r="AA95" s="21">
        <f t="shared" si="4"/>
        <v>263</v>
      </c>
      <c r="AB95" s="24">
        <f t="shared" si="5"/>
        <v>86.444212721584989</v>
      </c>
    </row>
    <row r="96" spans="1:28" ht="37.5" customHeight="1" x14ac:dyDescent="0.25">
      <c r="A96" s="20">
        <v>94</v>
      </c>
      <c r="B96" s="20">
        <v>443</v>
      </c>
      <c r="C96" s="20">
        <v>526</v>
      </c>
      <c r="D96" s="20">
        <v>67</v>
      </c>
      <c r="E96" s="20">
        <v>5</v>
      </c>
      <c r="F96" s="20">
        <v>3</v>
      </c>
      <c r="G96" s="20">
        <v>2</v>
      </c>
      <c r="H96" s="20">
        <v>3</v>
      </c>
      <c r="I96" s="20">
        <v>2</v>
      </c>
      <c r="J96" s="20">
        <v>5</v>
      </c>
      <c r="K96" s="20">
        <v>3</v>
      </c>
      <c r="L96" s="20">
        <v>12</v>
      </c>
      <c r="M96" s="21">
        <v>4</v>
      </c>
      <c r="N96" s="20">
        <v>10</v>
      </c>
      <c r="O96" s="20">
        <v>10</v>
      </c>
      <c r="P96" s="20">
        <v>1095</v>
      </c>
      <c r="Q96" s="21">
        <v>0</v>
      </c>
      <c r="R96" s="20">
        <v>28</v>
      </c>
      <c r="S96" s="20">
        <f t="shared" si="3"/>
        <v>1123</v>
      </c>
      <c r="T96" s="20">
        <v>0</v>
      </c>
      <c r="U96" s="22">
        <v>94</v>
      </c>
      <c r="V96" s="22" t="s">
        <v>196</v>
      </c>
      <c r="W96" s="23" t="s">
        <v>197</v>
      </c>
      <c r="X96" s="21">
        <v>1027</v>
      </c>
      <c r="Y96" s="21">
        <v>514</v>
      </c>
      <c r="Z96" s="21">
        <v>513</v>
      </c>
      <c r="AA96" s="21">
        <f t="shared" si="4"/>
        <v>83</v>
      </c>
      <c r="AB96" s="24">
        <f t="shared" si="5"/>
        <v>109.34761441090555</v>
      </c>
    </row>
    <row r="97" spans="1:28" ht="37.5" customHeight="1" x14ac:dyDescent="0.25">
      <c r="A97" s="15">
        <v>95</v>
      </c>
      <c r="B97" s="15">
        <v>342</v>
      </c>
      <c r="C97" s="15">
        <v>215</v>
      </c>
      <c r="D97" s="15">
        <v>22</v>
      </c>
      <c r="E97" s="15">
        <v>2</v>
      </c>
      <c r="F97" s="15">
        <v>1</v>
      </c>
      <c r="G97" s="15">
        <v>2</v>
      </c>
      <c r="H97" s="15">
        <v>2</v>
      </c>
      <c r="I97" s="15">
        <v>1</v>
      </c>
      <c r="J97" s="15">
        <v>1</v>
      </c>
      <c r="K97" s="15">
        <v>2</v>
      </c>
      <c r="L97" s="15">
        <v>5</v>
      </c>
      <c r="M97" s="15">
        <v>5</v>
      </c>
      <c r="N97" s="15">
        <v>4</v>
      </c>
      <c r="O97" s="15">
        <v>3</v>
      </c>
      <c r="P97" s="15">
        <v>607</v>
      </c>
      <c r="Q97" s="16">
        <v>0</v>
      </c>
      <c r="R97" s="15">
        <v>7</v>
      </c>
      <c r="S97" s="15">
        <f t="shared" si="3"/>
        <v>614</v>
      </c>
      <c r="T97" s="15">
        <v>0</v>
      </c>
      <c r="U97" s="17">
        <v>95</v>
      </c>
      <c r="V97" s="17" t="s">
        <v>198</v>
      </c>
      <c r="W97" s="18" t="s">
        <v>199</v>
      </c>
      <c r="X97" s="16">
        <v>486</v>
      </c>
      <c r="Y97" s="16">
        <v>250</v>
      </c>
      <c r="Z97" s="16">
        <v>235</v>
      </c>
      <c r="AA97" s="16">
        <f t="shared" si="4"/>
        <v>127</v>
      </c>
      <c r="AB97" s="19">
        <f t="shared" si="5"/>
        <v>126.33744855967078</v>
      </c>
    </row>
    <row r="98" spans="1:28" ht="37.5" customHeight="1" x14ac:dyDescent="0.25">
      <c r="A98" s="20">
        <v>96</v>
      </c>
      <c r="B98" s="20">
        <v>15</v>
      </c>
      <c r="C98" s="20">
        <v>752</v>
      </c>
      <c r="D98" s="20">
        <v>10</v>
      </c>
      <c r="E98" s="20">
        <v>7</v>
      </c>
      <c r="F98" s="20">
        <v>2</v>
      </c>
      <c r="G98" s="20">
        <v>0</v>
      </c>
      <c r="H98" s="20">
        <v>2</v>
      </c>
      <c r="I98" s="20">
        <v>0</v>
      </c>
      <c r="J98" s="20">
        <v>0</v>
      </c>
      <c r="K98" s="20">
        <v>1</v>
      </c>
      <c r="L98" s="20">
        <v>0</v>
      </c>
      <c r="M98" s="20">
        <v>0</v>
      </c>
      <c r="N98" s="20">
        <v>3</v>
      </c>
      <c r="O98" s="20">
        <v>4</v>
      </c>
      <c r="P98" s="20">
        <v>796</v>
      </c>
      <c r="Q98" s="21">
        <v>0</v>
      </c>
      <c r="R98" s="20">
        <v>3</v>
      </c>
      <c r="S98" s="20">
        <f t="shared" si="3"/>
        <v>799</v>
      </c>
      <c r="T98" s="20">
        <v>0</v>
      </c>
      <c r="U98" s="22">
        <v>96</v>
      </c>
      <c r="V98" s="22" t="s">
        <v>198</v>
      </c>
      <c r="W98" s="23" t="s">
        <v>200</v>
      </c>
      <c r="X98" s="21">
        <v>726</v>
      </c>
      <c r="Y98" s="21">
        <v>365</v>
      </c>
      <c r="Z98" s="21">
        <v>361</v>
      </c>
      <c r="AA98" s="21">
        <f t="shared" si="4"/>
        <v>737</v>
      </c>
      <c r="AB98" s="24">
        <f t="shared" si="5"/>
        <v>110.05509641873279</v>
      </c>
    </row>
    <row r="99" spans="1:28" ht="37.5" customHeight="1" x14ac:dyDescent="0.25">
      <c r="A99" s="20">
        <v>97</v>
      </c>
      <c r="B99" s="20">
        <v>135</v>
      </c>
      <c r="C99" s="20">
        <v>213</v>
      </c>
      <c r="D99" s="20">
        <v>49</v>
      </c>
      <c r="E99" s="20">
        <v>0</v>
      </c>
      <c r="F99" s="20">
        <v>0</v>
      </c>
      <c r="G99" s="20">
        <v>2</v>
      </c>
      <c r="H99" s="20">
        <v>1</v>
      </c>
      <c r="I99" s="20">
        <v>0</v>
      </c>
      <c r="J99" s="20">
        <v>0</v>
      </c>
      <c r="K99" s="20">
        <v>0</v>
      </c>
      <c r="L99" s="20">
        <v>3</v>
      </c>
      <c r="M99" s="20">
        <v>0</v>
      </c>
      <c r="N99" s="20">
        <v>0</v>
      </c>
      <c r="O99" s="20">
        <v>2</v>
      </c>
      <c r="P99" s="20">
        <v>405</v>
      </c>
      <c r="Q99" s="21">
        <v>0</v>
      </c>
      <c r="R99" s="20">
        <v>2</v>
      </c>
      <c r="S99" s="20">
        <f t="shared" si="3"/>
        <v>407</v>
      </c>
      <c r="T99" s="20">
        <v>0</v>
      </c>
      <c r="U99" s="22">
        <v>97</v>
      </c>
      <c r="V99" s="22" t="s">
        <v>198</v>
      </c>
      <c r="W99" s="23" t="s">
        <v>201</v>
      </c>
      <c r="X99" s="21">
        <v>946</v>
      </c>
      <c r="Y99" s="21">
        <v>485</v>
      </c>
      <c r="Z99" s="21">
        <v>458</v>
      </c>
      <c r="AA99" s="21">
        <f t="shared" si="4"/>
        <v>78</v>
      </c>
      <c r="AB99" s="24">
        <f t="shared" si="5"/>
        <v>43.02325581395349</v>
      </c>
    </row>
    <row r="100" spans="1:28" ht="37.5" customHeight="1" x14ac:dyDescent="0.25">
      <c r="A100" s="20">
        <v>98</v>
      </c>
      <c r="B100" s="20">
        <v>89</v>
      </c>
      <c r="C100" s="20">
        <v>216</v>
      </c>
      <c r="D100" s="20">
        <v>77</v>
      </c>
      <c r="E100" s="20">
        <v>1</v>
      </c>
      <c r="F100" s="20">
        <v>0</v>
      </c>
      <c r="G100" s="20">
        <v>1</v>
      </c>
      <c r="H100" s="20">
        <v>0</v>
      </c>
      <c r="I100" s="20">
        <v>0</v>
      </c>
      <c r="J100" s="20">
        <v>0</v>
      </c>
      <c r="K100" s="20">
        <v>0</v>
      </c>
      <c r="L100" s="20">
        <v>1</v>
      </c>
      <c r="M100" s="20">
        <v>0</v>
      </c>
      <c r="N100" s="20">
        <v>1</v>
      </c>
      <c r="O100" s="20">
        <v>0</v>
      </c>
      <c r="P100" s="20">
        <v>386</v>
      </c>
      <c r="Q100" s="21">
        <v>0</v>
      </c>
      <c r="R100" s="20">
        <v>2</v>
      </c>
      <c r="S100" s="20">
        <f t="shared" si="3"/>
        <v>388</v>
      </c>
      <c r="T100" s="20">
        <v>0</v>
      </c>
      <c r="U100" s="22">
        <v>98</v>
      </c>
      <c r="V100" s="22" t="s">
        <v>198</v>
      </c>
      <c r="W100" s="23" t="s">
        <v>202</v>
      </c>
      <c r="X100" s="21">
        <v>697</v>
      </c>
      <c r="Y100" s="21">
        <v>397</v>
      </c>
      <c r="Z100" s="21">
        <v>298</v>
      </c>
      <c r="AA100" s="21">
        <f t="shared" si="4"/>
        <v>127</v>
      </c>
      <c r="AB100" s="24">
        <f t="shared" si="5"/>
        <v>55.667144906743182</v>
      </c>
    </row>
    <row r="101" spans="1:28" ht="37.5" customHeight="1" x14ac:dyDescent="0.25">
      <c r="A101" s="20">
        <v>99</v>
      </c>
      <c r="B101" s="20">
        <v>105</v>
      </c>
      <c r="C101" s="20">
        <v>211</v>
      </c>
      <c r="D101" s="20">
        <v>31</v>
      </c>
      <c r="E101" s="20">
        <v>4</v>
      </c>
      <c r="F101" s="20">
        <v>0</v>
      </c>
      <c r="G101" s="20">
        <v>1</v>
      </c>
      <c r="H101" s="20">
        <v>0</v>
      </c>
      <c r="I101" s="20">
        <v>0</v>
      </c>
      <c r="J101" s="20">
        <v>1</v>
      </c>
      <c r="K101" s="20">
        <v>0</v>
      </c>
      <c r="L101" s="20">
        <v>9</v>
      </c>
      <c r="M101" s="20">
        <v>1</v>
      </c>
      <c r="N101" s="20">
        <v>2</v>
      </c>
      <c r="O101" s="20">
        <v>1</v>
      </c>
      <c r="P101" s="20">
        <v>366</v>
      </c>
      <c r="Q101" s="21">
        <v>0</v>
      </c>
      <c r="R101" s="20">
        <v>5</v>
      </c>
      <c r="S101" s="20">
        <f t="shared" si="3"/>
        <v>371</v>
      </c>
      <c r="T101" s="20">
        <v>0</v>
      </c>
      <c r="U101" s="22">
        <v>99</v>
      </c>
      <c r="V101" s="22" t="s">
        <v>203</v>
      </c>
      <c r="W101" s="23" t="s">
        <v>204</v>
      </c>
      <c r="X101" s="21">
        <v>712</v>
      </c>
      <c r="Y101" s="21">
        <v>385</v>
      </c>
      <c r="Z101" s="21">
        <v>326</v>
      </c>
      <c r="AA101" s="21">
        <f t="shared" si="4"/>
        <v>106</v>
      </c>
      <c r="AB101" s="24">
        <f t="shared" si="5"/>
        <v>52.106741573033709</v>
      </c>
    </row>
    <row r="102" spans="1:28" ht="37.5" customHeight="1" x14ac:dyDescent="0.25">
      <c r="A102" s="20">
        <v>100</v>
      </c>
      <c r="B102" s="20">
        <v>358</v>
      </c>
      <c r="C102" s="20">
        <v>516</v>
      </c>
      <c r="D102" s="21">
        <v>134</v>
      </c>
      <c r="E102" s="21">
        <v>4</v>
      </c>
      <c r="F102" s="20">
        <v>3</v>
      </c>
      <c r="G102" s="20">
        <v>0</v>
      </c>
      <c r="H102" s="20">
        <v>1</v>
      </c>
      <c r="I102" s="20">
        <v>0</v>
      </c>
      <c r="J102" s="20">
        <v>4</v>
      </c>
      <c r="K102" s="20">
        <v>2</v>
      </c>
      <c r="L102" s="20">
        <v>6</v>
      </c>
      <c r="M102" s="20">
        <v>4</v>
      </c>
      <c r="N102" s="20">
        <v>1</v>
      </c>
      <c r="O102" s="20">
        <v>3</v>
      </c>
      <c r="P102" s="20">
        <v>1036</v>
      </c>
      <c r="Q102" s="21">
        <v>0</v>
      </c>
      <c r="R102" s="20">
        <v>15</v>
      </c>
      <c r="S102" s="20">
        <f t="shared" si="3"/>
        <v>1051</v>
      </c>
      <c r="T102" s="20">
        <v>0</v>
      </c>
      <c r="U102" s="22">
        <v>100</v>
      </c>
      <c r="V102" s="22" t="s">
        <v>205</v>
      </c>
      <c r="W102" s="23" t="s">
        <v>206</v>
      </c>
      <c r="X102" s="21">
        <v>800</v>
      </c>
      <c r="Y102" s="21">
        <v>483</v>
      </c>
      <c r="Z102" s="21">
        <v>316</v>
      </c>
      <c r="AA102" s="21">
        <f t="shared" si="4"/>
        <v>158</v>
      </c>
      <c r="AB102" s="24">
        <f t="shared" si="5"/>
        <v>131.375</v>
      </c>
    </row>
    <row r="103" spans="1:28" ht="37.5" customHeight="1" x14ac:dyDescent="0.25">
      <c r="A103" s="15">
        <v>101</v>
      </c>
      <c r="B103" s="15">
        <v>584</v>
      </c>
      <c r="C103" s="15">
        <v>287</v>
      </c>
      <c r="D103" s="15">
        <v>134</v>
      </c>
      <c r="E103" s="15">
        <v>4</v>
      </c>
      <c r="F103" s="16">
        <v>4</v>
      </c>
      <c r="G103" s="15">
        <v>0</v>
      </c>
      <c r="H103" s="15">
        <v>0</v>
      </c>
      <c r="I103" s="15">
        <v>1</v>
      </c>
      <c r="J103" s="15">
        <v>1</v>
      </c>
      <c r="K103" s="15">
        <v>0</v>
      </c>
      <c r="L103" s="15">
        <v>1</v>
      </c>
      <c r="M103" s="15">
        <v>0</v>
      </c>
      <c r="N103" s="15">
        <v>1</v>
      </c>
      <c r="O103" s="15">
        <v>5</v>
      </c>
      <c r="P103" s="15">
        <v>1022</v>
      </c>
      <c r="Q103" s="16">
        <v>0</v>
      </c>
      <c r="R103" s="16">
        <v>5</v>
      </c>
      <c r="S103" s="15">
        <f t="shared" si="3"/>
        <v>1027</v>
      </c>
      <c r="T103" s="15">
        <v>0</v>
      </c>
      <c r="U103" s="17">
        <v>101</v>
      </c>
      <c r="V103" s="17" t="s">
        <v>207</v>
      </c>
      <c r="W103" s="18" t="s">
        <v>208</v>
      </c>
      <c r="X103" s="16">
        <v>1230</v>
      </c>
      <c r="Y103" s="16">
        <v>615</v>
      </c>
      <c r="Z103" s="16">
        <v>614</v>
      </c>
      <c r="AA103" s="16">
        <f t="shared" si="4"/>
        <v>297</v>
      </c>
      <c r="AB103" s="19">
        <f t="shared" si="5"/>
        <v>83.495934959349597</v>
      </c>
    </row>
    <row r="104" spans="1:28" ht="37.5" customHeight="1" x14ac:dyDescent="0.25">
      <c r="A104" s="20">
        <v>102</v>
      </c>
      <c r="B104" s="20">
        <v>318</v>
      </c>
      <c r="C104" s="20">
        <v>372</v>
      </c>
      <c r="D104" s="20">
        <v>166</v>
      </c>
      <c r="E104" s="20">
        <v>4</v>
      </c>
      <c r="F104" s="20">
        <v>2</v>
      </c>
      <c r="G104" s="20">
        <v>3</v>
      </c>
      <c r="H104" s="20">
        <v>1</v>
      </c>
      <c r="I104" s="20">
        <v>4</v>
      </c>
      <c r="J104" s="20">
        <v>3</v>
      </c>
      <c r="K104" s="20">
        <v>0</v>
      </c>
      <c r="L104" s="20">
        <v>3</v>
      </c>
      <c r="M104" s="20">
        <v>3</v>
      </c>
      <c r="N104" s="20">
        <v>0</v>
      </c>
      <c r="O104" s="20">
        <v>1</v>
      </c>
      <c r="P104" s="20">
        <v>880</v>
      </c>
      <c r="Q104" s="21">
        <v>0</v>
      </c>
      <c r="R104" s="20">
        <v>6</v>
      </c>
      <c r="S104" s="20">
        <f t="shared" si="3"/>
        <v>886</v>
      </c>
      <c r="T104" s="20">
        <v>0</v>
      </c>
      <c r="U104" s="22">
        <v>102</v>
      </c>
      <c r="V104" s="22" t="s">
        <v>209</v>
      </c>
      <c r="W104" s="23" t="s">
        <v>210</v>
      </c>
      <c r="X104" s="21">
        <v>1281</v>
      </c>
      <c r="Y104" s="21">
        <v>662</v>
      </c>
      <c r="Z104" s="21">
        <v>617</v>
      </c>
      <c r="AA104" s="21">
        <f t="shared" si="4"/>
        <v>54</v>
      </c>
      <c r="AB104" s="24">
        <f t="shared" si="5"/>
        <v>69.164715066354404</v>
      </c>
    </row>
    <row r="105" spans="1:28" ht="37.5" customHeight="1" x14ac:dyDescent="0.25">
      <c r="A105" s="20">
        <v>103</v>
      </c>
      <c r="B105" s="20">
        <v>102</v>
      </c>
      <c r="C105" s="20">
        <v>299</v>
      </c>
      <c r="D105" s="20">
        <v>16</v>
      </c>
      <c r="E105" s="20">
        <v>0</v>
      </c>
      <c r="F105" s="20">
        <v>3</v>
      </c>
      <c r="G105" s="20">
        <v>0</v>
      </c>
      <c r="H105" s="20">
        <v>0</v>
      </c>
      <c r="I105" s="20">
        <v>0</v>
      </c>
      <c r="J105" s="20">
        <v>1</v>
      </c>
      <c r="K105" s="20">
        <v>0</v>
      </c>
      <c r="L105" s="20">
        <v>3</v>
      </c>
      <c r="M105" s="20">
        <v>0</v>
      </c>
      <c r="N105" s="20">
        <v>1</v>
      </c>
      <c r="O105" s="20">
        <v>3</v>
      </c>
      <c r="P105" s="20">
        <v>428</v>
      </c>
      <c r="Q105" s="21">
        <v>0</v>
      </c>
      <c r="R105" s="20">
        <v>6</v>
      </c>
      <c r="S105" s="20">
        <f t="shared" si="3"/>
        <v>434</v>
      </c>
      <c r="T105" s="20">
        <v>0</v>
      </c>
      <c r="U105" s="22">
        <v>103</v>
      </c>
      <c r="V105" s="22" t="s">
        <v>211</v>
      </c>
      <c r="W105" s="23" t="s">
        <v>212</v>
      </c>
      <c r="X105" s="21">
        <v>1006</v>
      </c>
      <c r="Y105" s="21">
        <v>526</v>
      </c>
      <c r="Z105" s="21">
        <v>480</v>
      </c>
      <c r="AA105" s="21">
        <f t="shared" si="4"/>
        <v>197</v>
      </c>
      <c r="AB105" s="24">
        <f t="shared" si="5"/>
        <v>43.141153081510936</v>
      </c>
    </row>
    <row r="106" spans="1:28" ht="37.5" customHeight="1" x14ac:dyDescent="0.25">
      <c r="A106" s="20">
        <v>104</v>
      </c>
      <c r="B106" s="20">
        <v>426</v>
      </c>
      <c r="C106" s="20">
        <v>485</v>
      </c>
      <c r="D106" s="20">
        <v>40</v>
      </c>
      <c r="E106" s="21">
        <v>3</v>
      </c>
      <c r="F106" s="20">
        <v>1</v>
      </c>
      <c r="G106" s="20">
        <v>0</v>
      </c>
      <c r="H106" s="20">
        <v>0</v>
      </c>
      <c r="I106" s="20">
        <v>1</v>
      </c>
      <c r="J106" s="20">
        <v>2</v>
      </c>
      <c r="K106" s="20">
        <v>5</v>
      </c>
      <c r="L106" s="20">
        <v>2</v>
      </c>
      <c r="M106" s="20">
        <v>0</v>
      </c>
      <c r="N106" s="21">
        <v>1</v>
      </c>
      <c r="O106" s="20">
        <v>5</v>
      </c>
      <c r="P106" s="20">
        <v>971</v>
      </c>
      <c r="Q106" s="21">
        <v>0</v>
      </c>
      <c r="R106" s="20">
        <v>13</v>
      </c>
      <c r="S106" s="20">
        <f t="shared" si="3"/>
        <v>984</v>
      </c>
      <c r="T106" s="20">
        <v>0</v>
      </c>
      <c r="U106" s="22">
        <v>104</v>
      </c>
      <c r="V106" s="22" t="s">
        <v>213</v>
      </c>
      <c r="W106" s="23" t="s">
        <v>214</v>
      </c>
      <c r="X106" s="21">
        <v>519</v>
      </c>
      <c r="Y106" s="21">
        <v>266</v>
      </c>
      <c r="Z106" s="21">
        <v>244</v>
      </c>
      <c r="AA106" s="21">
        <f t="shared" si="4"/>
        <v>59</v>
      </c>
      <c r="AB106" s="24">
        <f t="shared" si="5"/>
        <v>189.59537572254334</v>
      </c>
    </row>
    <row r="107" spans="1:28" ht="37.5" customHeight="1" x14ac:dyDescent="0.25">
      <c r="A107" s="20">
        <v>105</v>
      </c>
      <c r="B107" s="20">
        <v>285</v>
      </c>
      <c r="C107" s="20">
        <v>315</v>
      </c>
      <c r="D107" s="20">
        <v>181</v>
      </c>
      <c r="E107" s="20">
        <v>2</v>
      </c>
      <c r="F107" s="20">
        <v>2</v>
      </c>
      <c r="G107" s="20">
        <v>0</v>
      </c>
      <c r="H107" s="20">
        <v>2</v>
      </c>
      <c r="I107" s="20">
        <v>1</v>
      </c>
      <c r="J107" s="20">
        <v>1</v>
      </c>
      <c r="K107" s="20">
        <v>0</v>
      </c>
      <c r="L107" s="20">
        <v>2</v>
      </c>
      <c r="M107" s="20">
        <v>18</v>
      </c>
      <c r="N107" s="20">
        <v>1</v>
      </c>
      <c r="O107" s="20">
        <v>1</v>
      </c>
      <c r="P107" s="20">
        <v>811</v>
      </c>
      <c r="Q107" s="21">
        <v>0</v>
      </c>
      <c r="R107" s="20">
        <v>13</v>
      </c>
      <c r="S107" s="20">
        <f t="shared" si="3"/>
        <v>824</v>
      </c>
      <c r="T107" s="20">
        <v>0</v>
      </c>
      <c r="U107" s="22">
        <v>105</v>
      </c>
      <c r="V107" s="22" t="s">
        <v>213</v>
      </c>
      <c r="W107" s="23" t="s">
        <v>215</v>
      </c>
      <c r="X107" s="21">
        <v>1166</v>
      </c>
      <c r="Y107" s="21">
        <v>600</v>
      </c>
      <c r="Z107" s="21">
        <v>562</v>
      </c>
      <c r="AA107" s="21">
        <f t="shared" si="4"/>
        <v>30</v>
      </c>
      <c r="AB107" s="24">
        <f t="shared" si="5"/>
        <v>70.668953687821613</v>
      </c>
    </row>
    <row r="108" spans="1:28" ht="37.5" customHeight="1" x14ac:dyDescent="0.25">
      <c r="A108" s="15">
        <v>106</v>
      </c>
      <c r="B108" s="15">
        <v>418</v>
      </c>
      <c r="C108" s="15">
        <v>274</v>
      </c>
      <c r="D108" s="15">
        <v>151</v>
      </c>
      <c r="E108" s="16">
        <v>2</v>
      </c>
      <c r="F108" s="15">
        <v>2</v>
      </c>
      <c r="G108" s="15">
        <v>2</v>
      </c>
      <c r="H108" s="15">
        <v>2</v>
      </c>
      <c r="I108" s="15">
        <v>2</v>
      </c>
      <c r="J108" s="15">
        <v>3</v>
      </c>
      <c r="K108" s="15">
        <v>2</v>
      </c>
      <c r="L108" s="15">
        <v>3</v>
      </c>
      <c r="M108" s="15">
        <v>22</v>
      </c>
      <c r="N108" s="15">
        <v>2</v>
      </c>
      <c r="O108" s="15">
        <v>2</v>
      </c>
      <c r="P108" s="15">
        <v>887</v>
      </c>
      <c r="Q108" s="16">
        <v>0</v>
      </c>
      <c r="R108" s="15">
        <v>15</v>
      </c>
      <c r="S108" s="15">
        <f t="shared" si="3"/>
        <v>902</v>
      </c>
      <c r="T108" s="15">
        <v>0</v>
      </c>
      <c r="U108" s="17">
        <v>106</v>
      </c>
      <c r="V108" s="17" t="s">
        <v>216</v>
      </c>
      <c r="W108" s="18" t="s">
        <v>217</v>
      </c>
      <c r="X108" s="16">
        <v>969</v>
      </c>
      <c r="Y108" s="16">
        <v>507</v>
      </c>
      <c r="Z108" s="16">
        <v>461</v>
      </c>
      <c r="AA108" s="16">
        <f t="shared" si="4"/>
        <v>144</v>
      </c>
      <c r="AB108" s="19">
        <f t="shared" si="5"/>
        <v>93.085655314757489</v>
      </c>
    </row>
    <row r="109" spans="1:28" ht="37.5" customHeight="1" x14ac:dyDescent="0.25">
      <c r="A109" s="20">
        <v>107</v>
      </c>
      <c r="B109" s="20">
        <v>34</v>
      </c>
      <c r="C109" s="20">
        <v>137</v>
      </c>
      <c r="D109" s="20">
        <v>260</v>
      </c>
      <c r="E109" s="21">
        <v>5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1</v>
      </c>
      <c r="O109" s="20">
        <v>0</v>
      </c>
      <c r="P109" s="20">
        <v>437</v>
      </c>
      <c r="Q109" s="21">
        <v>0</v>
      </c>
      <c r="R109" s="20">
        <v>0</v>
      </c>
      <c r="S109" s="20">
        <f t="shared" si="3"/>
        <v>437</v>
      </c>
      <c r="T109" s="20">
        <v>0</v>
      </c>
      <c r="U109" s="22">
        <v>107</v>
      </c>
      <c r="V109" s="22" t="s">
        <v>218</v>
      </c>
      <c r="W109" s="23" t="s">
        <v>219</v>
      </c>
      <c r="X109" s="21">
        <v>1067</v>
      </c>
      <c r="Y109" s="21">
        <v>542</v>
      </c>
      <c r="Z109" s="21">
        <v>517</v>
      </c>
      <c r="AA109" s="21">
        <f t="shared" si="4"/>
        <v>103</v>
      </c>
      <c r="AB109" s="24">
        <f t="shared" si="5"/>
        <v>40.955951265229615</v>
      </c>
    </row>
    <row r="110" spans="1:28" ht="37.5" customHeight="1" x14ac:dyDescent="0.25">
      <c r="A110" s="20">
        <v>108</v>
      </c>
      <c r="B110" s="20">
        <v>170</v>
      </c>
      <c r="C110" s="20">
        <v>225</v>
      </c>
      <c r="D110" s="20">
        <v>1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1</v>
      </c>
      <c r="M110" s="20">
        <v>1</v>
      </c>
      <c r="N110" s="20">
        <v>2</v>
      </c>
      <c r="O110" s="20">
        <v>0</v>
      </c>
      <c r="P110" s="20">
        <v>400</v>
      </c>
      <c r="Q110" s="21">
        <v>0</v>
      </c>
      <c r="R110" s="20">
        <v>4</v>
      </c>
      <c r="S110" s="20">
        <f t="shared" si="3"/>
        <v>404</v>
      </c>
      <c r="T110" s="20">
        <v>0</v>
      </c>
      <c r="U110" s="22">
        <v>108</v>
      </c>
      <c r="V110" s="22" t="s">
        <v>220</v>
      </c>
      <c r="W110" s="23" t="s">
        <v>221</v>
      </c>
      <c r="X110" s="21">
        <v>451</v>
      </c>
      <c r="Y110" s="21">
        <v>234</v>
      </c>
      <c r="Z110" s="21">
        <v>213</v>
      </c>
      <c r="AA110" s="21">
        <f t="shared" si="4"/>
        <v>55</v>
      </c>
      <c r="AB110" s="24">
        <f t="shared" si="5"/>
        <v>89.578713968957871</v>
      </c>
    </row>
    <row r="111" spans="1:28" ht="37.5" customHeight="1" x14ac:dyDescent="0.25">
      <c r="A111" s="20">
        <v>109</v>
      </c>
      <c r="B111" s="20">
        <v>160</v>
      </c>
      <c r="C111" s="20">
        <v>273</v>
      </c>
      <c r="D111" s="20">
        <v>55</v>
      </c>
      <c r="E111" s="21">
        <v>2</v>
      </c>
      <c r="F111" s="20">
        <v>1</v>
      </c>
      <c r="G111" s="20">
        <v>1</v>
      </c>
      <c r="H111" s="20">
        <v>0</v>
      </c>
      <c r="I111" s="20">
        <v>2</v>
      </c>
      <c r="J111" s="20">
        <v>2</v>
      </c>
      <c r="K111" s="20">
        <v>1</v>
      </c>
      <c r="L111" s="20">
        <v>6</v>
      </c>
      <c r="M111" s="20">
        <v>2</v>
      </c>
      <c r="N111" s="20">
        <v>2</v>
      </c>
      <c r="O111" s="20">
        <v>5</v>
      </c>
      <c r="P111" s="20">
        <v>512</v>
      </c>
      <c r="Q111" s="21">
        <v>0</v>
      </c>
      <c r="R111" s="20">
        <v>1</v>
      </c>
      <c r="S111" s="20">
        <f t="shared" si="3"/>
        <v>513</v>
      </c>
      <c r="T111" s="20">
        <v>0</v>
      </c>
      <c r="U111" s="22">
        <v>109</v>
      </c>
      <c r="V111" s="22" t="s">
        <v>222</v>
      </c>
      <c r="W111" s="23" t="s">
        <v>223</v>
      </c>
      <c r="X111" s="21">
        <v>440</v>
      </c>
      <c r="Y111" s="21">
        <v>220</v>
      </c>
      <c r="Z111" s="21">
        <v>219</v>
      </c>
      <c r="AA111" s="21">
        <f t="shared" si="4"/>
        <v>113</v>
      </c>
      <c r="AB111" s="24">
        <f t="shared" si="5"/>
        <v>116.59090909090909</v>
      </c>
    </row>
    <row r="112" spans="1:28" ht="37.5" customHeight="1" x14ac:dyDescent="0.25">
      <c r="A112" s="20">
        <v>110</v>
      </c>
      <c r="B112" s="20">
        <v>210</v>
      </c>
      <c r="C112" s="20">
        <v>386</v>
      </c>
      <c r="D112" s="20">
        <v>117</v>
      </c>
      <c r="E112" s="20">
        <v>1</v>
      </c>
      <c r="F112" s="20">
        <v>2</v>
      </c>
      <c r="G112" s="20">
        <v>0</v>
      </c>
      <c r="H112" s="20">
        <v>2</v>
      </c>
      <c r="I112" s="20">
        <v>2</v>
      </c>
      <c r="J112" s="20">
        <v>0</v>
      </c>
      <c r="K112" s="20">
        <v>0</v>
      </c>
      <c r="L112" s="20">
        <v>3</v>
      </c>
      <c r="M112" s="20">
        <v>4</v>
      </c>
      <c r="N112" s="20">
        <v>1</v>
      </c>
      <c r="O112" s="20">
        <v>4</v>
      </c>
      <c r="P112" s="20">
        <v>732</v>
      </c>
      <c r="Q112" s="21">
        <v>0</v>
      </c>
      <c r="R112" s="20">
        <v>7</v>
      </c>
      <c r="S112" s="20">
        <f t="shared" si="3"/>
        <v>739</v>
      </c>
      <c r="T112" s="20">
        <v>0</v>
      </c>
      <c r="U112" s="22">
        <v>110</v>
      </c>
      <c r="V112" s="22" t="s">
        <v>224</v>
      </c>
      <c r="W112" s="23" t="s">
        <v>225</v>
      </c>
      <c r="X112" s="21">
        <v>625</v>
      </c>
      <c r="Y112" s="21">
        <v>329</v>
      </c>
      <c r="Z112" s="21">
        <v>296</v>
      </c>
      <c r="AA112" s="21">
        <f t="shared" si="4"/>
        <v>176</v>
      </c>
      <c r="AB112" s="24">
        <f t="shared" si="5"/>
        <v>118.24</v>
      </c>
    </row>
    <row r="113" spans="1:28" ht="37.5" customHeight="1" x14ac:dyDescent="0.25">
      <c r="A113" s="20">
        <v>111</v>
      </c>
      <c r="B113" s="21">
        <v>253</v>
      </c>
      <c r="C113" s="21">
        <v>328</v>
      </c>
      <c r="D113" s="21">
        <v>129</v>
      </c>
      <c r="E113" s="21">
        <v>1</v>
      </c>
      <c r="F113" s="20">
        <v>0</v>
      </c>
      <c r="G113" s="20">
        <v>0</v>
      </c>
      <c r="H113" s="20">
        <v>2</v>
      </c>
      <c r="I113" s="20">
        <v>0</v>
      </c>
      <c r="J113" s="20">
        <v>0</v>
      </c>
      <c r="K113" s="20">
        <v>9</v>
      </c>
      <c r="L113" s="20">
        <v>3</v>
      </c>
      <c r="M113" s="21">
        <v>4</v>
      </c>
      <c r="N113" s="20">
        <v>3</v>
      </c>
      <c r="O113" s="21">
        <v>2</v>
      </c>
      <c r="P113" s="21">
        <v>734</v>
      </c>
      <c r="Q113" s="21">
        <v>0</v>
      </c>
      <c r="R113" s="20">
        <v>6</v>
      </c>
      <c r="S113" s="20">
        <f t="shared" si="3"/>
        <v>740</v>
      </c>
      <c r="T113" s="20">
        <v>0</v>
      </c>
      <c r="U113" s="22">
        <v>111</v>
      </c>
      <c r="V113" s="22" t="s">
        <v>226</v>
      </c>
      <c r="W113" s="23" t="s">
        <v>227</v>
      </c>
      <c r="X113" s="21">
        <v>948</v>
      </c>
      <c r="Y113" s="21">
        <v>486</v>
      </c>
      <c r="Z113" s="21">
        <v>459</v>
      </c>
      <c r="AA113" s="21">
        <f t="shared" si="4"/>
        <v>75</v>
      </c>
      <c r="AB113" s="24">
        <f t="shared" si="5"/>
        <v>78.059071729957807</v>
      </c>
    </row>
    <row r="114" spans="1:28" ht="37.5" customHeight="1" x14ac:dyDescent="0.25">
      <c r="A114" s="20">
        <v>112</v>
      </c>
      <c r="B114" s="20">
        <v>98</v>
      </c>
      <c r="C114" s="20">
        <v>102</v>
      </c>
      <c r="D114" s="20">
        <v>142</v>
      </c>
      <c r="E114" s="20">
        <v>2</v>
      </c>
      <c r="F114" s="20">
        <v>0</v>
      </c>
      <c r="G114" s="20">
        <v>1</v>
      </c>
      <c r="H114" s="20">
        <v>14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1">
        <v>359</v>
      </c>
      <c r="Q114" s="21">
        <v>0</v>
      </c>
      <c r="R114" s="20">
        <v>1</v>
      </c>
      <c r="S114" s="20">
        <f t="shared" si="3"/>
        <v>360</v>
      </c>
      <c r="T114" s="20">
        <v>0</v>
      </c>
      <c r="U114" s="22">
        <v>112</v>
      </c>
      <c r="V114" s="22" t="s">
        <v>228</v>
      </c>
      <c r="W114" s="23" t="s">
        <v>229</v>
      </c>
      <c r="X114" s="21">
        <v>930</v>
      </c>
      <c r="Y114" s="21">
        <v>487</v>
      </c>
      <c r="Z114" s="21">
        <v>437</v>
      </c>
      <c r="AA114" s="21">
        <f t="shared" si="4"/>
        <v>4</v>
      </c>
      <c r="AB114" s="24">
        <f t="shared" si="5"/>
        <v>38.70967741935484</v>
      </c>
    </row>
    <row r="115" spans="1:28" ht="37.5" customHeight="1" x14ac:dyDescent="0.25">
      <c r="A115" s="20">
        <v>113</v>
      </c>
      <c r="B115" s="20">
        <v>237</v>
      </c>
      <c r="C115" s="21">
        <v>392</v>
      </c>
      <c r="D115" s="21">
        <v>146</v>
      </c>
      <c r="E115" s="20">
        <v>3</v>
      </c>
      <c r="F115" s="20">
        <v>2</v>
      </c>
      <c r="G115" s="20">
        <v>1</v>
      </c>
      <c r="H115" s="20">
        <v>1</v>
      </c>
      <c r="I115" s="20">
        <v>0</v>
      </c>
      <c r="J115" s="20">
        <v>0</v>
      </c>
      <c r="K115" s="20">
        <v>1</v>
      </c>
      <c r="L115" s="21">
        <v>0</v>
      </c>
      <c r="M115" s="20">
        <v>3</v>
      </c>
      <c r="N115" s="21">
        <v>1</v>
      </c>
      <c r="O115" s="21">
        <v>1</v>
      </c>
      <c r="P115" s="20">
        <v>788</v>
      </c>
      <c r="Q115" s="21">
        <v>0</v>
      </c>
      <c r="R115" s="20">
        <v>0</v>
      </c>
      <c r="S115" s="20">
        <f t="shared" si="3"/>
        <v>788</v>
      </c>
      <c r="T115" s="20">
        <v>0</v>
      </c>
      <c r="U115" s="22">
        <v>113</v>
      </c>
      <c r="V115" s="22" t="s">
        <v>230</v>
      </c>
      <c r="W115" s="23" t="s">
        <v>231</v>
      </c>
      <c r="X115" s="21">
        <v>477</v>
      </c>
      <c r="Y115" s="21">
        <v>240</v>
      </c>
      <c r="Z115" s="21">
        <v>234</v>
      </c>
      <c r="AA115" s="21">
        <f t="shared" si="4"/>
        <v>155</v>
      </c>
      <c r="AB115" s="24">
        <f t="shared" si="5"/>
        <v>165.19916142557651</v>
      </c>
    </row>
    <row r="116" spans="1:28" ht="37.5" customHeight="1" x14ac:dyDescent="0.25">
      <c r="A116" s="20">
        <v>114</v>
      </c>
      <c r="B116" s="20">
        <v>122</v>
      </c>
      <c r="C116" s="21">
        <v>409</v>
      </c>
      <c r="D116" s="20">
        <v>99</v>
      </c>
      <c r="E116" s="20">
        <v>3</v>
      </c>
      <c r="F116" s="20">
        <v>0</v>
      </c>
      <c r="G116" s="21">
        <v>0</v>
      </c>
      <c r="H116" s="20">
        <v>0</v>
      </c>
      <c r="I116" s="20">
        <v>1</v>
      </c>
      <c r="J116" s="20">
        <v>1</v>
      </c>
      <c r="K116" s="20">
        <v>0</v>
      </c>
      <c r="L116" s="20">
        <v>2</v>
      </c>
      <c r="M116" s="20">
        <v>2</v>
      </c>
      <c r="N116" s="20">
        <v>2</v>
      </c>
      <c r="O116" s="20">
        <v>0</v>
      </c>
      <c r="P116" s="20">
        <v>641</v>
      </c>
      <c r="Q116" s="21">
        <v>0</v>
      </c>
      <c r="R116" s="20">
        <v>4</v>
      </c>
      <c r="S116" s="20">
        <f t="shared" si="3"/>
        <v>645</v>
      </c>
      <c r="T116" s="20">
        <v>0</v>
      </c>
      <c r="U116" s="22">
        <v>114</v>
      </c>
      <c r="V116" s="22" t="s">
        <v>232</v>
      </c>
      <c r="W116" s="23" t="s">
        <v>233</v>
      </c>
      <c r="X116" s="21">
        <v>1024</v>
      </c>
      <c r="Y116" s="21">
        <v>533</v>
      </c>
      <c r="Z116" s="21">
        <v>491</v>
      </c>
      <c r="AA116" s="21">
        <f t="shared" si="4"/>
        <v>287</v>
      </c>
      <c r="AB116" s="24">
        <f t="shared" si="5"/>
        <v>62.98828125</v>
      </c>
    </row>
    <row r="117" spans="1:28" ht="37.5" customHeight="1" x14ac:dyDescent="0.25">
      <c r="A117" s="20">
        <v>115</v>
      </c>
      <c r="B117" s="21">
        <v>167</v>
      </c>
      <c r="C117" s="20">
        <v>387</v>
      </c>
      <c r="D117" s="20">
        <v>2</v>
      </c>
      <c r="E117" s="20">
        <v>0</v>
      </c>
      <c r="F117" s="20">
        <v>0</v>
      </c>
      <c r="G117" s="20">
        <v>0</v>
      </c>
      <c r="H117" s="20">
        <v>0</v>
      </c>
      <c r="I117" s="20">
        <v>1</v>
      </c>
      <c r="J117" s="20">
        <v>1</v>
      </c>
      <c r="K117" s="20">
        <v>0</v>
      </c>
      <c r="L117" s="21">
        <v>0</v>
      </c>
      <c r="M117" s="21">
        <v>1</v>
      </c>
      <c r="N117" s="21">
        <v>1</v>
      </c>
      <c r="O117" s="21">
        <v>4</v>
      </c>
      <c r="P117" s="20">
        <v>564</v>
      </c>
      <c r="Q117" s="21">
        <v>0</v>
      </c>
      <c r="R117" s="21">
        <v>3</v>
      </c>
      <c r="S117" s="20">
        <f t="shared" si="3"/>
        <v>567</v>
      </c>
      <c r="T117" s="20">
        <v>0</v>
      </c>
      <c r="U117" s="22">
        <v>115</v>
      </c>
      <c r="V117" s="22" t="s">
        <v>234</v>
      </c>
      <c r="W117" s="23" t="s">
        <v>235</v>
      </c>
      <c r="X117" s="21">
        <v>767</v>
      </c>
      <c r="Y117" s="21">
        <v>396</v>
      </c>
      <c r="Z117" s="21">
        <v>371</v>
      </c>
      <c r="AA117" s="21">
        <f t="shared" si="4"/>
        <v>220</v>
      </c>
      <c r="AB117" s="24">
        <f t="shared" si="5"/>
        <v>73.924380704041724</v>
      </c>
    </row>
    <row r="118" spans="1:28" ht="37.5" customHeight="1" x14ac:dyDescent="0.25">
      <c r="A118" s="20">
        <v>116</v>
      </c>
      <c r="B118" s="20">
        <v>222</v>
      </c>
      <c r="C118" s="20">
        <v>253</v>
      </c>
      <c r="D118" s="20">
        <v>1</v>
      </c>
      <c r="E118" s="20">
        <v>0</v>
      </c>
      <c r="F118" s="20">
        <v>1</v>
      </c>
      <c r="G118" s="20">
        <v>0</v>
      </c>
      <c r="H118" s="20">
        <v>1</v>
      </c>
      <c r="I118" s="20">
        <v>1</v>
      </c>
      <c r="J118" s="20">
        <v>0</v>
      </c>
      <c r="K118" s="20">
        <v>0</v>
      </c>
      <c r="L118" s="20">
        <v>1</v>
      </c>
      <c r="M118" s="20">
        <v>0</v>
      </c>
      <c r="N118" s="20">
        <v>2</v>
      </c>
      <c r="O118" s="20">
        <v>0</v>
      </c>
      <c r="P118" s="20">
        <v>482</v>
      </c>
      <c r="Q118" s="21">
        <v>0</v>
      </c>
      <c r="R118" s="20">
        <v>10</v>
      </c>
      <c r="S118" s="20">
        <f t="shared" si="3"/>
        <v>492</v>
      </c>
      <c r="T118" s="20">
        <v>0</v>
      </c>
      <c r="U118" s="22">
        <v>116</v>
      </c>
      <c r="V118" s="22" t="s">
        <v>234</v>
      </c>
      <c r="W118" s="23" t="s">
        <v>236</v>
      </c>
      <c r="X118" s="21">
        <v>633</v>
      </c>
      <c r="Y118" s="21">
        <v>324</v>
      </c>
      <c r="Z118" s="21">
        <v>307</v>
      </c>
      <c r="AA118" s="21">
        <f t="shared" si="4"/>
        <v>31</v>
      </c>
      <c r="AB118" s="24">
        <f t="shared" si="5"/>
        <v>77.725118483412331</v>
      </c>
    </row>
    <row r="119" spans="1:28" ht="37.5" customHeight="1" x14ac:dyDescent="0.25">
      <c r="A119" s="20">
        <v>117</v>
      </c>
      <c r="B119" s="20">
        <v>203</v>
      </c>
      <c r="C119" s="20">
        <v>300</v>
      </c>
      <c r="D119" s="20">
        <v>1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1">
        <v>1</v>
      </c>
      <c r="K119" s="21">
        <v>0</v>
      </c>
      <c r="L119" s="20">
        <v>4</v>
      </c>
      <c r="M119" s="20">
        <v>2</v>
      </c>
      <c r="N119" s="20">
        <v>1</v>
      </c>
      <c r="O119" s="20">
        <v>1</v>
      </c>
      <c r="P119" s="20">
        <v>513</v>
      </c>
      <c r="Q119" s="21">
        <v>0</v>
      </c>
      <c r="R119" s="20">
        <v>7</v>
      </c>
      <c r="S119" s="20">
        <f t="shared" si="3"/>
        <v>520</v>
      </c>
      <c r="T119" s="20">
        <v>0</v>
      </c>
      <c r="U119" s="22">
        <v>117</v>
      </c>
      <c r="V119" s="22" t="s">
        <v>234</v>
      </c>
      <c r="W119" s="23" t="s">
        <v>237</v>
      </c>
      <c r="X119" s="21">
        <v>616</v>
      </c>
      <c r="Y119" s="21">
        <v>327</v>
      </c>
      <c r="Z119" s="21">
        <v>289</v>
      </c>
      <c r="AA119" s="21">
        <f t="shared" si="4"/>
        <v>97</v>
      </c>
      <c r="AB119" s="24">
        <f t="shared" si="5"/>
        <v>84.415584415584405</v>
      </c>
    </row>
    <row r="120" spans="1:28" ht="37.5" customHeight="1" x14ac:dyDescent="0.25">
      <c r="A120" s="20">
        <v>118</v>
      </c>
      <c r="B120" s="20">
        <v>137</v>
      </c>
      <c r="C120" s="20">
        <v>229</v>
      </c>
      <c r="D120" s="20">
        <v>104</v>
      </c>
      <c r="E120" s="20">
        <v>2</v>
      </c>
      <c r="F120" s="20">
        <v>0</v>
      </c>
      <c r="G120" s="20">
        <v>0</v>
      </c>
      <c r="H120" s="20">
        <v>6</v>
      </c>
      <c r="I120" s="20">
        <v>0</v>
      </c>
      <c r="J120" s="20">
        <v>0</v>
      </c>
      <c r="K120" s="21">
        <v>1</v>
      </c>
      <c r="L120" s="21">
        <v>8</v>
      </c>
      <c r="M120" s="20">
        <v>1</v>
      </c>
      <c r="N120" s="20">
        <v>0</v>
      </c>
      <c r="O120" s="20">
        <v>2</v>
      </c>
      <c r="P120" s="20">
        <v>490</v>
      </c>
      <c r="Q120" s="21">
        <v>0</v>
      </c>
      <c r="R120" s="20">
        <v>5</v>
      </c>
      <c r="S120" s="20">
        <f t="shared" si="3"/>
        <v>495</v>
      </c>
      <c r="T120" s="20">
        <v>0</v>
      </c>
      <c r="U120" s="22">
        <v>118</v>
      </c>
      <c r="V120" s="22" t="s">
        <v>238</v>
      </c>
      <c r="W120" s="23" t="s">
        <v>239</v>
      </c>
      <c r="X120" s="21">
        <v>672</v>
      </c>
      <c r="Y120" s="21">
        <v>353</v>
      </c>
      <c r="Z120" s="21">
        <v>317</v>
      </c>
      <c r="AA120" s="21">
        <f t="shared" si="4"/>
        <v>92</v>
      </c>
      <c r="AB120" s="24">
        <f t="shared" si="5"/>
        <v>73.660714285714292</v>
      </c>
    </row>
    <row r="121" spans="1:28" ht="37.5" customHeight="1" x14ac:dyDescent="0.25">
      <c r="A121" s="20">
        <v>119</v>
      </c>
      <c r="B121" s="20">
        <v>159</v>
      </c>
      <c r="C121" s="20">
        <v>172</v>
      </c>
      <c r="D121" s="20">
        <v>2</v>
      </c>
      <c r="E121" s="20">
        <v>0</v>
      </c>
      <c r="F121" s="20">
        <v>0</v>
      </c>
      <c r="G121" s="20">
        <v>0</v>
      </c>
      <c r="H121" s="20">
        <v>1</v>
      </c>
      <c r="I121" s="20">
        <v>2</v>
      </c>
      <c r="J121" s="20">
        <v>0</v>
      </c>
      <c r="K121" s="20">
        <v>1</v>
      </c>
      <c r="L121" s="20">
        <v>2</v>
      </c>
      <c r="M121" s="20">
        <v>0</v>
      </c>
      <c r="N121" s="20">
        <v>1</v>
      </c>
      <c r="O121" s="21">
        <v>2</v>
      </c>
      <c r="P121" s="20">
        <v>342</v>
      </c>
      <c r="Q121" s="21">
        <v>0</v>
      </c>
      <c r="R121" s="20">
        <v>4</v>
      </c>
      <c r="S121" s="20">
        <f t="shared" si="3"/>
        <v>346</v>
      </c>
      <c r="T121" s="20">
        <v>0</v>
      </c>
      <c r="U121" s="22">
        <v>119</v>
      </c>
      <c r="V121" s="22" t="s">
        <v>240</v>
      </c>
      <c r="W121" s="23" t="s">
        <v>241</v>
      </c>
      <c r="X121" s="21">
        <v>609</v>
      </c>
      <c r="Y121" s="21">
        <v>321</v>
      </c>
      <c r="Z121" s="21">
        <v>283</v>
      </c>
      <c r="AA121" s="21">
        <f t="shared" si="4"/>
        <v>13</v>
      </c>
      <c r="AB121" s="24">
        <f t="shared" si="5"/>
        <v>56.814449917898187</v>
      </c>
    </row>
    <row r="122" spans="1:28" ht="37.5" customHeight="1" x14ac:dyDescent="0.25">
      <c r="A122" s="20">
        <v>120</v>
      </c>
      <c r="B122" s="20">
        <v>219</v>
      </c>
      <c r="C122" s="20">
        <v>246</v>
      </c>
      <c r="D122" s="20">
        <v>191</v>
      </c>
      <c r="E122" s="20">
        <v>3</v>
      </c>
      <c r="F122" s="20">
        <v>1</v>
      </c>
      <c r="G122" s="20">
        <v>1</v>
      </c>
      <c r="H122" s="20">
        <v>1</v>
      </c>
      <c r="I122" s="20">
        <v>2</v>
      </c>
      <c r="J122" s="20">
        <v>1</v>
      </c>
      <c r="K122" s="20">
        <v>3</v>
      </c>
      <c r="L122" s="20">
        <v>2</v>
      </c>
      <c r="M122" s="20">
        <v>3</v>
      </c>
      <c r="N122" s="21">
        <v>2</v>
      </c>
      <c r="O122" s="20">
        <v>1</v>
      </c>
      <c r="P122" s="20">
        <v>676</v>
      </c>
      <c r="Q122" s="21">
        <v>0</v>
      </c>
      <c r="R122" s="20">
        <v>5</v>
      </c>
      <c r="S122" s="20">
        <f t="shared" si="3"/>
        <v>681</v>
      </c>
      <c r="T122" s="20">
        <v>0</v>
      </c>
      <c r="U122" s="22">
        <v>120</v>
      </c>
      <c r="V122" s="22" t="s">
        <v>240</v>
      </c>
      <c r="W122" s="23" t="s">
        <v>242</v>
      </c>
      <c r="X122" s="21">
        <v>464</v>
      </c>
      <c r="Y122" s="21">
        <v>238</v>
      </c>
      <c r="Z122" s="21">
        <v>223</v>
      </c>
      <c r="AA122" s="21">
        <f t="shared" si="4"/>
        <v>27</v>
      </c>
      <c r="AB122" s="24">
        <f t="shared" si="5"/>
        <v>146.76724137931035</v>
      </c>
    </row>
    <row r="123" spans="1:28" ht="37.5" customHeight="1" x14ac:dyDescent="0.25">
      <c r="A123" s="20">
        <v>121</v>
      </c>
      <c r="B123" s="20">
        <v>248</v>
      </c>
      <c r="C123" s="20">
        <v>399</v>
      </c>
      <c r="D123" s="20">
        <v>91</v>
      </c>
      <c r="E123" s="20">
        <v>3</v>
      </c>
      <c r="F123" s="20">
        <v>1</v>
      </c>
      <c r="G123" s="21">
        <v>1</v>
      </c>
      <c r="H123" s="20">
        <v>11</v>
      </c>
      <c r="I123" s="20">
        <v>0</v>
      </c>
      <c r="J123" s="20">
        <v>1</v>
      </c>
      <c r="K123" s="20">
        <v>2</v>
      </c>
      <c r="L123" s="21">
        <v>8</v>
      </c>
      <c r="M123" s="20">
        <v>2</v>
      </c>
      <c r="N123" s="20">
        <v>5</v>
      </c>
      <c r="O123" s="20">
        <v>5</v>
      </c>
      <c r="P123" s="20">
        <v>777</v>
      </c>
      <c r="Q123" s="21">
        <v>0</v>
      </c>
      <c r="R123" s="20">
        <v>4</v>
      </c>
      <c r="S123" s="20">
        <f t="shared" si="3"/>
        <v>781</v>
      </c>
      <c r="T123" s="20">
        <v>0</v>
      </c>
      <c r="U123" s="22">
        <v>121</v>
      </c>
      <c r="V123" s="22" t="s">
        <v>243</v>
      </c>
      <c r="W123" s="23" t="s">
        <v>244</v>
      </c>
      <c r="X123" s="21">
        <v>790</v>
      </c>
      <c r="Y123" s="21">
        <v>412</v>
      </c>
      <c r="Z123" s="21">
        <v>378</v>
      </c>
      <c r="AA123" s="21">
        <f t="shared" si="4"/>
        <v>151</v>
      </c>
      <c r="AB123" s="24">
        <f t="shared" si="5"/>
        <v>98.860759493670898</v>
      </c>
    </row>
    <row r="124" spans="1:28" ht="37.5" customHeight="1" x14ac:dyDescent="0.25">
      <c r="A124" s="15">
        <v>112</v>
      </c>
      <c r="B124" s="15">
        <v>105</v>
      </c>
      <c r="C124" s="15">
        <v>40</v>
      </c>
      <c r="D124" s="15">
        <v>3</v>
      </c>
      <c r="E124" s="15">
        <v>1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1</v>
      </c>
      <c r="L124" s="16">
        <v>0</v>
      </c>
      <c r="M124" s="15">
        <v>0</v>
      </c>
      <c r="N124" s="15">
        <v>0</v>
      </c>
      <c r="O124" s="15">
        <v>1</v>
      </c>
      <c r="P124" s="15">
        <v>151</v>
      </c>
      <c r="Q124" s="16">
        <v>0</v>
      </c>
      <c r="R124" s="15">
        <v>2</v>
      </c>
      <c r="S124" s="15">
        <f t="shared" si="3"/>
        <v>153</v>
      </c>
      <c r="T124" s="15">
        <v>0</v>
      </c>
      <c r="U124" s="17">
        <v>122</v>
      </c>
      <c r="V124" s="17" t="s">
        <v>245</v>
      </c>
      <c r="W124" s="18" t="s">
        <v>246</v>
      </c>
      <c r="X124" s="16">
        <v>900</v>
      </c>
      <c r="Y124" s="16">
        <v>474</v>
      </c>
      <c r="Z124" s="16">
        <v>426</v>
      </c>
      <c r="AA124" s="16">
        <f t="shared" si="4"/>
        <v>65</v>
      </c>
      <c r="AB124" s="19">
        <f t="shared" si="5"/>
        <v>17</v>
      </c>
    </row>
    <row r="125" spans="1:28" ht="37.5" customHeight="1" x14ac:dyDescent="0.25">
      <c r="A125" s="15">
        <v>123</v>
      </c>
      <c r="B125" s="15">
        <v>380</v>
      </c>
      <c r="C125" s="15">
        <v>249</v>
      </c>
      <c r="D125" s="15">
        <v>37</v>
      </c>
      <c r="E125" s="15">
        <v>2</v>
      </c>
      <c r="F125" s="15">
        <v>0</v>
      </c>
      <c r="G125" s="15">
        <v>2</v>
      </c>
      <c r="H125" s="15">
        <v>3</v>
      </c>
      <c r="I125" s="15">
        <v>1</v>
      </c>
      <c r="J125" s="15">
        <v>0</v>
      </c>
      <c r="K125" s="15">
        <v>1</v>
      </c>
      <c r="L125" s="16">
        <v>3</v>
      </c>
      <c r="M125" s="16">
        <v>4</v>
      </c>
      <c r="N125" s="15">
        <v>1</v>
      </c>
      <c r="O125" s="15">
        <v>0</v>
      </c>
      <c r="P125" s="15">
        <v>683</v>
      </c>
      <c r="Q125" s="16">
        <v>0</v>
      </c>
      <c r="R125" s="15">
        <v>7</v>
      </c>
      <c r="S125" s="15">
        <f t="shared" si="3"/>
        <v>690</v>
      </c>
      <c r="T125" s="15">
        <v>0</v>
      </c>
      <c r="U125" s="17">
        <v>123</v>
      </c>
      <c r="V125" s="17" t="s">
        <v>247</v>
      </c>
      <c r="W125" s="18" t="s">
        <v>248</v>
      </c>
      <c r="X125" s="16">
        <v>213</v>
      </c>
      <c r="Y125" s="16">
        <v>111</v>
      </c>
      <c r="Z125" s="16">
        <v>102</v>
      </c>
      <c r="AA125" s="16">
        <f t="shared" si="4"/>
        <v>131</v>
      </c>
      <c r="AB125" s="19">
        <f t="shared" si="5"/>
        <v>323.94366197183098</v>
      </c>
    </row>
    <row r="126" spans="1:28" ht="37.5" customHeight="1" x14ac:dyDescent="0.25">
      <c r="A126" s="15">
        <v>124</v>
      </c>
      <c r="B126" s="15">
        <v>295</v>
      </c>
      <c r="C126" s="15">
        <v>290</v>
      </c>
      <c r="D126" s="15">
        <v>24</v>
      </c>
      <c r="E126" s="15">
        <v>1</v>
      </c>
      <c r="F126" s="15">
        <v>1</v>
      </c>
      <c r="G126" s="15">
        <v>0</v>
      </c>
      <c r="H126" s="15">
        <v>2</v>
      </c>
      <c r="I126" s="15">
        <v>4</v>
      </c>
      <c r="J126" s="15">
        <v>0</v>
      </c>
      <c r="K126" s="15">
        <v>0</v>
      </c>
      <c r="L126" s="16">
        <v>1</v>
      </c>
      <c r="M126" s="15">
        <v>0</v>
      </c>
      <c r="N126" s="15">
        <v>3</v>
      </c>
      <c r="O126" s="15">
        <v>4</v>
      </c>
      <c r="P126" s="15">
        <v>625</v>
      </c>
      <c r="Q126" s="16">
        <v>0</v>
      </c>
      <c r="R126" s="15">
        <v>7</v>
      </c>
      <c r="S126" s="15">
        <f t="shared" si="3"/>
        <v>632</v>
      </c>
      <c r="T126" s="15">
        <v>0</v>
      </c>
      <c r="U126" s="17">
        <v>124</v>
      </c>
      <c r="V126" s="17" t="s">
        <v>247</v>
      </c>
      <c r="W126" s="18" t="s">
        <v>249</v>
      </c>
      <c r="X126" s="16">
        <v>857</v>
      </c>
      <c r="Y126" s="16">
        <v>450</v>
      </c>
      <c r="Z126" s="16">
        <v>405</v>
      </c>
      <c r="AA126" s="16">
        <f t="shared" si="4"/>
        <v>5</v>
      </c>
      <c r="AB126" s="19">
        <f t="shared" si="5"/>
        <v>73.745624270711787</v>
      </c>
    </row>
    <row r="127" spans="1:28" ht="37.5" customHeight="1" x14ac:dyDescent="0.25">
      <c r="A127" s="15">
        <v>125</v>
      </c>
      <c r="B127" s="15">
        <v>448</v>
      </c>
      <c r="C127" s="15">
        <v>148</v>
      </c>
      <c r="D127" s="15">
        <v>81</v>
      </c>
      <c r="E127" s="15">
        <v>1</v>
      </c>
      <c r="F127" s="15">
        <v>0</v>
      </c>
      <c r="G127" s="15">
        <v>0</v>
      </c>
      <c r="H127" s="15">
        <v>1</v>
      </c>
      <c r="I127" s="15">
        <v>1</v>
      </c>
      <c r="J127" s="15">
        <v>0</v>
      </c>
      <c r="K127" s="15">
        <v>0</v>
      </c>
      <c r="L127" s="15">
        <v>3</v>
      </c>
      <c r="M127" s="15">
        <v>5</v>
      </c>
      <c r="N127" s="15">
        <v>0</v>
      </c>
      <c r="O127" s="15">
        <v>6</v>
      </c>
      <c r="P127" s="15">
        <v>694</v>
      </c>
      <c r="Q127" s="16">
        <v>0</v>
      </c>
      <c r="R127" s="15">
        <v>7</v>
      </c>
      <c r="S127" s="15">
        <f t="shared" si="3"/>
        <v>701</v>
      </c>
      <c r="T127" s="15">
        <v>0</v>
      </c>
      <c r="U127" s="17">
        <v>125</v>
      </c>
      <c r="V127" s="17" t="s">
        <v>250</v>
      </c>
      <c r="W127" s="18" t="s">
        <v>251</v>
      </c>
      <c r="X127" s="16">
        <v>788</v>
      </c>
      <c r="Y127" s="16">
        <v>400</v>
      </c>
      <c r="Z127" s="16">
        <v>382</v>
      </c>
      <c r="AA127" s="16">
        <f t="shared" si="4"/>
        <v>300</v>
      </c>
      <c r="AB127" s="19">
        <f t="shared" si="5"/>
        <v>88.959390862944161</v>
      </c>
    </row>
    <row r="128" spans="1:28" ht="37.5" customHeight="1" x14ac:dyDescent="0.25">
      <c r="A128" s="15">
        <v>126</v>
      </c>
      <c r="B128" s="15">
        <v>328</v>
      </c>
      <c r="C128" s="15">
        <v>288</v>
      </c>
      <c r="D128" s="15">
        <v>65</v>
      </c>
      <c r="E128" s="15">
        <v>2</v>
      </c>
      <c r="F128" s="15">
        <v>2</v>
      </c>
      <c r="G128" s="15">
        <v>0</v>
      </c>
      <c r="H128" s="15">
        <v>4</v>
      </c>
      <c r="I128" s="15">
        <v>0</v>
      </c>
      <c r="J128" s="15">
        <v>1</v>
      </c>
      <c r="K128" s="15">
        <v>4</v>
      </c>
      <c r="L128" s="16">
        <v>1</v>
      </c>
      <c r="M128" s="15">
        <v>0</v>
      </c>
      <c r="N128" s="15">
        <v>4</v>
      </c>
      <c r="O128" s="15">
        <v>1</v>
      </c>
      <c r="P128" s="15">
        <v>700</v>
      </c>
      <c r="Q128" s="16">
        <v>0</v>
      </c>
      <c r="R128" s="15">
        <v>2</v>
      </c>
      <c r="S128" s="15">
        <f t="shared" si="3"/>
        <v>702</v>
      </c>
      <c r="T128" s="15">
        <v>0</v>
      </c>
      <c r="U128" s="17">
        <v>126</v>
      </c>
      <c r="V128" s="17" t="s">
        <v>252</v>
      </c>
      <c r="W128" s="18" t="s">
        <v>253</v>
      </c>
      <c r="X128" s="16">
        <v>859</v>
      </c>
      <c r="Y128" s="16">
        <v>439</v>
      </c>
      <c r="Z128" s="16">
        <v>416</v>
      </c>
      <c r="AA128" s="16">
        <f t="shared" si="4"/>
        <v>40</v>
      </c>
      <c r="AB128" s="19">
        <f t="shared" si="5"/>
        <v>81.722933643771825</v>
      </c>
    </row>
    <row r="129" spans="1:28" ht="37.5" customHeight="1" x14ac:dyDescent="0.25">
      <c r="A129" s="20">
        <v>127</v>
      </c>
      <c r="B129" s="20">
        <v>159</v>
      </c>
      <c r="C129" s="20">
        <v>276</v>
      </c>
      <c r="D129" s="20">
        <v>111</v>
      </c>
      <c r="E129" s="20">
        <v>2</v>
      </c>
      <c r="F129" s="20">
        <v>2</v>
      </c>
      <c r="G129" s="20">
        <v>1</v>
      </c>
      <c r="H129" s="20">
        <v>0</v>
      </c>
      <c r="I129" s="20">
        <v>0</v>
      </c>
      <c r="J129" s="20">
        <v>0</v>
      </c>
      <c r="K129" s="20">
        <v>2</v>
      </c>
      <c r="L129" s="20">
        <v>2</v>
      </c>
      <c r="M129" s="20">
        <v>2</v>
      </c>
      <c r="N129" s="20">
        <v>2</v>
      </c>
      <c r="O129" s="20">
        <v>1</v>
      </c>
      <c r="P129" s="20">
        <v>560</v>
      </c>
      <c r="Q129" s="21">
        <v>0</v>
      </c>
      <c r="R129" s="20">
        <v>5</v>
      </c>
      <c r="S129" s="20">
        <f t="shared" si="3"/>
        <v>565</v>
      </c>
      <c r="T129" s="20">
        <v>0</v>
      </c>
      <c r="U129" s="22">
        <v>127</v>
      </c>
      <c r="V129" s="22" t="s">
        <v>254</v>
      </c>
      <c r="W129" s="23" t="s">
        <v>255</v>
      </c>
      <c r="X129" s="21">
        <v>842</v>
      </c>
      <c r="Y129" s="21">
        <v>438</v>
      </c>
      <c r="Z129" s="21">
        <v>404</v>
      </c>
      <c r="AA129" s="21">
        <f t="shared" si="4"/>
        <v>117</v>
      </c>
      <c r="AB129" s="24">
        <f t="shared" si="5"/>
        <v>67.10213776722091</v>
      </c>
    </row>
    <row r="130" spans="1:28" ht="37.5" customHeight="1" x14ac:dyDescent="0.25">
      <c r="A130" s="20">
        <v>128</v>
      </c>
      <c r="B130" s="20">
        <v>120</v>
      </c>
      <c r="C130" s="20">
        <v>225</v>
      </c>
      <c r="D130" s="20">
        <v>33</v>
      </c>
      <c r="E130" s="20">
        <v>0</v>
      </c>
      <c r="F130" s="20">
        <v>0</v>
      </c>
      <c r="G130" s="20">
        <v>0</v>
      </c>
      <c r="H130" s="20">
        <v>2</v>
      </c>
      <c r="I130" s="20">
        <v>1</v>
      </c>
      <c r="J130" s="20">
        <v>0</v>
      </c>
      <c r="K130" s="20">
        <v>0</v>
      </c>
      <c r="L130" s="20">
        <v>4</v>
      </c>
      <c r="M130" s="20">
        <v>1</v>
      </c>
      <c r="N130" s="20">
        <v>0</v>
      </c>
      <c r="O130" s="20">
        <v>1</v>
      </c>
      <c r="P130" s="20">
        <v>387</v>
      </c>
      <c r="Q130" s="21">
        <v>0</v>
      </c>
      <c r="R130" s="20">
        <v>2</v>
      </c>
      <c r="S130" s="20">
        <f t="shared" si="3"/>
        <v>389</v>
      </c>
      <c r="T130" s="20">
        <v>0</v>
      </c>
      <c r="U130" s="22">
        <v>128</v>
      </c>
      <c r="V130" s="22" t="s">
        <v>256</v>
      </c>
      <c r="W130" s="23" t="s">
        <v>257</v>
      </c>
      <c r="X130" s="21">
        <v>659</v>
      </c>
      <c r="Y130" s="21">
        <v>331</v>
      </c>
      <c r="Z130" s="21">
        <v>325</v>
      </c>
      <c r="AA130" s="21">
        <f t="shared" si="4"/>
        <v>105</v>
      </c>
      <c r="AB130" s="24">
        <f t="shared" si="5"/>
        <v>59.028831562974204</v>
      </c>
    </row>
    <row r="131" spans="1:28" ht="37.5" customHeight="1" x14ac:dyDescent="0.25">
      <c r="A131" s="15">
        <v>129</v>
      </c>
      <c r="B131" s="15">
        <v>591</v>
      </c>
      <c r="C131" s="15">
        <v>277</v>
      </c>
      <c r="D131" s="15">
        <v>19</v>
      </c>
      <c r="E131" s="15">
        <v>1</v>
      </c>
      <c r="F131" s="15">
        <v>0</v>
      </c>
      <c r="G131" s="15">
        <v>0</v>
      </c>
      <c r="H131" s="15">
        <v>1</v>
      </c>
      <c r="I131" s="15">
        <v>0</v>
      </c>
      <c r="J131" s="15">
        <v>1</v>
      </c>
      <c r="K131" s="15">
        <v>0</v>
      </c>
      <c r="L131" s="15">
        <v>2</v>
      </c>
      <c r="M131" s="15">
        <v>1</v>
      </c>
      <c r="N131" s="15">
        <v>0</v>
      </c>
      <c r="O131" s="15">
        <v>0</v>
      </c>
      <c r="P131" s="15">
        <v>893</v>
      </c>
      <c r="Q131" s="16">
        <v>0</v>
      </c>
      <c r="R131" s="15">
        <v>5</v>
      </c>
      <c r="S131" s="15">
        <f t="shared" si="3"/>
        <v>898</v>
      </c>
      <c r="T131" s="15">
        <v>0</v>
      </c>
      <c r="U131" s="17">
        <v>129</v>
      </c>
      <c r="V131" s="17" t="s">
        <v>258</v>
      </c>
      <c r="W131" s="18" t="s">
        <v>259</v>
      </c>
      <c r="X131" s="16">
        <v>476</v>
      </c>
      <c r="Y131" s="16">
        <v>241</v>
      </c>
      <c r="Z131" s="16">
        <v>233</v>
      </c>
      <c r="AA131" s="16">
        <f t="shared" si="4"/>
        <v>314</v>
      </c>
      <c r="AB131" s="19">
        <f t="shared" si="5"/>
        <v>188.65546218487395</v>
      </c>
    </row>
    <row r="132" spans="1:28" ht="37.5" customHeight="1" x14ac:dyDescent="0.25">
      <c r="A132" s="15">
        <v>130</v>
      </c>
      <c r="B132" s="15">
        <v>121</v>
      </c>
      <c r="C132" s="15">
        <v>81</v>
      </c>
      <c r="D132" s="15">
        <v>238</v>
      </c>
      <c r="E132" s="15">
        <v>2</v>
      </c>
      <c r="F132" s="15">
        <v>0</v>
      </c>
      <c r="G132" s="15">
        <v>0</v>
      </c>
      <c r="H132" s="15">
        <v>1</v>
      </c>
      <c r="I132" s="15">
        <v>0</v>
      </c>
      <c r="J132" s="16">
        <v>1</v>
      </c>
      <c r="K132" s="15">
        <v>0</v>
      </c>
      <c r="L132" s="15">
        <v>0</v>
      </c>
      <c r="M132" s="15">
        <v>2</v>
      </c>
      <c r="N132" s="15">
        <v>0</v>
      </c>
      <c r="O132" s="15">
        <v>2</v>
      </c>
      <c r="P132" s="15">
        <v>448</v>
      </c>
      <c r="Q132" s="16">
        <v>0</v>
      </c>
      <c r="R132" s="15">
        <v>1</v>
      </c>
      <c r="S132" s="15">
        <f t="shared" ref="S132:S195" si="6">SUM(P132:R132)</f>
        <v>449</v>
      </c>
      <c r="T132" s="15">
        <v>0</v>
      </c>
      <c r="U132" s="17">
        <v>130</v>
      </c>
      <c r="V132" s="17" t="s">
        <v>258</v>
      </c>
      <c r="W132" s="18" t="s">
        <v>260</v>
      </c>
      <c r="X132" s="16">
        <v>1127</v>
      </c>
      <c r="Y132" s="16">
        <v>583</v>
      </c>
      <c r="Z132" s="16">
        <v>541</v>
      </c>
      <c r="AA132" s="16">
        <f t="shared" ref="AA132:AA195" si="7">MAX(B132,C132)-MIN(B132,C132)</f>
        <v>40</v>
      </c>
      <c r="AB132" s="19">
        <f t="shared" ref="AB132:AB195" si="8">(S132/X132)*100</f>
        <v>39.840283939662825</v>
      </c>
    </row>
    <row r="133" spans="1:28" ht="37.5" customHeight="1" x14ac:dyDescent="0.25">
      <c r="A133" s="20">
        <v>131</v>
      </c>
      <c r="B133" s="20">
        <v>91</v>
      </c>
      <c r="C133" s="20">
        <v>352</v>
      </c>
      <c r="D133" s="20">
        <v>61</v>
      </c>
      <c r="E133" s="20">
        <v>0</v>
      </c>
      <c r="F133" s="20">
        <v>1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1</v>
      </c>
      <c r="M133" s="20">
        <v>0</v>
      </c>
      <c r="N133" s="20">
        <v>1</v>
      </c>
      <c r="O133" s="20">
        <v>0</v>
      </c>
      <c r="P133" s="20">
        <v>507</v>
      </c>
      <c r="Q133" s="21">
        <v>0</v>
      </c>
      <c r="R133" s="20">
        <v>1</v>
      </c>
      <c r="S133" s="20">
        <f t="shared" si="6"/>
        <v>508</v>
      </c>
      <c r="T133" s="20">
        <v>0</v>
      </c>
      <c r="U133" s="22">
        <v>131</v>
      </c>
      <c r="V133" s="22" t="s">
        <v>261</v>
      </c>
      <c r="W133" s="23" t="s">
        <v>262</v>
      </c>
      <c r="X133" s="21">
        <v>526</v>
      </c>
      <c r="Y133" s="21">
        <v>286</v>
      </c>
      <c r="Z133" s="21">
        <v>239</v>
      </c>
      <c r="AA133" s="21">
        <f t="shared" si="7"/>
        <v>261</v>
      </c>
      <c r="AB133" s="24">
        <f t="shared" si="8"/>
        <v>96.577946768060841</v>
      </c>
    </row>
    <row r="134" spans="1:28" ht="37.5" customHeight="1" x14ac:dyDescent="0.25">
      <c r="A134" s="20">
        <v>132</v>
      </c>
      <c r="B134" s="20">
        <v>203</v>
      </c>
      <c r="C134" s="20">
        <v>464</v>
      </c>
      <c r="D134" s="20">
        <v>99</v>
      </c>
      <c r="E134" s="20">
        <v>4</v>
      </c>
      <c r="F134" s="20">
        <v>1</v>
      </c>
      <c r="G134" s="21">
        <v>1</v>
      </c>
      <c r="H134" s="20">
        <v>1</v>
      </c>
      <c r="I134" s="20">
        <v>3</v>
      </c>
      <c r="J134" s="20">
        <v>3</v>
      </c>
      <c r="K134" s="20">
        <v>1</v>
      </c>
      <c r="L134" s="20">
        <v>7</v>
      </c>
      <c r="M134" s="20">
        <v>2</v>
      </c>
      <c r="N134" s="20">
        <v>1</v>
      </c>
      <c r="O134" s="20">
        <v>2</v>
      </c>
      <c r="P134" s="20">
        <v>792</v>
      </c>
      <c r="Q134" s="21">
        <v>0</v>
      </c>
      <c r="R134" s="20">
        <v>5</v>
      </c>
      <c r="S134" s="20">
        <f t="shared" si="6"/>
        <v>797</v>
      </c>
      <c r="T134" s="20">
        <v>0</v>
      </c>
      <c r="U134" s="22">
        <v>132</v>
      </c>
      <c r="V134" s="22" t="s">
        <v>263</v>
      </c>
      <c r="W134" s="23" t="s">
        <v>264</v>
      </c>
      <c r="X134" s="21">
        <v>595</v>
      </c>
      <c r="Y134" s="21">
        <v>297</v>
      </c>
      <c r="Z134" s="21">
        <v>284</v>
      </c>
      <c r="AA134" s="21">
        <f t="shared" si="7"/>
        <v>261</v>
      </c>
      <c r="AB134" s="24">
        <f t="shared" si="8"/>
        <v>133.94957983193277</v>
      </c>
    </row>
    <row r="135" spans="1:28" ht="37.5" customHeight="1" x14ac:dyDescent="0.25">
      <c r="A135" s="15">
        <v>133</v>
      </c>
      <c r="B135" s="15">
        <v>333</v>
      </c>
      <c r="C135" s="15">
        <v>125</v>
      </c>
      <c r="D135" s="15">
        <v>84</v>
      </c>
      <c r="E135" s="15">
        <v>2</v>
      </c>
      <c r="F135" s="15">
        <v>0</v>
      </c>
      <c r="G135" s="15">
        <v>0</v>
      </c>
      <c r="H135" s="15">
        <v>1</v>
      </c>
      <c r="I135" s="15">
        <v>0</v>
      </c>
      <c r="J135" s="15">
        <v>0</v>
      </c>
      <c r="K135" s="15">
        <v>1</v>
      </c>
      <c r="L135" s="16">
        <v>4</v>
      </c>
      <c r="M135" s="16">
        <v>3</v>
      </c>
      <c r="N135" s="16">
        <v>2</v>
      </c>
      <c r="O135" s="16">
        <v>4</v>
      </c>
      <c r="P135" s="16">
        <v>559</v>
      </c>
      <c r="Q135" s="16">
        <v>0</v>
      </c>
      <c r="R135" s="15">
        <v>7</v>
      </c>
      <c r="S135" s="15">
        <f t="shared" si="6"/>
        <v>566</v>
      </c>
      <c r="T135" s="15">
        <v>0</v>
      </c>
      <c r="U135" s="17">
        <v>133</v>
      </c>
      <c r="V135" s="17" t="s">
        <v>265</v>
      </c>
      <c r="W135" s="18" t="s">
        <v>266</v>
      </c>
      <c r="X135" s="16">
        <v>937</v>
      </c>
      <c r="Y135" s="16">
        <v>470</v>
      </c>
      <c r="Z135" s="16">
        <v>456</v>
      </c>
      <c r="AA135" s="16">
        <f t="shared" si="7"/>
        <v>208</v>
      </c>
      <c r="AB135" s="19">
        <f t="shared" si="8"/>
        <v>60.405549626467447</v>
      </c>
    </row>
    <row r="136" spans="1:28" ht="37.5" customHeight="1" x14ac:dyDescent="0.25">
      <c r="A136" s="15">
        <v>134</v>
      </c>
      <c r="B136" s="15">
        <v>294</v>
      </c>
      <c r="C136" s="15">
        <v>191</v>
      </c>
      <c r="D136" s="15">
        <v>67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6">
        <v>1</v>
      </c>
      <c r="L136" s="15">
        <v>2</v>
      </c>
      <c r="M136" s="15">
        <v>0</v>
      </c>
      <c r="N136" s="15">
        <v>3</v>
      </c>
      <c r="O136" s="15">
        <v>1</v>
      </c>
      <c r="P136" s="15">
        <v>559</v>
      </c>
      <c r="Q136" s="16">
        <v>0</v>
      </c>
      <c r="R136" s="15">
        <v>6</v>
      </c>
      <c r="S136" s="15">
        <f t="shared" si="6"/>
        <v>565</v>
      </c>
      <c r="T136" s="15">
        <v>0</v>
      </c>
      <c r="U136" s="17">
        <v>134</v>
      </c>
      <c r="V136" s="17" t="s">
        <v>267</v>
      </c>
      <c r="W136" s="18" t="s">
        <v>268</v>
      </c>
      <c r="X136" s="16">
        <v>664</v>
      </c>
      <c r="Y136" s="16">
        <v>345</v>
      </c>
      <c r="Z136" s="16">
        <v>315</v>
      </c>
      <c r="AA136" s="16">
        <f t="shared" si="7"/>
        <v>103</v>
      </c>
      <c r="AB136" s="19">
        <f t="shared" si="8"/>
        <v>85.090361445783131</v>
      </c>
    </row>
    <row r="137" spans="1:28" ht="37.5" customHeight="1" x14ac:dyDescent="0.25">
      <c r="A137" s="20">
        <v>135</v>
      </c>
      <c r="B137" s="20">
        <v>229</v>
      </c>
      <c r="C137" s="20">
        <v>339</v>
      </c>
      <c r="D137" s="20">
        <v>22</v>
      </c>
      <c r="E137" s="20">
        <v>0</v>
      </c>
      <c r="F137" s="20">
        <v>2</v>
      </c>
      <c r="G137" s="20">
        <v>0</v>
      </c>
      <c r="H137" s="20">
        <v>0</v>
      </c>
      <c r="I137" s="20">
        <v>0</v>
      </c>
      <c r="J137" s="20">
        <v>2</v>
      </c>
      <c r="K137" s="20">
        <v>2</v>
      </c>
      <c r="L137" s="20">
        <v>0</v>
      </c>
      <c r="M137" s="20">
        <v>2</v>
      </c>
      <c r="N137" s="20">
        <v>1</v>
      </c>
      <c r="O137" s="20">
        <v>2</v>
      </c>
      <c r="P137" s="20">
        <v>601</v>
      </c>
      <c r="Q137" s="21">
        <v>0</v>
      </c>
      <c r="R137" s="20">
        <v>3</v>
      </c>
      <c r="S137" s="20">
        <f t="shared" si="6"/>
        <v>604</v>
      </c>
      <c r="T137" s="20">
        <v>0</v>
      </c>
      <c r="U137" s="22">
        <v>135</v>
      </c>
      <c r="V137" s="22" t="s">
        <v>269</v>
      </c>
      <c r="W137" s="23" t="s">
        <v>270</v>
      </c>
      <c r="X137" s="21">
        <v>708</v>
      </c>
      <c r="Y137" s="21">
        <v>358</v>
      </c>
      <c r="Z137" s="21">
        <v>346</v>
      </c>
      <c r="AA137" s="21">
        <f t="shared" si="7"/>
        <v>110</v>
      </c>
      <c r="AB137" s="24">
        <f t="shared" si="8"/>
        <v>85.310734463276845</v>
      </c>
    </row>
    <row r="138" spans="1:28" ht="37.5" customHeight="1" x14ac:dyDescent="0.25">
      <c r="A138" s="15">
        <v>136</v>
      </c>
      <c r="B138" s="15">
        <v>488</v>
      </c>
      <c r="C138" s="15">
        <v>330</v>
      </c>
      <c r="D138" s="15">
        <v>20</v>
      </c>
      <c r="E138" s="15">
        <v>1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3</v>
      </c>
      <c r="L138" s="15">
        <v>3</v>
      </c>
      <c r="M138" s="15">
        <v>1</v>
      </c>
      <c r="N138" s="15">
        <v>1</v>
      </c>
      <c r="O138" s="15">
        <v>6</v>
      </c>
      <c r="P138" s="15">
        <v>855</v>
      </c>
      <c r="Q138" s="16">
        <v>0</v>
      </c>
      <c r="R138" s="15">
        <v>8</v>
      </c>
      <c r="S138" s="15">
        <f t="shared" si="6"/>
        <v>863</v>
      </c>
      <c r="T138" s="15">
        <v>0</v>
      </c>
      <c r="U138" s="17">
        <v>136</v>
      </c>
      <c r="V138" s="17" t="s">
        <v>271</v>
      </c>
      <c r="W138" s="18" t="s">
        <v>272</v>
      </c>
      <c r="X138" s="16">
        <v>714</v>
      </c>
      <c r="Y138" s="16">
        <v>363</v>
      </c>
      <c r="Z138" s="16">
        <v>350</v>
      </c>
      <c r="AA138" s="16">
        <f t="shared" si="7"/>
        <v>158</v>
      </c>
      <c r="AB138" s="19">
        <f t="shared" si="8"/>
        <v>120.86834733893556</v>
      </c>
    </row>
    <row r="139" spans="1:28" ht="37.5" customHeight="1" x14ac:dyDescent="0.25">
      <c r="A139" s="20">
        <v>137</v>
      </c>
      <c r="B139" s="20">
        <v>54</v>
      </c>
      <c r="C139" s="20">
        <v>569</v>
      </c>
      <c r="D139" s="20">
        <v>101</v>
      </c>
      <c r="E139" s="20">
        <v>3</v>
      </c>
      <c r="F139" s="20">
        <v>2</v>
      </c>
      <c r="G139" s="20">
        <v>3</v>
      </c>
      <c r="H139" s="20">
        <v>2</v>
      </c>
      <c r="I139" s="20">
        <v>3</v>
      </c>
      <c r="J139" s="20">
        <v>1</v>
      </c>
      <c r="K139" s="20">
        <v>0</v>
      </c>
      <c r="L139" s="20">
        <v>1</v>
      </c>
      <c r="M139" s="20">
        <v>1</v>
      </c>
      <c r="N139" s="20">
        <v>2</v>
      </c>
      <c r="O139" s="20">
        <v>5</v>
      </c>
      <c r="P139" s="20">
        <v>747</v>
      </c>
      <c r="Q139" s="21">
        <v>0</v>
      </c>
      <c r="R139" s="20">
        <v>7</v>
      </c>
      <c r="S139" s="20">
        <f t="shared" si="6"/>
        <v>754</v>
      </c>
      <c r="T139" s="20">
        <v>0</v>
      </c>
      <c r="U139" s="22">
        <v>137</v>
      </c>
      <c r="V139" s="22" t="s">
        <v>271</v>
      </c>
      <c r="W139" s="23" t="s">
        <v>273</v>
      </c>
      <c r="X139" s="21">
        <v>1041</v>
      </c>
      <c r="Y139" s="21">
        <v>546</v>
      </c>
      <c r="Z139" s="21">
        <v>493</v>
      </c>
      <c r="AA139" s="21">
        <f t="shared" si="7"/>
        <v>515</v>
      </c>
      <c r="AB139" s="24">
        <f t="shared" si="8"/>
        <v>72.430355427473586</v>
      </c>
    </row>
    <row r="140" spans="1:28" ht="37.5" customHeight="1" x14ac:dyDescent="0.25">
      <c r="A140" s="20">
        <v>138</v>
      </c>
      <c r="B140" s="20">
        <v>201</v>
      </c>
      <c r="C140" s="20">
        <v>369</v>
      </c>
      <c r="D140" s="20">
        <v>54</v>
      </c>
      <c r="E140" s="20">
        <v>0</v>
      </c>
      <c r="F140" s="20">
        <v>1</v>
      </c>
      <c r="G140" s="20">
        <v>0</v>
      </c>
      <c r="H140" s="20">
        <v>2</v>
      </c>
      <c r="I140" s="20">
        <v>0</v>
      </c>
      <c r="J140" s="20">
        <v>0</v>
      </c>
      <c r="K140" s="20">
        <v>2</v>
      </c>
      <c r="L140" s="20">
        <v>0</v>
      </c>
      <c r="M140" s="20">
        <v>0</v>
      </c>
      <c r="N140" s="20">
        <v>2</v>
      </c>
      <c r="O140" s="20">
        <v>0</v>
      </c>
      <c r="P140" s="20">
        <v>631</v>
      </c>
      <c r="Q140" s="21">
        <v>0</v>
      </c>
      <c r="R140" s="20">
        <v>1</v>
      </c>
      <c r="S140" s="20">
        <f t="shared" si="6"/>
        <v>632</v>
      </c>
      <c r="T140" s="20">
        <v>0</v>
      </c>
      <c r="U140" s="22">
        <v>138</v>
      </c>
      <c r="V140" s="22" t="s">
        <v>274</v>
      </c>
      <c r="W140" s="23" t="s">
        <v>275</v>
      </c>
      <c r="X140" s="21">
        <v>782</v>
      </c>
      <c r="Y140" s="21">
        <v>401</v>
      </c>
      <c r="Z140" s="21">
        <v>381</v>
      </c>
      <c r="AA140" s="21">
        <f t="shared" si="7"/>
        <v>168</v>
      </c>
      <c r="AB140" s="24">
        <f t="shared" si="8"/>
        <v>80.818414322250646</v>
      </c>
    </row>
    <row r="141" spans="1:28" ht="37.5" customHeight="1" x14ac:dyDescent="0.25">
      <c r="A141" s="20">
        <v>139</v>
      </c>
      <c r="B141" s="20">
        <v>108</v>
      </c>
      <c r="C141" s="20">
        <v>231</v>
      </c>
      <c r="D141" s="20">
        <v>80</v>
      </c>
      <c r="E141" s="20">
        <v>1</v>
      </c>
      <c r="F141" s="20">
        <v>1</v>
      </c>
      <c r="G141" s="20">
        <v>0</v>
      </c>
      <c r="H141" s="20">
        <v>2</v>
      </c>
      <c r="I141" s="20">
        <v>0</v>
      </c>
      <c r="J141" s="20">
        <v>1</v>
      </c>
      <c r="K141" s="20">
        <v>0</v>
      </c>
      <c r="L141" s="20">
        <v>1</v>
      </c>
      <c r="M141" s="20">
        <v>1</v>
      </c>
      <c r="N141" s="20">
        <v>3</v>
      </c>
      <c r="O141" s="20">
        <v>3</v>
      </c>
      <c r="P141" s="20">
        <v>432</v>
      </c>
      <c r="Q141" s="21">
        <v>0</v>
      </c>
      <c r="R141" s="20">
        <v>4</v>
      </c>
      <c r="S141" s="20">
        <f t="shared" si="6"/>
        <v>436</v>
      </c>
      <c r="T141" s="20">
        <v>0</v>
      </c>
      <c r="U141" s="22">
        <v>139</v>
      </c>
      <c r="V141" s="22" t="s">
        <v>276</v>
      </c>
      <c r="W141" s="23" t="s">
        <v>277</v>
      </c>
      <c r="X141" s="21">
        <v>487</v>
      </c>
      <c r="Y141" s="21">
        <v>247</v>
      </c>
      <c r="Z141" s="21">
        <v>239</v>
      </c>
      <c r="AA141" s="21">
        <f t="shared" si="7"/>
        <v>123</v>
      </c>
      <c r="AB141" s="24">
        <f t="shared" si="8"/>
        <v>89.527720739219703</v>
      </c>
    </row>
    <row r="142" spans="1:28" ht="37.5" customHeight="1" x14ac:dyDescent="0.25">
      <c r="A142" s="20">
        <v>140</v>
      </c>
      <c r="B142" s="20">
        <v>158</v>
      </c>
      <c r="C142" s="20">
        <v>352</v>
      </c>
      <c r="D142" s="20">
        <v>127</v>
      </c>
      <c r="E142" s="20">
        <v>4</v>
      </c>
      <c r="F142" s="20">
        <v>0</v>
      </c>
      <c r="G142" s="20">
        <v>1</v>
      </c>
      <c r="H142" s="20">
        <v>8</v>
      </c>
      <c r="I142" s="20">
        <v>2</v>
      </c>
      <c r="J142" s="20">
        <v>1</v>
      </c>
      <c r="K142" s="20">
        <v>1</v>
      </c>
      <c r="L142" s="20">
        <v>0</v>
      </c>
      <c r="M142" s="20">
        <v>1</v>
      </c>
      <c r="N142" s="20">
        <v>0</v>
      </c>
      <c r="O142" s="20">
        <v>0</v>
      </c>
      <c r="P142" s="20">
        <v>655</v>
      </c>
      <c r="Q142" s="21">
        <v>0</v>
      </c>
      <c r="R142" s="20">
        <v>1</v>
      </c>
      <c r="S142" s="20">
        <f t="shared" si="6"/>
        <v>656</v>
      </c>
      <c r="T142" s="20">
        <v>0</v>
      </c>
      <c r="U142" s="22">
        <v>140</v>
      </c>
      <c r="V142" s="22" t="s">
        <v>278</v>
      </c>
      <c r="W142" s="23" t="s">
        <v>279</v>
      </c>
      <c r="X142" s="21">
        <v>795</v>
      </c>
      <c r="Y142" s="21">
        <v>395</v>
      </c>
      <c r="Z142" s="21">
        <v>390</v>
      </c>
      <c r="AA142" s="21">
        <f t="shared" si="7"/>
        <v>194</v>
      </c>
      <c r="AB142" s="24">
        <f t="shared" si="8"/>
        <v>82.515723270440262</v>
      </c>
    </row>
    <row r="143" spans="1:28" ht="37.5" customHeight="1" x14ac:dyDescent="0.25">
      <c r="A143" s="20">
        <v>141</v>
      </c>
      <c r="B143" s="20">
        <v>327</v>
      </c>
      <c r="C143" s="20">
        <v>416</v>
      </c>
      <c r="D143" s="20">
        <v>232</v>
      </c>
      <c r="E143" s="20">
        <v>2</v>
      </c>
      <c r="F143" s="20">
        <v>1</v>
      </c>
      <c r="G143" s="20">
        <v>1</v>
      </c>
      <c r="H143" s="20">
        <v>1</v>
      </c>
      <c r="I143" s="20">
        <v>1</v>
      </c>
      <c r="J143" s="20">
        <v>1</v>
      </c>
      <c r="K143" s="20">
        <v>0</v>
      </c>
      <c r="L143" s="20">
        <v>3</v>
      </c>
      <c r="M143" s="20">
        <v>3</v>
      </c>
      <c r="N143" s="20">
        <v>2</v>
      </c>
      <c r="O143" s="20">
        <v>4</v>
      </c>
      <c r="P143" s="20">
        <v>994</v>
      </c>
      <c r="Q143" s="21">
        <v>0</v>
      </c>
      <c r="R143" s="20">
        <v>7</v>
      </c>
      <c r="S143" s="20">
        <f t="shared" si="6"/>
        <v>1001</v>
      </c>
      <c r="T143" s="20">
        <v>0</v>
      </c>
      <c r="U143" s="22">
        <v>141</v>
      </c>
      <c r="V143" s="22" t="s">
        <v>280</v>
      </c>
      <c r="W143" s="23" t="s">
        <v>281</v>
      </c>
      <c r="X143" s="21">
        <v>1231</v>
      </c>
      <c r="Y143" s="21">
        <v>630</v>
      </c>
      <c r="Z143" s="21">
        <v>598</v>
      </c>
      <c r="AA143" s="21">
        <f t="shared" si="7"/>
        <v>89</v>
      </c>
      <c r="AB143" s="24">
        <f t="shared" si="8"/>
        <v>81.316003249390747</v>
      </c>
    </row>
    <row r="144" spans="1:28" ht="37.5" customHeight="1" x14ac:dyDescent="0.25">
      <c r="A144" s="15">
        <v>142</v>
      </c>
      <c r="B144" s="15">
        <v>507</v>
      </c>
      <c r="C144" s="15">
        <v>127</v>
      </c>
      <c r="D144" s="15">
        <v>39</v>
      </c>
      <c r="E144" s="15">
        <v>2</v>
      </c>
      <c r="F144" s="15">
        <v>0</v>
      </c>
      <c r="G144" s="15">
        <v>0</v>
      </c>
      <c r="H144" s="15">
        <v>2</v>
      </c>
      <c r="I144" s="15">
        <v>1</v>
      </c>
      <c r="J144" s="15">
        <v>3</v>
      </c>
      <c r="K144" s="15">
        <v>0</v>
      </c>
      <c r="L144" s="15">
        <v>5</v>
      </c>
      <c r="M144" s="15">
        <v>4</v>
      </c>
      <c r="N144" s="15">
        <v>3</v>
      </c>
      <c r="O144" s="15">
        <v>2</v>
      </c>
      <c r="P144" s="15">
        <v>695</v>
      </c>
      <c r="Q144" s="16">
        <v>0</v>
      </c>
      <c r="R144" s="15">
        <v>3</v>
      </c>
      <c r="S144" s="15">
        <f t="shared" si="6"/>
        <v>698</v>
      </c>
      <c r="T144" s="15">
        <v>0</v>
      </c>
      <c r="U144" s="17">
        <v>142</v>
      </c>
      <c r="V144" s="17" t="s">
        <v>282</v>
      </c>
      <c r="W144" s="18" t="s">
        <v>283</v>
      </c>
      <c r="X144" s="16">
        <v>761</v>
      </c>
      <c r="Y144" s="16">
        <v>398</v>
      </c>
      <c r="Z144" s="16">
        <v>362</v>
      </c>
      <c r="AA144" s="16">
        <f t="shared" si="7"/>
        <v>380</v>
      </c>
      <c r="AB144" s="19">
        <f t="shared" si="8"/>
        <v>91.721419185282528</v>
      </c>
    </row>
    <row r="145" spans="1:28" ht="37.5" customHeight="1" x14ac:dyDescent="0.25">
      <c r="A145" s="20">
        <v>143</v>
      </c>
      <c r="B145" s="20">
        <v>183</v>
      </c>
      <c r="C145" s="20">
        <v>318</v>
      </c>
      <c r="D145" s="20">
        <v>35</v>
      </c>
      <c r="E145" s="20">
        <v>2</v>
      </c>
      <c r="F145" s="20">
        <v>0</v>
      </c>
      <c r="G145" s="20">
        <v>0</v>
      </c>
      <c r="H145" s="20">
        <v>2</v>
      </c>
      <c r="I145" s="20">
        <v>0</v>
      </c>
      <c r="J145" s="20">
        <v>2</v>
      </c>
      <c r="K145" s="20">
        <v>1</v>
      </c>
      <c r="L145" s="20">
        <v>3</v>
      </c>
      <c r="M145" s="20">
        <v>0</v>
      </c>
      <c r="N145" s="20">
        <v>1</v>
      </c>
      <c r="O145" s="20">
        <v>1</v>
      </c>
      <c r="P145" s="20">
        <v>548</v>
      </c>
      <c r="Q145" s="21">
        <v>0</v>
      </c>
      <c r="R145" s="20">
        <v>0</v>
      </c>
      <c r="S145" s="20">
        <f t="shared" si="6"/>
        <v>548</v>
      </c>
      <c r="T145" s="20">
        <v>0</v>
      </c>
      <c r="U145" s="22">
        <v>143</v>
      </c>
      <c r="V145" s="22" t="s">
        <v>284</v>
      </c>
      <c r="W145" s="23" t="s">
        <v>285</v>
      </c>
      <c r="X145" s="21">
        <v>602</v>
      </c>
      <c r="Y145" s="21">
        <v>316</v>
      </c>
      <c r="Z145" s="21">
        <v>285</v>
      </c>
      <c r="AA145" s="21">
        <f t="shared" si="7"/>
        <v>135</v>
      </c>
      <c r="AB145" s="24">
        <f t="shared" si="8"/>
        <v>91.029900332225907</v>
      </c>
    </row>
    <row r="146" spans="1:28" ht="37.5" customHeight="1" x14ac:dyDescent="0.25">
      <c r="A146" s="20">
        <v>144</v>
      </c>
      <c r="B146" s="20">
        <v>318</v>
      </c>
      <c r="C146" s="20">
        <v>433</v>
      </c>
      <c r="D146" s="20">
        <v>21</v>
      </c>
      <c r="E146" s="20">
        <v>2</v>
      </c>
      <c r="F146" s="20">
        <v>0</v>
      </c>
      <c r="G146" s="20">
        <v>0</v>
      </c>
      <c r="H146" s="20">
        <v>0</v>
      </c>
      <c r="I146" s="20">
        <v>1</v>
      </c>
      <c r="J146" s="20">
        <v>2</v>
      </c>
      <c r="K146" s="20">
        <v>1</v>
      </c>
      <c r="L146" s="20">
        <v>4</v>
      </c>
      <c r="M146" s="20">
        <v>1</v>
      </c>
      <c r="N146" s="20">
        <v>1</v>
      </c>
      <c r="O146" s="20">
        <v>1</v>
      </c>
      <c r="P146" s="20">
        <v>785</v>
      </c>
      <c r="Q146" s="21">
        <v>0</v>
      </c>
      <c r="R146" s="20">
        <v>6</v>
      </c>
      <c r="S146" s="20">
        <f t="shared" si="6"/>
        <v>791</v>
      </c>
      <c r="T146" s="20">
        <v>0</v>
      </c>
      <c r="U146" s="22">
        <v>144</v>
      </c>
      <c r="V146" s="22" t="s">
        <v>286</v>
      </c>
      <c r="W146" s="23" t="s">
        <v>287</v>
      </c>
      <c r="X146" s="21">
        <v>890</v>
      </c>
      <c r="Y146" s="21">
        <v>458</v>
      </c>
      <c r="Z146" s="21">
        <v>430</v>
      </c>
      <c r="AA146" s="21">
        <f t="shared" si="7"/>
        <v>115</v>
      </c>
      <c r="AB146" s="24">
        <f t="shared" si="8"/>
        <v>88.876404494382015</v>
      </c>
    </row>
    <row r="147" spans="1:28" ht="37.5" customHeight="1" x14ac:dyDescent="0.25">
      <c r="A147" s="15">
        <v>145</v>
      </c>
      <c r="B147" s="15">
        <v>315</v>
      </c>
      <c r="C147" s="15">
        <v>294</v>
      </c>
      <c r="D147" s="15">
        <v>9</v>
      </c>
      <c r="E147" s="15">
        <v>0</v>
      </c>
      <c r="F147" s="15">
        <v>0</v>
      </c>
      <c r="G147" s="15">
        <v>2</v>
      </c>
      <c r="H147" s="15">
        <v>0</v>
      </c>
      <c r="I147" s="15">
        <v>0</v>
      </c>
      <c r="J147" s="15">
        <v>1</v>
      </c>
      <c r="K147" s="15">
        <v>4</v>
      </c>
      <c r="L147" s="15">
        <v>4</v>
      </c>
      <c r="M147" s="15">
        <v>0</v>
      </c>
      <c r="N147" s="15">
        <v>1</v>
      </c>
      <c r="O147" s="15">
        <v>1</v>
      </c>
      <c r="P147" s="15">
        <v>631</v>
      </c>
      <c r="Q147" s="16">
        <v>0</v>
      </c>
      <c r="R147" s="15">
        <v>3</v>
      </c>
      <c r="S147" s="15">
        <f t="shared" si="6"/>
        <v>634</v>
      </c>
      <c r="T147" s="15">
        <v>0</v>
      </c>
      <c r="U147" s="17">
        <v>145</v>
      </c>
      <c r="V147" s="17" t="s">
        <v>288</v>
      </c>
      <c r="W147" s="18" t="s">
        <v>289</v>
      </c>
      <c r="X147" s="16">
        <v>842</v>
      </c>
      <c r="Y147" s="16">
        <v>418</v>
      </c>
      <c r="Z147" s="16">
        <v>423</v>
      </c>
      <c r="AA147" s="16">
        <f t="shared" si="7"/>
        <v>21</v>
      </c>
      <c r="AB147" s="19">
        <f t="shared" si="8"/>
        <v>75.296912114014248</v>
      </c>
    </row>
    <row r="148" spans="1:28" ht="37.5" customHeight="1" x14ac:dyDescent="0.25">
      <c r="A148" s="15">
        <v>146</v>
      </c>
      <c r="B148" s="15">
        <v>335</v>
      </c>
      <c r="C148" s="15">
        <v>15</v>
      </c>
      <c r="D148" s="15">
        <v>6</v>
      </c>
      <c r="E148" s="15">
        <v>0</v>
      </c>
      <c r="F148" s="15">
        <v>0</v>
      </c>
      <c r="G148" s="15">
        <v>1</v>
      </c>
      <c r="H148" s="15">
        <v>0</v>
      </c>
      <c r="I148" s="15">
        <v>0</v>
      </c>
      <c r="J148" s="15">
        <v>1</v>
      </c>
      <c r="K148" s="15">
        <v>0</v>
      </c>
      <c r="L148" s="15">
        <v>1</v>
      </c>
      <c r="M148" s="15">
        <v>0</v>
      </c>
      <c r="N148" s="15">
        <v>0</v>
      </c>
      <c r="O148" s="15">
        <v>2</v>
      </c>
      <c r="P148" s="15">
        <v>361</v>
      </c>
      <c r="Q148" s="16">
        <v>0</v>
      </c>
      <c r="R148" s="15">
        <v>4</v>
      </c>
      <c r="S148" s="15">
        <f t="shared" si="6"/>
        <v>365</v>
      </c>
      <c r="T148" s="15">
        <v>0</v>
      </c>
      <c r="U148" s="17">
        <v>146</v>
      </c>
      <c r="V148" s="17" t="s">
        <v>290</v>
      </c>
      <c r="W148" s="18" t="s">
        <v>291</v>
      </c>
      <c r="X148" s="16">
        <v>364</v>
      </c>
      <c r="Y148" s="16">
        <v>192</v>
      </c>
      <c r="Z148" s="16">
        <v>172</v>
      </c>
      <c r="AA148" s="16">
        <f t="shared" si="7"/>
        <v>320</v>
      </c>
      <c r="AB148" s="19">
        <f t="shared" si="8"/>
        <v>100.27472527472527</v>
      </c>
    </row>
    <row r="149" spans="1:28" ht="37.5" customHeight="1" x14ac:dyDescent="0.25">
      <c r="A149" s="20">
        <v>147</v>
      </c>
      <c r="B149" s="20">
        <v>134</v>
      </c>
      <c r="C149" s="20">
        <v>372</v>
      </c>
      <c r="D149" s="20">
        <v>20</v>
      </c>
      <c r="E149" s="20">
        <v>14</v>
      </c>
      <c r="F149" s="20">
        <v>0</v>
      </c>
      <c r="G149" s="20">
        <v>1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2</v>
      </c>
      <c r="P149" s="20">
        <v>543</v>
      </c>
      <c r="Q149" s="21">
        <v>0</v>
      </c>
      <c r="R149" s="20">
        <v>3</v>
      </c>
      <c r="S149" s="20">
        <f t="shared" si="6"/>
        <v>546</v>
      </c>
      <c r="T149" s="20">
        <v>0</v>
      </c>
      <c r="U149" s="22">
        <v>147</v>
      </c>
      <c r="V149" s="22" t="s">
        <v>292</v>
      </c>
      <c r="W149" s="23" t="s">
        <v>293</v>
      </c>
      <c r="X149" s="21">
        <v>74</v>
      </c>
      <c r="Y149" s="21">
        <v>370</v>
      </c>
      <c r="Z149" s="21">
        <v>371</v>
      </c>
      <c r="AA149" s="21">
        <f t="shared" si="7"/>
        <v>238</v>
      </c>
      <c r="AB149" s="24">
        <f t="shared" si="8"/>
        <v>737.83783783783781</v>
      </c>
    </row>
    <row r="150" spans="1:28" ht="37.5" customHeight="1" x14ac:dyDescent="0.25">
      <c r="A150" s="20">
        <v>148</v>
      </c>
      <c r="B150" s="20">
        <v>43</v>
      </c>
      <c r="C150" s="20">
        <v>462</v>
      </c>
      <c r="D150" s="20">
        <v>9</v>
      </c>
      <c r="E150" s="20">
        <v>11</v>
      </c>
      <c r="F150" s="20">
        <v>0</v>
      </c>
      <c r="G150" s="20">
        <v>0</v>
      </c>
      <c r="H150" s="20">
        <v>0</v>
      </c>
      <c r="I150" s="20">
        <v>2</v>
      </c>
      <c r="J150" s="20">
        <v>0</v>
      </c>
      <c r="K150" s="20">
        <v>1</v>
      </c>
      <c r="L150" s="20">
        <v>1</v>
      </c>
      <c r="M150" s="20">
        <v>3</v>
      </c>
      <c r="N150" s="20">
        <v>3</v>
      </c>
      <c r="O150" s="20">
        <v>0</v>
      </c>
      <c r="P150" s="20">
        <v>535</v>
      </c>
      <c r="Q150" s="21">
        <v>0</v>
      </c>
      <c r="R150" s="20">
        <v>4</v>
      </c>
      <c r="S150" s="20">
        <f t="shared" si="6"/>
        <v>539</v>
      </c>
      <c r="T150" s="20">
        <v>0</v>
      </c>
      <c r="U150" s="22">
        <v>148</v>
      </c>
      <c r="V150" s="22" t="s">
        <v>292</v>
      </c>
      <c r="W150" s="23" t="s">
        <v>294</v>
      </c>
      <c r="X150" s="21">
        <v>723</v>
      </c>
      <c r="Y150" s="21">
        <v>358</v>
      </c>
      <c r="Z150" s="21">
        <v>365</v>
      </c>
      <c r="AA150" s="21">
        <f t="shared" si="7"/>
        <v>419</v>
      </c>
      <c r="AB150" s="24">
        <f t="shared" si="8"/>
        <v>74.550484094052564</v>
      </c>
    </row>
    <row r="151" spans="1:28" ht="37.5" customHeight="1" x14ac:dyDescent="0.25">
      <c r="A151" s="20">
        <v>149</v>
      </c>
      <c r="B151" s="20">
        <v>33</v>
      </c>
      <c r="C151" s="20">
        <v>613</v>
      </c>
      <c r="D151" s="20">
        <v>11</v>
      </c>
      <c r="E151" s="20">
        <v>17</v>
      </c>
      <c r="F151" s="20">
        <v>0</v>
      </c>
      <c r="G151" s="20">
        <v>0</v>
      </c>
      <c r="H151" s="20">
        <v>0</v>
      </c>
      <c r="I151" s="20">
        <v>0</v>
      </c>
      <c r="J151" s="20">
        <v>1</v>
      </c>
      <c r="K151" s="20">
        <v>0</v>
      </c>
      <c r="L151" s="20">
        <v>0</v>
      </c>
      <c r="M151" s="20">
        <v>1</v>
      </c>
      <c r="N151" s="20">
        <v>0</v>
      </c>
      <c r="O151" s="20">
        <v>0</v>
      </c>
      <c r="P151" s="20">
        <v>676</v>
      </c>
      <c r="Q151" s="21">
        <v>0</v>
      </c>
      <c r="R151" s="21">
        <v>5</v>
      </c>
      <c r="S151" s="20">
        <f t="shared" si="6"/>
        <v>681</v>
      </c>
      <c r="T151" s="20">
        <v>0</v>
      </c>
      <c r="U151" s="22">
        <v>149</v>
      </c>
      <c r="V151" s="22" t="s">
        <v>292</v>
      </c>
      <c r="W151" s="23" t="s">
        <v>295</v>
      </c>
      <c r="X151" s="21">
        <v>880</v>
      </c>
      <c r="Y151" s="21">
        <v>440</v>
      </c>
      <c r="Z151" s="21">
        <v>439</v>
      </c>
      <c r="AA151" s="21">
        <f t="shared" si="7"/>
        <v>580</v>
      </c>
      <c r="AB151" s="24">
        <f t="shared" si="8"/>
        <v>77.386363636363626</v>
      </c>
    </row>
    <row r="152" spans="1:28" ht="37.5" customHeight="1" x14ac:dyDescent="0.25">
      <c r="A152" s="20">
        <v>150</v>
      </c>
      <c r="B152" s="20">
        <v>119</v>
      </c>
      <c r="C152" s="20">
        <v>353</v>
      </c>
      <c r="D152" s="20">
        <v>22</v>
      </c>
      <c r="E152" s="20">
        <v>5</v>
      </c>
      <c r="F152" s="20">
        <v>0</v>
      </c>
      <c r="G152" s="20">
        <v>2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1</v>
      </c>
      <c r="N152" s="20">
        <v>0</v>
      </c>
      <c r="O152" s="20">
        <v>2</v>
      </c>
      <c r="P152" s="20">
        <v>504</v>
      </c>
      <c r="Q152" s="21">
        <v>0</v>
      </c>
      <c r="R152" s="21">
        <v>6</v>
      </c>
      <c r="S152" s="20">
        <f t="shared" si="6"/>
        <v>510</v>
      </c>
      <c r="T152" s="20">
        <v>0</v>
      </c>
      <c r="U152" s="22">
        <v>150</v>
      </c>
      <c r="V152" s="22" t="s">
        <v>292</v>
      </c>
      <c r="W152" s="23" t="s">
        <v>296</v>
      </c>
      <c r="X152" s="21">
        <v>681</v>
      </c>
      <c r="Y152" s="21">
        <v>347</v>
      </c>
      <c r="Z152" s="21">
        <v>334</v>
      </c>
      <c r="AA152" s="21">
        <f t="shared" si="7"/>
        <v>234</v>
      </c>
      <c r="AB152" s="24">
        <f t="shared" si="8"/>
        <v>74.889867841409696</v>
      </c>
    </row>
    <row r="153" spans="1:28" ht="37.5" customHeight="1" x14ac:dyDescent="0.25">
      <c r="A153" s="20">
        <v>151</v>
      </c>
      <c r="B153" s="20">
        <v>233</v>
      </c>
      <c r="C153" s="20">
        <v>399</v>
      </c>
      <c r="D153" s="20">
        <v>29</v>
      </c>
      <c r="E153" s="20">
        <v>0</v>
      </c>
      <c r="F153" s="20">
        <v>0</v>
      </c>
      <c r="G153" s="20">
        <v>0</v>
      </c>
      <c r="H153" s="20">
        <v>4</v>
      </c>
      <c r="I153" s="20">
        <v>0</v>
      </c>
      <c r="J153" s="20">
        <v>1</v>
      </c>
      <c r="K153" s="20">
        <v>1</v>
      </c>
      <c r="L153" s="20">
        <v>1</v>
      </c>
      <c r="M153" s="20">
        <v>1</v>
      </c>
      <c r="N153" s="20">
        <v>1</v>
      </c>
      <c r="O153" s="20">
        <v>2</v>
      </c>
      <c r="P153" s="20">
        <v>672</v>
      </c>
      <c r="Q153" s="21">
        <v>0</v>
      </c>
      <c r="R153" s="20">
        <v>10</v>
      </c>
      <c r="S153" s="20">
        <f t="shared" si="6"/>
        <v>682</v>
      </c>
      <c r="T153" s="20">
        <v>0</v>
      </c>
      <c r="U153" s="22">
        <v>151</v>
      </c>
      <c r="V153" s="22" t="s">
        <v>292</v>
      </c>
      <c r="W153" s="23" t="s">
        <v>297</v>
      </c>
      <c r="X153" s="21">
        <v>763</v>
      </c>
      <c r="Y153" s="21">
        <v>394</v>
      </c>
      <c r="Z153" s="21">
        <v>368</v>
      </c>
      <c r="AA153" s="21">
        <f t="shared" si="7"/>
        <v>166</v>
      </c>
      <c r="AB153" s="24">
        <f t="shared" si="8"/>
        <v>89.384010484927913</v>
      </c>
    </row>
    <row r="154" spans="1:28" ht="37.5" customHeight="1" x14ac:dyDescent="0.25">
      <c r="A154" s="20">
        <v>152</v>
      </c>
      <c r="B154" s="20">
        <v>189</v>
      </c>
      <c r="C154" s="20">
        <v>414</v>
      </c>
      <c r="D154" s="20">
        <v>6</v>
      </c>
      <c r="E154" s="20">
        <v>2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1</v>
      </c>
      <c r="N154" s="21">
        <v>1</v>
      </c>
      <c r="O154" s="20">
        <v>1</v>
      </c>
      <c r="P154" s="20">
        <v>614</v>
      </c>
      <c r="Q154" s="21">
        <v>0</v>
      </c>
      <c r="R154" s="21">
        <v>0</v>
      </c>
      <c r="S154" s="20">
        <f t="shared" si="6"/>
        <v>614</v>
      </c>
      <c r="T154" s="20">
        <v>0</v>
      </c>
      <c r="U154" s="22">
        <v>152</v>
      </c>
      <c r="V154" s="22" t="s">
        <v>292</v>
      </c>
      <c r="W154" s="23" t="s">
        <v>298</v>
      </c>
      <c r="X154" s="21">
        <v>768</v>
      </c>
      <c r="Y154" s="21">
        <v>396</v>
      </c>
      <c r="Z154" s="21">
        <v>372</v>
      </c>
      <c r="AA154" s="21">
        <f t="shared" si="7"/>
        <v>225</v>
      </c>
      <c r="AB154" s="24">
        <f t="shared" si="8"/>
        <v>79.947916666666657</v>
      </c>
    </row>
    <row r="155" spans="1:28" ht="37.5" customHeight="1" x14ac:dyDescent="0.25">
      <c r="A155" s="15">
        <v>153</v>
      </c>
      <c r="B155" s="15">
        <v>194</v>
      </c>
      <c r="C155" s="15">
        <v>94</v>
      </c>
      <c r="D155" s="15">
        <v>46</v>
      </c>
      <c r="E155" s="15">
        <v>0</v>
      </c>
      <c r="F155" s="15">
        <v>0</v>
      </c>
      <c r="G155" s="15">
        <v>1</v>
      </c>
      <c r="H155" s="15">
        <v>0</v>
      </c>
      <c r="I155" s="15">
        <v>0</v>
      </c>
      <c r="J155" s="15">
        <v>0</v>
      </c>
      <c r="K155" s="15">
        <v>0</v>
      </c>
      <c r="L155" s="15">
        <v>1</v>
      </c>
      <c r="M155" s="15">
        <v>0</v>
      </c>
      <c r="N155" s="15">
        <v>0</v>
      </c>
      <c r="O155" s="15">
        <v>0</v>
      </c>
      <c r="P155" s="15">
        <v>336</v>
      </c>
      <c r="Q155" s="16">
        <v>0</v>
      </c>
      <c r="R155" s="16">
        <v>3</v>
      </c>
      <c r="S155" s="15">
        <f t="shared" si="6"/>
        <v>339</v>
      </c>
      <c r="T155" s="15">
        <v>0</v>
      </c>
      <c r="U155" s="17">
        <v>153</v>
      </c>
      <c r="V155" s="17" t="s">
        <v>292</v>
      </c>
      <c r="W155" s="18" t="s">
        <v>299</v>
      </c>
      <c r="X155" s="16">
        <v>1178</v>
      </c>
      <c r="Y155" s="16">
        <v>590</v>
      </c>
      <c r="Z155" s="16">
        <v>588</v>
      </c>
      <c r="AA155" s="16">
        <f t="shared" si="7"/>
        <v>100</v>
      </c>
      <c r="AB155" s="19">
        <f t="shared" si="8"/>
        <v>28.777589134125638</v>
      </c>
    </row>
    <row r="156" spans="1:28" ht="37.5" customHeight="1" x14ac:dyDescent="0.25">
      <c r="A156" s="20">
        <v>154</v>
      </c>
      <c r="B156" s="20">
        <v>200</v>
      </c>
      <c r="C156" s="20">
        <v>307</v>
      </c>
      <c r="D156" s="20">
        <v>35</v>
      </c>
      <c r="E156" s="20">
        <v>6</v>
      </c>
      <c r="F156" s="20">
        <v>0</v>
      </c>
      <c r="G156" s="20">
        <v>1</v>
      </c>
      <c r="H156" s="20">
        <v>0</v>
      </c>
      <c r="I156" s="20">
        <v>0</v>
      </c>
      <c r="J156" s="20">
        <v>0</v>
      </c>
      <c r="K156" s="20">
        <v>1</v>
      </c>
      <c r="L156" s="20">
        <v>0</v>
      </c>
      <c r="M156" s="20">
        <v>2</v>
      </c>
      <c r="N156" s="20">
        <v>1</v>
      </c>
      <c r="O156" s="20">
        <v>1</v>
      </c>
      <c r="P156" s="20">
        <v>554</v>
      </c>
      <c r="Q156" s="21">
        <v>0</v>
      </c>
      <c r="R156" s="20">
        <v>1</v>
      </c>
      <c r="S156" s="20">
        <f t="shared" si="6"/>
        <v>555</v>
      </c>
      <c r="T156" s="20">
        <v>0</v>
      </c>
      <c r="U156" s="22">
        <v>154</v>
      </c>
      <c r="V156" s="22" t="s">
        <v>292</v>
      </c>
      <c r="W156" s="23" t="s">
        <v>300</v>
      </c>
      <c r="X156" s="21">
        <v>866</v>
      </c>
      <c r="Y156" s="21">
        <v>450</v>
      </c>
      <c r="Z156" s="21">
        <v>416</v>
      </c>
      <c r="AA156" s="21">
        <f t="shared" si="7"/>
        <v>107</v>
      </c>
      <c r="AB156" s="24">
        <f t="shared" si="8"/>
        <v>64.087759815242492</v>
      </c>
    </row>
    <row r="157" spans="1:28" ht="37.5" customHeight="1" x14ac:dyDescent="0.25">
      <c r="A157" s="20">
        <v>155</v>
      </c>
      <c r="B157" s="20">
        <v>238</v>
      </c>
      <c r="C157" s="20">
        <v>318</v>
      </c>
      <c r="D157" s="20">
        <v>68</v>
      </c>
      <c r="E157" s="20">
        <v>0</v>
      </c>
      <c r="F157" s="20">
        <v>0</v>
      </c>
      <c r="G157" s="20">
        <v>0</v>
      </c>
      <c r="H157" s="20">
        <v>1</v>
      </c>
      <c r="I157" s="20">
        <v>0</v>
      </c>
      <c r="J157" s="20">
        <v>1</v>
      </c>
      <c r="K157" s="20">
        <v>0</v>
      </c>
      <c r="L157" s="20">
        <v>0</v>
      </c>
      <c r="M157" s="20">
        <v>2</v>
      </c>
      <c r="N157" s="20">
        <v>0</v>
      </c>
      <c r="O157" s="20">
        <v>0</v>
      </c>
      <c r="P157" s="20">
        <v>628</v>
      </c>
      <c r="Q157" s="21">
        <v>0</v>
      </c>
      <c r="R157" s="21">
        <v>3</v>
      </c>
      <c r="S157" s="20">
        <f t="shared" si="6"/>
        <v>631</v>
      </c>
      <c r="T157" s="20">
        <v>0</v>
      </c>
      <c r="U157" s="22">
        <v>155</v>
      </c>
      <c r="V157" s="22" t="s">
        <v>292</v>
      </c>
      <c r="W157" s="23" t="s">
        <v>301</v>
      </c>
      <c r="X157" s="21">
        <v>904</v>
      </c>
      <c r="Y157" s="21">
        <v>468</v>
      </c>
      <c r="Z157" s="21">
        <v>438</v>
      </c>
      <c r="AA157" s="21">
        <f t="shared" si="7"/>
        <v>80</v>
      </c>
      <c r="AB157" s="24">
        <f t="shared" si="8"/>
        <v>69.80088495575221</v>
      </c>
    </row>
    <row r="158" spans="1:28" ht="37.5" customHeight="1" x14ac:dyDescent="0.25">
      <c r="A158" s="15">
        <v>156</v>
      </c>
      <c r="B158" s="15">
        <v>470</v>
      </c>
      <c r="C158" s="15">
        <v>124</v>
      </c>
      <c r="D158" s="15">
        <v>98</v>
      </c>
      <c r="E158" s="15">
        <v>1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1</v>
      </c>
      <c r="M158" s="15">
        <v>0</v>
      </c>
      <c r="N158" s="15">
        <v>0</v>
      </c>
      <c r="O158" s="15">
        <v>2</v>
      </c>
      <c r="P158" s="15">
        <v>696</v>
      </c>
      <c r="Q158" s="16">
        <v>0</v>
      </c>
      <c r="R158" s="15">
        <v>7</v>
      </c>
      <c r="S158" s="15">
        <f t="shared" si="6"/>
        <v>703</v>
      </c>
      <c r="T158" s="15">
        <v>0</v>
      </c>
      <c r="U158" s="17">
        <v>156</v>
      </c>
      <c r="V158" s="17" t="s">
        <v>292</v>
      </c>
      <c r="W158" s="18" t="s">
        <v>302</v>
      </c>
      <c r="X158" s="16">
        <v>829</v>
      </c>
      <c r="Y158" s="16">
        <v>437</v>
      </c>
      <c r="Z158" s="16">
        <v>392</v>
      </c>
      <c r="AA158" s="16">
        <f t="shared" si="7"/>
        <v>346</v>
      </c>
      <c r="AB158" s="19">
        <f t="shared" si="8"/>
        <v>84.800965018094089</v>
      </c>
    </row>
    <row r="159" spans="1:28" ht="37.5" customHeight="1" x14ac:dyDescent="0.25">
      <c r="A159" s="15">
        <v>157</v>
      </c>
      <c r="B159" s="15">
        <v>298</v>
      </c>
      <c r="C159" s="15">
        <v>178</v>
      </c>
      <c r="D159" s="15">
        <v>74</v>
      </c>
      <c r="E159" s="16">
        <v>1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1</v>
      </c>
      <c r="L159" s="15">
        <v>1</v>
      </c>
      <c r="M159" s="15">
        <v>1</v>
      </c>
      <c r="N159" s="15">
        <v>3</v>
      </c>
      <c r="O159" s="15">
        <v>0</v>
      </c>
      <c r="P159" s="15">
        <v>557</v>
      </c>
      <c r="Q159" s="16">
        <v>0</v>
      </c>
      <c r="R159" s="15">
        <v>5</v>
      </c>
      <c r="S159" s="15">
        <f t="shared" si="6"/>
        <v>562</v>
      </c>
      <c r="T159" s="15">
        <v>1</v>
      </c>
      <c r="U159" s="17">
        <v>157</v>
      </c>
      <c r="V159" s="17" t="s">
        <v>292</v>
      </c>
      <c r="W159" s="18" t="s">
        <v>303</v>
      </c>
      <c r="X159" s="16">
        <v>818</v>
      </c>
      <c r="Y159" s="16">
        <v>406</v>
      </c>
      <c r="Z159" s="16">
        <v>411</v>
      </c>
      <c r="AA159" s="16">
        <f t="shared" si="7"/>
        <v>120</v>
      </c>
      <c r="AB159" s="19">
        <f t="shared" si="8"/>
        <v>68.704156479217602</v>
      </c>
    </row>
    <row r="160" spans="1:28" ht="37.5" customHeight="1" x14ac:dyDescent="0.25">
      <c r="A160" s="20">
        <v>158</v>
      </c>
      <c r="B160" s="20">
        <v>126</v>
      </c>
      <c r="C160" s="20">
        <v>464</v>
      </c>
      <c r="D160" s="20">
        <v>23</v>
      </c>
      <c r="E160" s="20">
        <v>3</v>
      </c>
      <c r="F160" s="20">
        <v>0</v>
      </c>
      <c r="G160" s="20">
        <v>0</v>
      </c>
      <c r="H160" s="20">
        <v>1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1</v>
      </c>
      <c r="O160" s="20">
        <v>2</v>
      </c>
      <c r="P160" s="20">
        <v>620</v>
      </c>
      <c r="Q160" s="21">
        <v>0</v>
      </c>
      <c r="R160" s="21">
        <v>1</v>
      </c>
      <c r="S160" s="20">
        <f t="shared" si="6"/>
        <v>621</v>
      </c>
      <c r="T160" s="20">
        <v>0</v>
      </c>
      <c r="U160" s="22">
        <v>158</v>
      </c>
      <c r="V160" s="22" t="s">
        <v>292</v>
      </c>
      <c r="W160" s="23" t="s">
        <v>304</v>
      </c>
      <c r="X160" s="21">
        <v>1028</v>
      </c>
      <c r="Y160" s="21">
        <v>538</v>
      </c>
      <c r="Z160" s="21">
        <v>489</v>
      </c>
      <c r="AA160" s="21">
        <f t="shared" si="7"/>
        <v>338</v>
      </c>
      <c r="AB160" s="24">
        <f t="shared" si="8"/>
        <v>60.408560311284042</v>
      </c>
    </row>
    <row r="161" spans="1:28" ht="37.5" customHeight="1" x14ac:dyDescent="0.25">
      <c r="A161" s="20">
        <v>159</v>
      </c>
      <c r="B161" s="20">
        <v>149</v>
      </c>
      <c r="C161" s="20">
        <v>568</v>
      </c>
      <c r="D161" s="20">
        <v>42</v>
      </c>
      <c r="E161" s="20">
        <v>34</v>
      </c>
      <c r="F161" s="20">
        <v>1</v>
      </c>
      <c r="G161" s="20">
        <v>0</v>
      </c>
      <c r="H161" s="20">
        <v>2</v>
      </c>
      <c r="I161" s="20">
        <v>0</v>
      </c>
      <c r="J161" s="20">
        <v>0</v>
      </c>
      <c r="K161" s="20">
        <v>2</v>
      </c>
      <c r="L161" s="20">
        <v>1</v>
      </c>
      <c r="M161" s="20">
        <v>1</v>
      </c>
      <c r="N161" s="20">
        <v>0</v>
      </c>
      <c r="O161" s="20">
        <v>1</v>
      </c>
      <c r="P161" s="20">
        <v>801</v>
      </c>
      <c r="Q161" s="21">
        <v>0</v>
      </c>
      <c r="R161" s="21">
        <v>2</v>
      </c>
      <c r="S161" s="20">
        <f t="shared" si="6"/>
        <v>803</v>
      </c>
      <c r="T161" s="20">
        <v>0</v>
      </c>
      <c r="U161" s="22">
        <v>159</v>
      </c>
      <c r="V161" s="22" t="s">
        <v>292</v>
      </c>
      <c r="W161" s="23" t="s">
        <v>305</v>
      </c>
      <c r="X161" s="21">
        <v>1196</v>
      </c>
      <c r="Y161" s="21">
        <v>626</v>
      </c>
      <c r="Z161" s="21">
        <v>570</v>
      </c>
      <c r="AA161" s="21">
        <f t="shared" si="7"/>
        <v>419</v>
      </c>
      <c r="AB161" s="24">
        <f t="shared" si="8"/>
        <v>67.140468227424748</v>
      </c>
    </row>
    <row r="162" spans="1:28" ht="37.5" customHeight="1" x14ac:dyDescent="0.25">
      <c r="A162" s="20">
        <v>160</v>
      </c>
      <c r="B162" s="20">
        <v>170</v>
      </c>
      <c r="C162" s="20">
        <v>589</v>
      </c>
      <c r="D162" s="20">
        <v>57</v>
      </c>
      <c r="E162" s="20">
        <v>11</v>
      </c>
      <c r="F162" s="20">
        <v>0</v>
      </c>
      <c r="G162" s="20">
        <v>1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1</v>
      </c>
      <c r="O162" s="20">
        <v>3</v>
      </c>
      <c r="P162" s="20">
        <v>832</v>
      </c>
      <c r="Q162" s="21">
        <v>0</v>
      </c>
      <c r="R162" s="21">
        <v>6</v>
      </c>
      <c r="S162" s="20">
        <f t="shared" si="6"/>
        <v>838</v>
      </c>
      <c r="T162" s="20">
        <v>0</v>
      </c>
      <c r="U162" s="22">
        <v>160</v>
      </c>
      <c r="V162" s="22" t="s">
        <v>292</v>
      </c>
      <c r="W162" s="23" t="s">
        <v>306</v>
      </c>
      <c r="X162" s="21">
        <v>1131</v>
      </c>
      <c r="Y162" s="21">
        <v>567</v>
      </c>
      <c r="Z162" s="21">
        <v>564</v>
      </c>
      <c r="AA162" s="21">
        <f t="shared" si="7"/>
        <v>419</v>
      </c>
      <c r="AB162" s="24">
        <f t="shared" si="8"/>
        <v>74.093722369584441</v>
      </c>
    </row>
    <row r="163" spans="1:28" ht="37.5" customHeight="1" x14ac:dyDescent="0.25">
      <c r="A163" s="20">
        <v>161</v>
      </c>
      <c r="B163" s="20">
        <v>55</v>
      </c>
      <c r="C163" s="20">
        <v>841</v>
      </c>
      <c r="D163" s="20">
        <v>17</v>
      </c>
      <c r="E163" s="20">
        <v>15</v>
      </c>
      <c r="F163" s="20">
        <v>1</v>
      </c>
      <c r="G163" s="20">
        <v>0</v>
      </c>
      <c r="H163" s="20">
        <v>1</v>
      </c>
      <c r="I163" s="20">
        <v>1</v>
      </c>
      <c r="J163" s="20">
        <v>0</v>
      </c>
      <c r="K163" s="20">
        <v>0</v>
      </c>
      <c r="L163" s="20">
        <v>0</v>
      </c>
      <c r="M163" s="20">
        <v>2</v>
      </c>
      <c r="N163" s="20">
        <v>1</v>
      </c>
      <c r="O163" s="20">
        <v>4</v>
      </c>
      <c r="P163" s="20">
        <v>938</v>
      </c>
      <c r="Q163" s="21">
        <v>0</v>
      </c>
      <c r="R163" s="20">
        <v>0</v>
      </c>
      <c r="S163" s="20">
        <f t="shared" si="6"/>
        <v>938</v>
      </c>
      <c r="T163" s="20">
        <v>0</v>
      </c>
      <c r="U163" s="22">
        <v>161</v>
      </c>
      <c r="V163" s="22" t="s">
        <v>292</v>
      </c>
      <c r="W163" s="23" t="s">
        <v>307</v>
      </c>
      <c r="X163" s="21">
        <v>1017</v>
      </c>
      <c r="Y163" s="21">
        <v>525</v>
      </c>
      <c r="Z163" s="21">
        <v>492</v>
      </c>
      <c r="AA163" s="21">
        <f t="shared" si="7"/>
        <v>786</v>
      </c>
      <c r="AB163" s="24">
        <f t="shared" si="8"/>
        <v>92.232055063913478</v>
      </c>
    </row>
    <row r="164" spans="1:28" ht="37.5" customHeight="1" x14ac:dyDescent="0.25">
      <c r="A164" s="20">
        <v>162</v>
      </c>
      <c r="B164" s="20">
        <v>163</v>
      </c>
      <c r="C164" s="20">
        <v>635</v>
      </c>
      <c r="D164" s="20">
        <v>8</v>
      </c>
      <c r="E164" s="20">
        <v>8</v>
      </c>
      <c r="F164" s="20">
        <v>1</v>
      </c>
      <c r="G164" s="20">
        <v>0</v>
      </c>
      <c r="H164" s="20">
        <v>1</v>
      </c>
      <c r="I164" s="20">
        <v>1</v>
      </c>
      <c r="J164" s="20">
        <v>0</v>
      </c>
      <c r="K164" s="20">
        <v>0</v>
      </c>
      <c r="L164" s="20">
        <v>1</v>
      </c>
      <c r="M164" s="20">
        <v>1</v>
      </c>
      <c r="N164" s="20">
        <v>3</v>
      </c>
      <c r="O164" s="20">
        <v>1</v>
      </c>
      <c r="P164" s="20">
        <v>823</v>
      </c>
      <c r="Q164" s="21">
        <v>0</v>
      </c>
      <c r="R164" s="21">
        <v>8</v>
      </c>
      <c r="S164" s="20">
        <f t="shared" si="6"/>
        <v>831</v>
      </c>
      <c r="T164" s="20">
        <v>0</v>
      </c>
      <c r="U164" s="22">
        <v>162</v>
      </c>
      <c r="V164" s="22" t="s">
        <v>292</v>
      </c>
      <c r="W164" s="23" t="s">
        <v>308</v>
      </c>
      <c r="X164" s="21">
        <v>800</v>
      </c>
      <c r="Y164" s="21">
        <v>414</v>
      </c>
      <c r="Z164" s="21">
        <v>379</v>
      </c>
      <c r="AA164" s="21">
        <f t="shared" si="7"/>
        <v>472</v>
      </c>
      <c r="AB164" s="24">
        <f t="shared" si="8"/>
        <v>103.875</v>
      </c>
    </row>
    <row r="165" spans="1:28" ht="37.5" customHeight="1" x14ac:dyDescent="0.25">
      <c r="A165" s="15">
        <v>163</v>
      </c>
      <c r="B165" s="15">
        <v>194</v>
      </c>
      <c r="C165" s="15">
        <v>146</v>
      </c>
      <c r="D165" s="15">
        <v>99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439</v>
      </c>
      <c r="Q165" s="16">
        <v>0</v>
      </c>
      <c r="R165" s="15">
        <v>1</v>
      </c>
      <c r="S165" s="15">
        <f t="shared" si="6"/>
        <v>440</v>
      </c>
      <c r="T165" s="15">
        <v>0</v>
      </c>
      <c r="U165" s="17">
        <v>163</v>
      </c>
      <c r="V165" s="17" t="s">
        <v>292</v>
      </c>
      <c r="W165" s="18" t="s">
        <v>309</v>
      </c>
      <c r="X165" s="16">
        <v>800</v>
      </c>
      <c r="Y165" s="16">
        <v>414</v>
      </c>
      <c r="Z165" s="16">
        <v>379</v>
      </c>
      <c r="AA165" s="16">
        <f t="shared" si="7"/>
        <v>48</v>
      </c>
      <c r="AB165" s="19">
        <f t="shared" si="8"/>
        <v>55.000000000000007</v>
      </c>
    </row>
    <row r="166" spans="1:28" ht="37.5" customHeight="1" x14ac:dyDescent="0.25">
      <c r="A166" s="15">
        <v>164</v>
      </c>
      <c r="B166" s="15">
        <v>300</v>
      </c>
      <c r="C166" s="15">
        <v>203</v>
      </c>
      <c r="D166" s="15">
        <v>62</v>
      </c>
      <c r="E166" s="15">
        <v>1</v>
      </c>
      <c r="F166" s="15">
        <v>0</v>
      </c>
      <c r="G166" s="15">
        <v>0</v>
      </c>
      <c r="H166" s="15">
        <v>1</v>
      </c>
      <c r="I166" s="15">
        <v>0</v>
      </c>
      <c r="J166" s="15">
        <v>0</v>
      </c>
      <c r="K166" s="15">
        <v>0</v>
      </c>
      <c r="L166" s="15">
        <v>3</v>
      </c>
      <c r="M166" s="15">
        <v>0</v>
      </c>
      <c r="N166" s="15">
        <v>3</v>
      </c>
      <c r="O166" s="15">
        <v>3</v>
      </c>
      <c r="P166" s="15">
        <v>576</v>
      </c>
      <c r="Q166" s="16">
        <v>0</v>
      </c>
      <c r="R166" s="15">
        <v>10</v>
      </c>
      <c r="S166" s="15">
        <f t="shared" si="6"/>
        <v>586</v>
      </c>
      <c r="T166" s="15">
        <v>0</v>
      </c>
      <c r="U166" s="17">
        <v>164</v>
      </c>
      <c r="V166" s="17" t="s">
        <v>292</v>
      </c>
      <c r="W166" s="18" t="s">
        <v>310</v>
      </c>
      <c r="X166" s="16">
        <v>804</v>
      </c>
      <c r="Y166" s="16">
        <v>409</v>
      </c>
      <c r="Z166" s="16">
        <v>388</v>
      </c>
      <c r="AA166" s="16">
        <f t="shared" si="7"/>
        <v>97</v>
      </c>
      <c r="AB166" s="19">
        <f t="shared" si="8"/>
        <v>72.885572139303477</v>
      </c>
    </row>
    <row r="167" spans="1:28" ht="37.5" customHeight="1" x14ac:dyDescent="0.25">
      <c r="A167" s="15">
        <v>165</v>
      </c>
      <c r="B167" s="15">
        <v>318</v>
      </c>
      <c r="C167" s="15">
        <v>281</v>
      </c>
      <c r="D167" s="15">
        <v>107</v>
      </c>
      <c r="E167" s="15">
        <v>0</v>
      </c>
      <c r="F167" s="15">
        <v>1</v>
      </c>
      <c r="G167" s="15">
        <v>0</v>
      </c>
      <c r="H167" s="15">
        <v>0</v>
      </c>
      <c r="I167" s="15">
        <v>1</v>
      </c>
      <c r="J167" s="15">
        <v>0</v>
      </c>
      <c r="K167" s="15">
        <v>1</v>
      </c>
      <c r="L167" s="15">
        <v>2</v>
      </c>
      <c r="M167" s="15">
        <v>1</v>
      </c>
      <c r="N167" s="15">
        <v>1</v>
      </c>
      <c r="O167" s="15">
        <v>2</v>
      </c>
      <c r="P167" s="15">
        <v>715</v>
      </c>
      <c r="Q167" s="16">
        <v>0</v>
      </c>
      <c r="R167" s="15">
        <v>7</v>
      </c>
      <c r="S167" s="15">
        <f t="shared" si="6"/>
        <v>722</v>
      </c>
      <c r="T167" s="15">
        <v>0</v>
      </c>
      <c r="U167" s="17">
        <v>165</v>
      </c>
      <c r="V167" s="17" t="s">
        <v>292</v>
      </c>
      <c r="W167" s="18" t="s">
        <v>311</v>
      </c>
      <c r="X167" s="16">
        <v>1010</v>
      </c>
      <c r="Y167" s="16">
        <v>507</v>
      </c>
      <c r="Z167" s="16">
        <v>489</v>
      </c>
      <c r="AA167" s="16">
        <f t="shared" si="7"/>
        <v>37</v>
      </c>
      <c r="AB167" s="19">
        <f t="shared" si="8"/>
        <v>71.485148514851488</v>
      </c>
    </row>
    <row r="168" spans="1:28" ht="37.5" customHeight="1" x14ac:dyDescent="0.25">
      <c r="A168" s="15">
        <v>166</v>
      </c>
      <c r="B168" s="15">
        <v>472</v>
      </c>
      <c r="C168" s="15">
        <v>224</v>
      </c>
      <c r="D168" s="15">
        <v>236</v>
      </c>
      <c r="E168" s="15">
        <v>3</v>
      </c>
      <c r="F168" s="15">
        <v>0</v>
      </c>
      <c r="G168" s="15">
        <v>0</v>
      </c>
      <c r="H168" s="15">
        <v>0</v>
      </c>
      <c r="I168" s="15">
        <v>1</v>
      </c>
      <c r="J168" s="15">
        <v>0</v>
      </c>
      <c r="K168" s="15">
        <v>2</v>
      </c>
      <c r="L168" s="15">
        <v>1</v>
      </c>
      <c r="M168" s="15">
        <v>0</v>
      </c>
      <c r="N168" s="15">
        <v>1</v>
      </c>
      <c r="O168" s="15">
        <v>0</v>
      </c>
      <c r="P168" s="15">
        <v>940</v>
      </c>
      <c r="Q168" s="16">
        <v>0</v>
      </c>
      <c r="R168" s="15">
        <v>4</v>
      </c>
      <c r="S168" s="15">
        <f t="shared" si="6"/>
        <v>944</v>
      </c>
      <c r="T168" s="15">
        <v>0</v>
      </c>
      <c r="U168" s="17">
        <v>166</v>
      </c>
      <c r="V168" s="17" t="s">
        <v>292</v>
      </c>
      <c r="W168" s="18" t="s">
        <v>312</v>
      </c>
      <c r="X168" s="16">
        <v>998</v>
      </c>
      <c r="Y168" s="16">
        <v>530</v>
      </c>
      <c r="Z168" s="16">
        <v>465</v>
      </c>
      <c r="AA168" s="16">
        <f t="shared" si="7"/>
        <v>248</v>
      </c>
      <c r="AB168" s="19">
        <f t="shared" si="8"/>
        <v>94.589178356713418</v>
      </c>
    </row>
    <row r="169" spans="1:28" ht="37.5" customHeight="1" x14ac:dyDescent="0.25">
      <c r="A169" s="15">
        <v>167</v>
      </c>
      <c r="B169" s="15">
        <v>300</v>
      </c>
      <c r="C169" s="15">
        <v>105</v>
      </c>
      <c r="D169" s="15">
        <v>65</v>
      </c>
      <c r="E169" s="15">
        <v>1</v>
      </c>
      <c r="F169" s="15">
        <v>0</v>
      </c>
      <c r="G169" s="15">
        <v>0</v>
      </c>
      <c r="H169" s="15">
        <v>1</v>
      </c>
      <c r="I169" s="15">
        <v>0</v>
      </c>
      <c r="J169" s="15">
        <v>0</v>
      </c>
      <c r="K169" s="15">
        <v>0</v>
      </c>
      <c r="L169" s="15">
        <v>2</v>
      </c>
      <c r="M169" s="15">
        <v>0</v>
      </c>
      <c r="N169" s="15">
        <v>0</v>
      </c>
      <c r="O169" s="15">
        <v>0</v>
      </c>
      <c r="P169" s="15">
        <v>474</v>
      </c>
      <c r="Q169" s="16">
        <v>0</v>
      </c>
      <c r="R169" s="15">
        <v>2</v>
      </c>
      <c r="S169" s="15">
        <f t="shared" si="6"/>
        <v>476</v>
      </c>
      <c r="T169" s="15">
        <v>0</v>
      </c>
      <c r="U169" s="17">
        <v>167</v>
      </c>
      <c r="V169" s="17" t="s">
        <v>292</v>
      </c>
      <c r="W169" s="18" t="s">
        <v>313</v>
      </c>
      <c r="X169" s="16">
        <v>527</v>
      </c>
      <c r="Y169" s="16">
        <v>277</v>
      </c>
      <c r="Z169" s="16">
        <v>247</v>
      </c>
      <c r="AA169" s="16">
        <f t="shared" si="7"/>
        <v>195</v>
      </c>
      <c r="AB169" s="19">
        <f t="shared" si="8"/>
        <v>90.322580645161281</v>
      </c>
    </row>
    <row r="170" spans="1:28" ht="37.5" customHeight="1" x14ac:dyDescent="0.25">
      <c r="A170" s="15">
        <v>168</v>
      </c>
      <c r="B170" s="15">
        <v>269</v>
      </c>
      <c r="C170" s="15">
        <v>112</v>
      </c>
      <c r="D170" s="15">
        <v>56</v>
      </c>
      <c r="E170" s="15">
        <v>1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438</v>
      </c>
      <c r="Q170" s="16">
        <v>0</v>
      </c>
      <c r="R170" s="15">
        <v>2</v>
      </c>
      <c r="S170" s="15">
        <f t="shared" si="6"/>
        <v>440</v>
      </c>
      <c r="T170" s="15">
        <v>0</v>
      </c>
      <c r="U170" s="17">
        <v>168</v>
      </c>
      <c r="V170" s="17" t="s">
        <v>292</v>
      </c>
      <c r="W170" s="18" t="s">
        <v>314</v>
      </c>
      <c r="X170" s="16">
        <v>656</v>
      </c>
      <c r="Y170" s="16">
        <v>334</v>
      </c>
      <c r="Z170" s="16">
        <v>321</v>
      </c>
      <c r="AA170" s="16">
        <f t="shared" si="7"/>
        <v>157</v>
      </c>
      <c r="AB170" s="19">
        <f t="shared" si="8"/>
        <v>67.073170731707322</v>
      </c>
    </row>
    <row r="171" spans="1:28" ht="37.5" customHeight="1" x14ac:dyDescent="0.25">
      <c r="A171" s="15">
        <v>169</v>
      </c>
      <c r="B171" s="15">
        <v>137</v>
      </c>
      <c r="C171" s="15">
        <v>45</v>
      </c>
      <c r="D171" s="15">
        <v>29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212</v>
      </c>
      <c r="Q171" s="16">
        <v>0</v>
      </c>
      <c r="R171" s="15">
        <v>2</v>
      </c>
      <c r="S171" s="15">
        <f t="shared" si="6"/>
        <v>214</v>
      </c>
      <c r="T171" s="15">
        <v>0</v>
      </c>
      <c r="U171" s="17">
        <v>169</v>
      </c>
      <c r="V171" s="17" t="s">
        <v>292</v>
      </c>
      <c r="W171" s="18" t="s">
        <v>315</v>
      </c>
      <c r="X171" s="16">
        <v>599</v>
      </c>
      <c r="Y171" s="16">
        <v>300</v>
      </c>
      <c r="Z171" s="16">
        <v>294</v>
      </c>
      <c r="AA171" s="16">
        <f t="shared" si="7"/>
        <v>92</v>
      </c>
      <c r="AB171" s="19">
        <f t="shared" si="8"/>
        <v>35.72621035058431</v>
      </c>
    </row>
    <row r="172" spans="1:28" ht="37.5" customHeight="1" x14ac:dyDescent="0.25">
      <c r="A172" s="15">
        <v>170</v>
      </c>
      <c r="B172" s="15">
        <v>322</v>
      </c>
      <c r="C172" s="15">
        <v>180</v>
      </c>
      <c r="D172" s="15">
        <v>39</v>
      </c>
      <c r="E172" s="15">
        <v>8</v>
      </c>
      <c r="F172" s="15">
        <v>0</v>
      </c>
      <c r="G172" s="15">
        <v>0</v>
      </c>
      <c r="H172" s="15">
        <v>3</v>
      </c>
      <c r="I172" s="15">
        <v>0</v>
      </c>
      <c r="J172" s="15">
        <v>0</v>
      </c>
      <c r="K172" s="15">
        <v>2</v>
      </c>
      <c r="L172" s="15">
        <v>1</v>
      </c>
      <c r="M172" s="15">
        <v>1</v>
      </c>
      <c r="N172" s="15">
        <v>1</v>
      </c>
      <c r="O172" s="15">
        <v>1</v>
      </c>
      <c r="P172" s="15">
        <v>558</v>
      </c>
      <c r="Q172" s="16">
        <v>0</v>
      </c>
      <c r="R172" s="15">
        <v>3</v>
      </c>
      <c r="S172" s="15">
        <f t="shared" si="6"/>
        <v>561</v>
      </c>
      <c r="T172" s="15">
        <v>0</v>
      </c>
      <c r="U172" s="17">
        <v>170</v>
      </c>
      <c r="V172" s="17" t="s">
        <v>292</v>
      </c>
      <c r="W172" s="18" t="s">
        <v>316</v>
      </c>
      <c r="X172" s="16">
        <v>1104</v>
      </c>
      <c r="Y172" s="16">
        <v>552</v>
      </c>
      <c r="Z172" s="16">
        <v>547</v>
      </c>
      <c r="AA172" s="16">
        <f t="shared" si="7"/>
        <v>142</v>
      </c>
      <c r="AB172" s="19">
        <f t="shared" si="8"/>
        <v>50.815217391304344</v>
      </c>
    </row>
    <row r="173" spans="1:28" ht="37.5" customHeight="1" x14ac:dyDescent="0.25">
      <c r="A173" s="15">
        <v>171</v>
      </c>
      <c r="B173" s="15">
        <v>314</v>
      </c>
      <c r="C173" s="15">
        <v>175</v>
      </c>
      <c r="D173" s="15">
        <v>32</v>
      </c>
      <c r="E173" s="15">
        <v>0</v>
      </c>
      <c r="F173" s="15">
        <v>0</v>
      </c>
      <c r="G173" s="15">
        <v>1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3</v>
      </c>
      <c r="N173" s="15">
        <v>0</v>
      </c>
      <c r="O173" s="15">
        <v>0</v>
      </c>
      <c r="P173" s="15">
        <v>525</v>
      </c>
      <c r="Q173" s="16">
        <v>0</v>
      </c>
      <c r="R173" s="15">
        <v>3</v>
      </c>
      <c r="S173" s="15">
        <f t="shared" si="6"/>
        <v>528</v>
      </c>
      <c r="T173" s="15">
        <v>0</v>
      </c>
      <c r="U173" s="17">
        <v>171</v>
      </c>
      <c r="V173" s="17" t="s">
        <v>292</v>
      </c>
      <c r="W173" s="18" t="s">
        <v>317</v>
      </c>
      <c r="X173" s="16">
        <v>682</v>
      </c>
      <c r="Y173" s="16">
        <v>359</v>
      </c>
      <c r="Z173" s="16">
        <v>323</v>
      </c>
      <c r="AA173" s="16">
        <f t="shared" si="7"/>
        <v>139</v>
      </c>
      <c r="AB173" s="19">
        <f t="shared" si="8"/>
        <v>77.41935483870968</v>
      </c>
    </row>
    <row r="174" spans="1:28" ht="37.5" customHeight="1" x14ac:dyDescent="0.25">
      <c r="A174" s="15">
        <v>172</v>
      </c>
      <c r="B174" s="15">
        <v>354</v>
      </c>
      <c r="C174" s="15">
        <v>116</v>
      </c>
      <c r="D174" s="15">
        <v>104</v>
      </c>
      <c r="E174" s="15">
        <v>1</v>
      </c>
      <c r="F174" s="15">
        <v>1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2</v>
      </c>
      <c r="N174" s="15">
        <v>1</v>
      </c>
      <c r="O174" s="15">
        <v>1</v>
      </c>
      <c r="P174" s="15">
        <v>580</v>
      </c>
      <c r="Q174" s="16">
        <v>0</v>
      </c>
      <c r="R174" s="16">
        <v>4</v>
      </c>
      <c r="S174" s="15">
        <f t="shared" si="6"/>
        <v>584</v>
      </c>
      <c r="T174" s="15">
        <v>0</v>
      </c>
      <c r="U174" s="17">
        <v>172</v>
      </c>
      <c r="V174" s="17" t="s">
        <v>292</v>
      </c>
      <c r="W174" s="18" t="s">
        <v>318</v>
      </c>
      <c r="X174" s="16">
        <v>799</v>
      </c>
      <c r="Y174" s="16">
        <v>405</v>
      </c>
      <c r="Z174" s="16">
        <v>391</v>
      </c>
      <c r="AA174" s="16">
        <f t="shared" si="7"/>
        <v>238</v>
      </c>
      <c r="AB174" s="19">
        <f t="shared" si="8"/>
        <v>73.091364205256568</v>
      </c>
    </row>
    <row r="175" spans="1:28" ht="37.5" customHeight="1" x14ac:dyDescent="0.25">
      <c r="A175" s="15">
        <v>173</v>
      </c>
      <c r="B175" s="15">
        <v>314</v>
      </c>
      <c r="C175" s="15">
        <v>192</v>
      </c>
      <c r="D175" s="15">
        <v>86</v>
      </c>
      <c r="E175" s="15">
        <v>16</v>
      </c>
      <c r="F175" s="15">
        <v>0</v>
      </c>
      <c r="G175" s="15">
        <v>0</v>
      </c>
      <c r="H175" s="15">
        <v>0</v>
      </c>
      <c r="I175" s="16">
        <v>1</v>
      </c>
      <c r="J175" s="15">
        <v>0</v>
      </c>
      <c r="K175" s="15">
        <v>0</v>
      </c>
      <c r="L175" s="15">
        <v>1</v>
      </c>
      <c r="M175" s="15">
        <v>1</v>
      </c>
      <c r="N175" s="15">
        <v>2</v>
      </c>
      <c r="O175" s="15">
        <v>0</v>
      </c>
      <c r="P175" s="15">
        <v>613</v>
      </c>
      <c r="Q175" s="16">
        <v>0</v>
      </c>
      <c r="R175" s="15">
        <v>2</v>
      </c>
      <c r="S175" s="15">
        <f t="shared" si="6"/>
        <v>615</v>
      </c>
      <c r="T175" s="15">
        <v>0</v>
      </c>
      <c r="U175" s="17">
        <v>173</v>
      </c>
      <c r="V175" s="17" t="s">
        <v>292</v>
      </c>
      <c r="W175" s="18" t="s">
        <v>319</v>
      </c>
      <c r="X175" s="16">
        <v>849</v>
      </c>
      <c r="Y175" s="16">
        <v>431</v>
      </c>
      <c r="Z175" s="16">
        <v>417</v>
      </c>
      <c r="AA175" s="16">
        <f t="shared" si="7"/>
        <v>122</v>
      </c>
      <c r="AB175" s="19">
        <f t="shared" si="8"/>
        <v>72.438162544169614</v>
      </c>
    </row>
    <row r="176" spans="1:28" ht="37.5" customHeight="1" x14ac:dyDescent="0.25">
      <c r="A176" s="15">
        <v>174</v>
      </c>
      <c r="B176" s="15">
        <v>359</v>
      </c>
      <c r="C176" s="15">
        <v>223</v>
      </c>
      <c r="D176" s="15">
        <v>92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2</v>
      </c>
      <c r="L176" s="15">
        <v>2</v>
      </c>
      <c r="M176" s="15">
        <v>0</v>
      </c>
      <c r="N176" s="15">
        <v>0</v>
      </c>
      <c r="O176" s="15">
        <v>2</v>
      </c>
      <c r="P176" s="15">
        <v>681</v>
      </c>
      <c r="Q176" s="16">
        <v>0</v>
      </c>
      <c r="R176" s="15">
        <v>11</v>
      </c>
      <c r="S176" s="15">
        <f t="shared" si="6"/>
        <v>692</v>
      </c>
      <c r="T176" s="15">
        <v>0</v>
      </c>
      <c r="U176" s="17">
        <v>174</v>
      </c>
      <c r="V176" s="17" t="s">
        <v>292</v>
      </c>
      <c r="W176" s="18" t="s">
        <v>320</v>
      </c>
      <c r="X176" s="16">
        <v>989</v>
      </c>
      <c r="Y176" s="16">
        <v>497</v>
      </c>
      <c r="Z176" s="16">
        <v>492</v>
      </c>
      <c r="AA176" s="16">
        <f t="shared" si="7"/>
        <v>136</v>
      </c>
      <c r="AB176" s="19">
        <f t="shared" si="8"/>
        <v>69.969666329625895</v>
      </c>
    </row>
    <row r="177" spans="1:28" ht="37.5" customHeight="1" x14ac:dyDescent="0.25">
      <c r="A177" s="20">
        <v>175</v>
      </c>
      <c r="B177" s="20">
        <v>84</v>
      </c>
      <c r="C177" s="20">
        <v>135</v>
      </c>
      <c r="D177" s="20">
        <v>226</v>
      </c>
      <c r="E177" s="20">
        <v>2</v>
      </c>
      <c r="F177" s="20">
        <v>0</v>
      </c>
      <c r="G177" s="20">
        <v>0</v>
      </c>
      <c r="H177" s="20">
        <v>3</v>
      </c>
      <c r="I177" s="20">
        <v>0</v>
      </c>
      <c r="J177" s="20">
        <v>0</v>
      </c>
      <c r="K177" s="20">
        <v>2</v>
      </c>
      <c r="L177" s="20">
        <v>0</v>
      </c>
      <c r="M177" s="20">
        <v>0</v>
      </c>
      <c r="N177" s="20">
        <v>0</v>
      </c>
      <c r="O177" s="20">
        <v>1</v>
      </c>
      <c r="P177" s="20">
        <v>453</v>
      </c>
      <c r="Q177" s="21">
        <v>0</v>
      </c>
      <c r="R177" s="20">
        <v>1</v>
      </c>
      <c r="S177" s="20">
        <f t="shared" si="6"/>
        <v>454</v>
      </c>
      <c r="T177" s="20">
        <v>0</v>
      </c>
      <c r="U177" s="22">
        <v>175</v>
      </c>
      <c r="V177" s="22" t="s">
        <v>292</v>
      </c>
      <c r="W177" s="23" t="s">
        <v>321</v>
      </c>
      <c r="X177" s="21">
        <v>633</v>
      </c>
      <c r="Y177" s="21">
        <v>315</v>
      </c>
      <c r="Z177" s="21">
        <v>317</v>
      </c>
      <c r="AA177" s="21">
        <f t="shared" si="7"/>
        <v>51</v>
      </c>
      <c r="AB177" s="24">
        <f t="shared" si="8"/>
        <v>71.7219589257504</v>
      </c>
    </row>
    <row r="178" spans="1:28" ht="37.5" customHeight="1" x14ac:dyDescent="0.25">
      <c r="A178" s="20">
        <v>176</v>
      </c>
      <c r="B178" s="20">
        <v>143</v>
      </c>
      <c r="C178" s="20">
        <v>227</v>
      </c>
      <c r="D178" s="20">
        <v>272</v>
      </c>
      <c r="E178" s="20">
        <v>3</v>
      </c>
      <c r="F178" s="20">
        <v>1</v>
      </c>
      <c r="G178" s="20">
        <v>0</v>
      </c>
      <c r="H178" s="20">
        <v>3</v>
      </c>
      <c r="I178" s="20">
        <v>0</v>
      </c>
      <c r="J178" s="20">
        <v>0</v>
      </c>
      <c r="K178" s="20">
        <v>1</v>
      </c>
      <c r="L178" s="20">
        <v>3</v>
      </c>
      <c r="M178" s="20">
        <v>2</v>
      </c>
      <c r="N178" s="20">
        <v>1</v>
      </c>
      <c r="O178" s="20">
        <v>0</v>
      </c>
      <c r="P178" s="20">
        <v>656</v>
      </c>
      <c r="Q178" s="21">
        <v>0</v>
      </c>
      <c r="R178" s="20">
        <v>3</v>
      </c>
      <c r="S178" s="20">
        <f t="shared" si="6"/>
        <v>659</v>
      </c>
      <c r="T178" s="20">
        <v>0</v>
      </c>
      <c r="U178" s="22">
        <v>176</v>
      </c>
      <c r="V178" s="22" t="s">
        <v>292</v>
      </c>
      <c r="W178" s="23" t="s">
        <v>322</v>
      </c>
      <c r="X178" s="21">
        <v>879</v>
      </c>
      <c r="Y178" s="21">
        <v>454</v>
      </c>
      <c r="Z178" s="21">
        <v>425</v>
      </c>
      <c r="AA178" s="21">
        <f t="shared" si="7"/>
        <v>84</v>
      </c>
      <c r="AB178" s="24">
        <f t="shared" si="8"/>
        <v>74.971558589306028</v>
      </c>
    </row>
    <row r="179" spans="1:28" ht="37.5" customHeight="1" x14ac:dyDescent="0.25">
      <c r="A179" s="20">
        <v>177</v>
      </c>
      <c r="B179" s="20">
        <v>152</v>
      </c>
      <c r="C179" s="20">
        <v>195</v>
      </c>
      <c r="D179" s="20">
        <v>318</v>
      </c>
      <c r="E179" s="20">
        <v>5</v>
      </c>
      <c r="F179" s="20">
        <v>3</v>
      </c>
      <c r="G179" s="20">
        <v>1</v>
      </c>
      <c r="H179" s="20">
        <v>3</v>
      </c>
      <c r="I179" s="20">
        <v>0</v>
      </c>
      <c r="J179" s="20">
        <v>0</v>
      </c>
      <c r="K179" s="20">
        <v>8</v>
      </c>
      <c r="L179" s="20">
        <v>4</v>
      </c>
      <c r="M179" s="20">
        <v>1</v>
      </c>
      <c r="N179" s="20">
        <v>1</v>
      </c>
      <c r="O179" s="20">
        <v>1</v>
      </c>
      <c r="P179" s="20">
        <v>692</v>
      </c>
      <c r="Q179" s="21">
        <v>0</v>
      </c>
      <c r="R179" s="20">
        <v>2</v>
      </c>
      <c r="S179" s="20">
        <f t="shared" si="6"/>
        <v>694</v>
      </c>
      <c r="T179" s="20">
        <v>0</v>
      </c>
      <c r="U179" s="22">
        <v>177</v>
      </c>
      <c r="V179" s="22" t="s">
        <v>292</v>
      </c>
      <c r="W179" s="23" t="s">
        <v>323</v>
      </c>
      <c r="X179" s="21">
        <v>921</v>
      </c>
      <c r="Y179" s="21">
        <v>491</v>
      </c>
      <c r="Z179" s="21">
        <v>429</v>
      </c>
      <c r="AA179" s="21">
        <f t="shared" si="7"/>
        <v>43</v>
      </c>
      <c r="AB179" s="24">
        <f t="shared" si="8"/>
        <v>75.352877307274696</v>
      </c>
    </row>
    <row r="180" spans="1:28" ht="37.5" customHeight="1" x14ac:dyDescent="0.25">
      <c r="A180" s="15">
        <v>178</v>
      </c>
      <c r="B180" s="15">
        <v>355</v>
      </c>
      <c r="C180" s="15">
        <v>132</v>
      </c>
      <c r="D180" s="15">
        <v>98</v>
      </c>
      <c r="E180" s="15">
        <v>0</v>
      </c>
      <c r="F180" s="15">
        <v>0</v>
      </c>
      <c r="G180" s="15">
        <v>2</v>
      </c>
      <c r="H180" s="15">
        <v>2</v>
      </c>
      <c r="I180" s="15">
        <v>0</v>
      </c>
      <c r="J180" s="15">
        <v>0</v>
      </c>
      <c r="K180" s="15">
        <v>2</v>
      </c>
      <c r="L180" s="15">
        <v>0</v>
      </c>
      <c r="M180" s="15">
        <v>0</v>
      </c>
      <c r="N180" s="15">
        <v>2</v>
      </c>
      <c r="O180" s="15">
        <v>1</v>
      </c>
      <c r="P180" s="15">
        <v>594</v>
      </c>
      <c r="Q180" s="16">
        <v>0</v>
      </c>
      <c r="R180" s="15">
        <v>6</v>
      </c>
      <c r="S180" s="15">
        <f t="shared" si="6"/>
        <v>600</v>
      </c>
      <c r="T180" s="15">
        <v>0</v>
      </c>
      <c r="U180" s="17">
        <v>178</v>
      </c>
      <c r="V180" s="17" t="s">
        <v>292</v>
      </c>
      <c r="W180" s="18" t="s">
        <v>324</v>
      </c>
      <c r="X180" s="16">
        <v>997</v>
      </c>
      <c r="Y180" s="16">
        <v>523</v>
      </c>
      <c r="Z180" s="16">
        <v>472</v>
      </c>
      <c r="AA180" s="16">
        <f t="shared" si="7"/>
        <v>223</v>
      </c>
      <c r="AB180" s="19">
        <f t="shared" si="8"/>
        <v>60.180541624874628</v>
      </c>
    </row>
    <row r="181" spans="1:28" ht="37.5" customHeight="1" x14ac:dyDescent="0.25">
      <c r="A181" s="15">
        <v>179</v>
      </c>
      <c r="B181" s="15">
        <v>229</v>
      </c>
      <c r="C181" s="15">
        <v>144</v>
      </c>
      <c r="D181" s="15">
        <v>60</v>
      </c>
      <c r="E181" s="15">
        <v>0</v>
      </c>
      <c r="F181" s="15">
        <v>0</v>
      </c>
      <c r="G181" s="15">
        <v>2</v>
      </c>
      <c r="H181" s="15">
        <v>0</v>
      </c>
      <c r="I181" s="15">
        <v>0</v>
      </c>
      <c r="J181" s="15">
        <v>0</v>
      </c>
      <c r="K181" s="15">
        <v>0</v>
      </c>
      <c r="L181" s="15">
        <v>2</v>
      </c>
      <c r="M181" s="15">
        <v>0</v>
      </c>
      <c r="N181" s="15">
        <v>2</v>
      </c>
      <c r="O181" s="15">
        <v>0</v>
      </c>
      <c r="P181" s="15">
        <v>439</v>
      </c>
      <c r="Q181" s="16">
        <v>0</v>
      </c>
      <c r="R181" s="15">
        <v>5</v>
      </c>
      <c r="S181" s="15">
        <f t="shared" si="6"/>
        <v>444</v>
      </c>
      <c r="T181" s="15">
        <v>0</v>
      </c>
      <c r="U181" s="17">
        <v>179</v>
      </c>
      <c r="V181" s="17" t="s">
        <v>292</v>
      </c>
      <c r="W181" s="18" t="s">
        <v>325</v>
      </c>
      <c r="X181" s="16">
        <v>679</v>
      </c>
      <c r="Y181" s="16">
        <v>350</v>
      </c>
      <c r="Z181" s="16">
        <v>329</v>
      </c>
      <c r="AA181" s="16">
        <f t="shared" si="7"/>
        <v>85</v>
      </c>
      <c r="AB181" s="19">
        <f t="shared" si="8"/>
        <v>65.390279823269509</v>
      </c>
    </row>
    <row r="182" spans="1:28" ht="37.5" customHeight="1" x14ac:dyDescent="0.25">
      <c r="A182" s="15">
        <v>180</v>
      </c>
      <c r="B182" s="15">
        <v>390</v>
      </c>
      <c r="C182" s="15">
        <v>191</v>
      </c>
      <c r="D182" s="15">
        <v>155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1</v>
      </c>
      <c r="M182" s="15">
        <v>1</v>
      </c>
      <c r="N182" s="15">
        <v>0</v>
      </c>
      <c r="O182" s="15">
        <v>3</v>
      </c>
      <c r="P182" s="15">
        <v>742</v>
      </c>
      <c r="Q182" s="16">
        <v>0</v>
      </c>
      <c r="R182" s="15">
        <v>13</v>
      </c>
      <c r="S182" s="15">
        <f t="shared" si="6"/>
        <v>755</v>
      </c>
      <c r="T182" s="15">
        <v>0</v>
      </c>
      <c r="U182" s="17">
        <v>180</v>
      </c>
      <c r="V182" s="17" t="s">
        <v>292</v>
      </c>
      <c r="W182" s="18" t="s">
        <v>326</v>
      </c>
      <c r="X182" s="16">
        <v>1111</v>
      </c>
      <c r="Y182" s="16">
        <v>540</v>
      </c>
      <c r="Z182" s="16">
        <v>503</v>
      </c>
      <c r="AA182" s="16">
        <f t="shared" si="7"/>
        <v>199</v>
      </c>
      <c r="AB182" s="19">
        <f t="shared" si="8"/>
        <v>67.956795679567961</v>
      </c>
    </row>
    <row r="183" spans="1:28" ht="37.5" customHeight="1" x14ac:dyDescent="0.25">
      <c r="A183" s="20">
        <v>181</v>
      </c>
      <c r="B183" s="20">
        <v>135</v>
      </c>
      <c r="C183" s="20">
        <v>265</v>
      </c>
      <c r="D183" s="20">
        <v>107</v>
      </c>
      <c r="E183" s="20">
        <v>12</v>
      </c>
      <c r="F183" s="20">
        <v>0</v>
      </c>
      <c r="G183" s="20">
        <v>3</v>
      </c>
      <c r="H183" s="20">
        <v>2</v>
      </c>
      <c r="I183" s="20">
        <v>1</v>
      </c>
      <c r="J183" s="20">
        <v>0</v>
      </c>
      <c r="K183" s="20">
        <v>1</v>
      </c>
      <c r="L183" s="20">
        <v>4</v>
      </c>
      <c r="M183" s="20">
        <v>1</v>
      </c>
      <c r="N183" s="20">
        <v>3</v>
      </c>
      <c r="O183" s="21">
        <v>0</v>
      </c>
      <c r="P183" s="20">
        <v>534</v>
      </c>
      <c r="Q183" s="21">
        <v>0</v>
      </c>
      <c r="R183" s="20">
        <v>4</v>
      </c>
      <c r="S183" s="20">
        <f t="shared" si="6"/>
        <v>538</v>
      </c>
      <c r="T183" s="20">
        <v>0</v>
      </c>
      <c r="U183" s="22">
        <v>181</v>
      </c>
      <c r="V183" s="22" t="s">
        <v>292</v>
      </c>
      <c r="W183" s="23" t="s">
        <v>327</v>
      </c>
      <c r="X183" s="21">
        <v>764</v>
      </c>
      <c r="Y183" s="21">
        <v>404</v>
      </c>
      <c r="Z183" s="21">
        <v>355</v>
      </c>
      <c r="AA183" s="21">
        <f t="shared" si="7"/>
        <v>130</v>
      </c>
      <c r="AB183" s="24">
        <f t="shared" si="8"/>
        <v>70.418848167539267</v>
      </c>
    </row>
    <row r="184" spans="1:28" ht="37.5" customHeight="1" x14ac:dyDescent="0.25">
      <c r="A184" s="15">
        <v>182</v>
      </c>
      <c r="B184" s="15">
        <v>178</v>
      </c>
      <c r="C184" s="15">
        <v>104</v>
      </c>
      <c r="D184" s="15">
        <v>40</v>
      </c>
      <c r="E184" s="15">
        <v>0</v>
      </c>
      <c r="F184" s="15">
        <v>0</v>
      </c>
      <c r="G184" s="16">
        <v>1</v>
      </c>
      <c r="H184" s="15">
        <v>1</v>
      </c>
      <c r="I184" s="15">
        <v>0</v>
      </c>
      <c r="J184" s="15">
        <v>0</v>
      </c>
      <c r="K184" s="15">
        <v>1</v>
      </c>
      <c r="L184" s="15">
        <v>1</v>
      </c>
      <c r="M184" s="15">
        <v>0</v>
      </c>
      <c r="N184" s="15">
        <v>0</v>
      </c>
      <c r="O184" s="15">
        <v>0</v>
      </c>
      <c r="P184" s="15">
        <v>326</v>
      </c>
      <c r="Q184" s="16">
        <v>0</v>
      </c>
      <c r="R184" s="15">
        <v>1</v>
      </c>
      <c r="S184" s="15">
        <f t="shared" si="6"/>
        <v>327</v>
      </c>
      <c r="T184" s="15">
        <v>0</v>
      </c>
      <c r="U184" s="17">
        <v>182</v>
      </c>
      <c r="V184" s="17" t="s">
        <v>292</v>
      </c>
      <c r="W184" s="18" t="s">
        <v>328</v>
      </c>
      <c r="X184" s="16">
        <v>499</v>
      </c>
      <c r="Y184" s="16">
        <v>245</v>
      </c>
      <c r="Z184" s="16">
        <v>250</v>
      </c>
      <c r="AA184" s="16">
        <f t="shared" si="7"/>
        <v>74</v>
      </c>
      <c r="AB184" s="19">
        <f t="shared" si="8"/>
        <v>65.531062124248493</v>
      </c>
    </row>
    <row r="185" spans="1:28" ht="37.5" customHeight="1" x14ac:dyDescent="0.25">
      <c r="A185" s="20">
        <v>183</v>
      </c>
      <c r="B185" s="20">
        <v>172</v>
      </c>
      <c r="C185" s="20">
        <v>315</v>
      </c>
      <c r="D185" s="20">
        <v>41</v>
      </c>
      <c r="E185" s="20">
        <v>2</v>
      </c>
      <c r="F185" s="20">
        <v>1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1</v>
      </c>
      <c r="N185" s="20">
        <v>0</v>
      </c>
      <c r="O185" s="20">
        <v>2</v>
      </c>
      <c r="P185" s="20">
        <v>534</v>
      </c>
      <c r="Q185" s="21">
        <v>0</v>
      </c>
      <c r="R185" s="20">
        <v>5</v>
      </c>
      <c r="S185" s="20">
        <f t="shared" si="6"/>
        <v>539</v>
      </c>
      <c r="T185" s="20">
        <v>0</v>
      </c>
      <c r="U185" s="22">
        <v>183</v>
      </c>
      <c r="V185" s="22" t="s">
        <v>329</v>
      </c>
      <c r="W185" s="23" t="s">
        <v>330</v>
      </c>
      <c r="X185" s="21">
        <v>689</v>
      </c>
      <c r="Y185" s="21">
        <v>356</v>
      </c>
      <c r="Z185" s="21">
        <v>333</v>
      </c>
      <c r="AA185" s="21">
        <f t="shared" si="7"/>
        <v>143</v>
      </c>
      <c r="AB185" s="24">
        <f t="shared" si="8"/>
        <v>78.229317851959351</v>
      </c>
    </row>
    <row r="186" spans="1:28" ht="37.5" customHeight="1" x14ac:dyDescent="0.25">
      <c r="A186" s="20">
        <v>184</v>
      </c>
      <c r="B186" s="20">
        <v>224</v>
      </c>
      <c r="C186" s="20">
        <v>295</v>
      </c>
      <c r="D186" s="20">
        <v>47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1</v>
      </c>
      <c r="L186" s="20">
        <v>2</v>
      </c>
      <c r="M186" s="20">
        <v>0</v>
      </c>
      <c r="N186" s="20">
        <v>0</v>
      </c>
      <c r="O186" s="20">
        <v>1</v>
      </c>
      <c r="P186" s="20">
        <v>570</v>
      </c>
      <c r="Q186" s="21">
        <v>0</v>
      </c>
      <c r="R186" s="20">
        <v>4</v>
      </c>
      <c r="S186" s="20">
        <f t="shared" si="6"/>
        <v>574</v>
      </c>
      <c r="T186" s="20">
        <v>0</v>
      </c>
      <c r="U186" s="22">
        <v>184</v>
      </c>
      <c r="V186" s="22" t="s">
        <v>329</v>
      </c>
      <c r="W186" s="23" t="s">
        <v>331</v>
      </c>
      <c r="X186" s="21">
        <v>795</v>
      </c>
      <c r="Y186" s="21">
        <v>411</v>
      </c>
      <c r="Z186" s="21">
        <v>383</v>
      </c>
      <c r="AA186" s="21">
        <f t="shared" si="7"/>
        <v>71</v>
      </c>
      <c r="AB186" s="24">
        <f t="shared" si="8"/>
        <v>72.201257861635213</v>
      </c>
    </row>
    <row r="187" spans="1:28" ht="37.5" customHeight="1" x14ac:dyDescent="0.25">
      <c r="A187" s="15">
        <v>185</v>
      </c>
      <c r="B187" s="15">
        <v>481</v>
      </c>
      <c r="C187" s="15">
        <v>248</v>
      </c>
      <c r="D187" s="15">
        <v>66</v>
      </c>
      <c r="E187" s="15">
        <v>0</v>
      </c>
      <c r="F187" s="15">
        <v>1</v>
      </c>
      <c r="G187" s="15">
        <v>0</v>
      </c>
      <c r="H187" s="15">
        <v>0</v>
      </c>
      <c r="I187" s="15">
        <v>0</v>
      </c>
      <c r="J187" s="15">
        <v>1</v>
      </c>
      <c r="K187" s="15">
        <v>8</v>
      </c>
      <c r="L187" s="15">
        <v>2</v>
      </c>
      <c r="M187" s="15">
        <v>2</v>
      </c>
      <c r="N187" s="15">
        <v>1</v>
      </c>
      <c r="O187" s="15">
        <v>0</v>
      </c>
      <c r="P187" s="15">
        <v>810</v>
      </c>
      <c r="Q187" s="16">
        <v>0</v>
      </c>
      <c r="R187" s="15">
        <v>6</v>
      </c>
      <c r="S187" s="15">
        <f t="shared" si="6"/>
        <v>816</v>
      </c>
      <c r="T187" s="15">
        <v>0</v>
      </c>
      <c r="U187" s="17">
        <v>185</v>
      </c>
      <c r="V187" s="17" t="s">
        <v>292</v>
      </c>
      <c r="W187" s="18" t="s">
        <v>332</v>
      </c>
      <c r="X187" s="16">
        <v>1123</v>
      </c>
      <c r="Y187" s="16">
        <v>601</v>
      </c>
      <c r="Z187" s="16">
        <v>521</v>
      </c>
      <c r="AA187" s="16">
        <f t="shared" si="7"/>
        <v>233</v>
      </c>
      <c r="AB187" s="19">
        <f t="shared" si="8"/>
        <v>72.662511130899375</v>
      </c>
    </row>
    <row r="188" spans="1:28" ht="37.5" customHeight="1" x14ac:dyDescent="0.25">
      <c r="A188" s="15">
        <v>186</v>
      </c>
      <c r="B188" s="15">
        <v>478</v>
      </c>
      <c r="C188" s="15">
        <v>153</v>
      </c>
      <c r="D188" s="15">
        <v>52</v>
      </c>
      <c r="E188" s="15">
        <v>1</v>
      </c>
      <c r="F188" s="15">
        <v>1</v>
      </c>
      <c r="G188" s="15">
        <v>1</v>
      </c>
      <c r="H188" s="15">
        <v>0</v>
      </c>
      <c r="I188" s="15">
        <v>0</v>
      </c>
      <c r="J188" s="15">
        <v>1</v>
      </c>
      <c r="K188" s="15">
        <v>0</v>
      </c>
      <c r="L188" s="15">
        <v>1</v>
      </c>
      <c r="M188" s="15">
        <v>1</v>
      </c>
      <c r="N188" s="15">
        <v>2</v>
      </c>
      <c r="O188" s="15">
        <v>2</v>
      </c>
      <c r="P188" s="15">
        <v>693</v>
      </c>
      <c r="Q188" s="16">
        <v>0</v>
      </c>
      <c r="R188" s="15">
        <v>2</v>
      </c>
      <c r="S188" s="15">
        <f t="shared" si="6"/>
        <v>695</v>
      </c>
      <c r="T188" s="15">
        <v>0</v>
      </c>
      <c r="U188" s="17">
        <v>186</v>
      </c>
      <c r="V188" s="17" t="s">
        <v>292</v>
      </c>
      <c r="W188" s="18" t="s">
        <v>333</v>
      </c>
      <c r="X188" s="16">
        <v>780</v>
      </c>
      <c r="Y188" s="16">
        <v>364</v>
      </c>
      <c r="Z188" s="16">
        <v>416</v>
      </c>
      <c r="AA188" s="16">
        <f t="shared" si="7"/>
        <v>325</v>
      </c>
      <c r="AB188" s="19">
        <f t="shared" si="8"/>
        <v>89.102564102564102</v>
      </c>
    </row>
    <row r="189" spans="1:28" ht="37.5" customHeight="1" x14ac:dyDescent="0.25">
      <c r="A189" s="15">
        <v>187</v>
      </c>
      <c r="B189" s="15">
        <v>295</v>
      </c>
      <c r="C189" s="15">
        <v>176</v>
      </c>
      <c r="D189" s="15">
        <v>25</v>
      </c>
      <c r="E189" s="15">
        <v>0</v>
      </c>
      <c r="F189" s="15">
        <v>1</v>
      </c>
      <c r="G189" s="15">
        <v>0</v>
      </c>
      <c r="H189" s="15">
        <v>1</v>
      </c>
      <c r="I189" s="15">
        <v>0</v>
      </c>
      <c r="J189" s="15">
        <v>1</v>
      </c>
      <c r="K189" s="15">
        <v>1</v>
      </c>
      <c r="L189" s="15">
        <v>1</v>
      </c>
      <c r="M189" s="15">
        <v>2</v>
      </c>
      <c r="N189" s="15">
        <v>1</v>
      </c>
      <c r="O189" s="15">
        <v>2</v>
      </c>
      <c r="P189" s="15">
        <v>506</v>
      </c>
      <c r="Q189" s="16">
        <v>0</v>
      </c>
      <c r="R189" s="15">
        <v>5</v>
      </c>
      <c r="S189" s="15">
        <f t="shared" si="6"/>
        <v>511</v>
      </c>
      <c r="T189" s="15">
        <v>0</v>
      </c>
      <c r="U189" s="17">
        <v>187</v>
      </c>
      <c r="V189" s="17" t="s">
        <v>292</v>
      </c>
      <c r="W189" s="18" t="s">
        <v>334</v>
      </c>
      <c r="X189" s="16">
        <v>1356</v>
      </c>
      <c r="Y189" s="16">
        <v>723</v>
      </c>
      <c r="Z189" s="16">
        <v>628</v>
      </c>
      <c r="AA189" s="16">
        <f t="shared" si="7"/>
        <v>119</v>
      </c>
      <c r="AB189" s="19">
        <f t="shared" si="8"/>
        <v>37.684365781710916</v>
      </c>
    </row>
    <row r="190" spans="1:28" ht="37.5" customHeight="1" x14ac:dyDescent="0.25">
      <c r="A190" s="20">
        <v>188</v>
      </c>
      <c r="B190" s="20">
        <v>185</v>
      </c>
      <c r="C190" s="20">
        <v>820</v>
      </c>
      <c r="D190" s="20">
        <v>12</v>
      </c>
      <c r="E190" s="20">
        <v>5</v>
      </c>
      <c r="F190" s="20">
        <v>0</v>
      </c>
      <c r="G190" s="20">
        <v>0</v>
      </c>
      <c r="H190" s="20">
        <v>0</v>
      </c>
      <c r="I190" s="20">
        <v>1</v>
      </c>
      <c r="J190" s="20">
        <v>0</v>
      </c>
      <c r="K190" s="20">
        <v>0</v>
      </c>
      <c r="L190" s="20">
        <v>2</v>
      </c>
      <c r="M190" s="20">
        <v>3</v>
      </c>
      <c r="N190" s="20">
        <v>1</v>
      </c>
      <c r="O190" s="20">
        <v>0</v>
      </c>
      <c r="P190" s="20">
        <v>1029</v>
      </c>
      <c r="Q190" s="21">
        <v>0</v>
      </c>
      <c r="R190" s="20">
        <v>4</v>
      </c>
      <c r="S190" s="20">
        <f t="shared" si="6"/>
        <v>1033</v>
      </c>
      <c r="T190" s="20">
        <v>0</v>
      </c>
      <c r="U190" s="22">
        <v>188</v>
      </c>
      <c r="V190" s="22" t="s">
        <v>292</v>
      </c>
      <c r="W190" s="23" t="s">
        <v>335</v>
      </c>
      <c r="X190" s="21">
        <v>1298</v>
      </c>
      <c r="Y190" s="21">
        <v>663</v>
      </c>
      <c r="Z190" s="21">
        <v>634</v>
      </c>
      <c r="AA190" s="21">
        <f t="shared" si="7"/>
        <v>635</v>
      </c>
      <c r="AB190" s="24">
        <f t="shared" si="8"/>
        <v>79.583975346687211</v>
      </c>
    </row>
    <row r="191" spans="1:28" ht="37.5" customHeight="1" x14ac:dyDescent="0.25">
      <c r="A191" s="20">
        <v>189</v>
      </c>
      <c r="B191" s="20">
        <v>302</v>
      </c>
      <c r="C191" s="20">
        <v>556</v>
      </c>
      <c r="D191" s="20">
        <v>41</v>
      </c>
      <c r="E191" s="20">
        <v>0</v>
      </c>
      <c r="F191" s="20">
        <v>0</v>
      </c>
      <c r="G191" s="20">
        <v>1</v>
      </c>
      <c r="H191" s="20">
        <v>0</v>
      </c>
      <c r="I191" s="20">
        <v>0</v>
      </c>
      <c r="J191" s="20">
        <v>1</v>
      </c>
      <c r="K191" s="20">
        <v>0</v>
      </c>
      <c r="L191" s="20">
        <v>0</v>
      </c>
      <c r="M191" s="20">
        <v>2</v>
      </c>
      <c r="N191" s="20">
        <v>1</v>
      </c>
      <c r="O191" s="20">
        <v>3</v>
      </c>
      <c r="P191" s="20">
        <v>907</v>
      </c>
      <c r="Q191" s="21">
        <v>0</v>
      </c>
      <c r="R191" s="20">
        <v>3</v>
      </c>
      <c r="S191" s="20">
        <f t="shared" si="6"/>
        <v>910</v>
      </c>
      <c r="T191" s="20">
        <v>0</v>
      </c>
      <c r="U191" s="22">
        <v>189</v>
      </c>
      <c r="V191" s="22" t="s">
        <v>292</v>
      </c>
      <c r="W191" s="23" t="s">
        <v>336</v>
      </c>
      <c r="X191" s="21">
        <v>1203</v>
      </c>
      <c r="Y191" s="21">
        <v>600</v>
      </c>
      <c r="Z191" s="21">
        <v>599</v>
      </c>
      <c r="AA191" s="21">
        <f t="shared" si="7"/>
        <v>254</v>
      </c>
      <c r="AB191" s="24">
        <f t="shared" si="8"/>
        <v>75.644222776392354</v>
      </c>
    </row>
    <row r="192" spans="1:28" ht="37.5" customHeight="1" x14ac:dyDescent="0.25">
      <c r="A192" s="20">
        <v>190</v>
      </c>
      <c r="B192" s="20">
        <v>276</v>
      </c>
      <c r="C192" s="20">
        <v>473</v>
      </c>
      <c r="D192" s="20">
        <v>99</v>
      </c>
      <c r="E192" s="20">
        <v>9</v>
      </c>
      <c r="F192" s="20">
        <v>1</v>
      </c>
      <c r="G192" s="20">
        <v>2</v>
      </c>
      <c r="H192" s="20">
        <v>0</v>
      </c>
      <c r="I192" s="20">
        <v>0</v>
      </c>
      <c r="J192" s="20">
        <v>0</v>
      </c>
      <c r="K192" s="20">
        <v>1</v>
      </c>
      <c r="L192" s="20">
        <v>0</v>
      </c>
      <c r="M192" s="20">
        <v>0</v>
      </c>
      <c r="N192" s="20">
        <v>0</v>
      </c>
      <c r="O192" s="20">
        <v>1</v>
      </c>
      <c r="P192" s="20">
        <v>862</v>
      </c>
      <c r="Q192" s="21">
        <v>0</v>
      </c>
      <c r="R192" s="20">
        <v>7</v>
      </c>
      <c r="S192" s="20">
        <f t="shared" si="6"/>
        <v>869</v>
      </c>
      <c r="T192" s="20">
        <v>0</v>
      </c>
      <c r="U192" s="22">
        <v>190</v>
      </c>
      <c r="V192" s="22" t="s">
        <v>292</v>
      </c>
      <c r="W192" s="23" t="s">
        <v>337</v>
      </c>
      <c r="X192" s="21">
        <v>953</v>
      </c>
      <c r="Y192" s="21">
        <v>482</v>
      </c>
      <c r="Z192" s="21">
        <v>463</v>
      </c>
      <c r="AA192" s="21">
        <f t="shared" si="7"/>
        <v>197</v>
      </c>
      <c r="AB192" s="24">
        <f t="shared" si="8"/>
        <v>91.185729275970616</v>
      </c>
    </row>
    <row r="193" spans="1:28" ht="37.5" customHeight="1" x14ac:dyDescent="0.25">
      <c r="A193" s="15">
        <v>191</v>
      </c>
      <c r="B193" s="15">
        <v>375</v>
      </c>
      <c r="C193" s="15">
        <v>234</v>
      </c>
      <c r="D193" s="15">
        <v>68</v>
      </c>
      <c r="E193" s="15">
        <v>1</v>
      </c>
      <c r="F193" s="15">
        <v>1</v>
      </c>
      <c r="G193" s="15">
        <v>0</v>
      </c>
      <c r="H193" s="15">
        <v>4</v>
      </c>
      <c r="I193" s="15">
        <v>0</v>
      </c>
      <c r="J193" s="15">
        <v>0</v>
      </c>
      <c r="K193" s="15">
        <v>0</v>
      </c>
      <c r="L193" s="15">
        <v>1</v>
      </c>
      <c r="M193" s="15">
        <v>1</v>
      </c>
      <c r="N193" s="15">
        <v>1</v>
      </c>
      <c r="O193" s="15">
        <v>1</v>
      </c>
      <c r="P193" s="15">
        <v>687</v>
      </c>
      <c r="Q193" s="16">
        <v>0</v>
      </c>
      <c r="R193" s="15">
        <v>6</v>
      </c>
      <c r="S193" s="15">
        <f t="shared" si="6"/>
        <v>693</v>
      </c>
      <c r="T193" s="15">
        <v>0</v>
      </c>
      <c r="U193" s="17">
        <v>191</v>
      </c>
      <c r="V193" s="17" t="s">
        <v>292</v>
      </c>
      <c r="W193" s="18" t="s">
        <v>338</v>
      </c>
      <c r="X193" s="16">
        <v>1136</v>
      </c>
      <c r="Y193" s="16">
        <v>575</v>
      </c>
      <c r="Z193" s="16">
        <v>561</v>
      </c>
      <c r="AA193" s="16">
        <f t="shared" si="7"/>
        <v>141</v>
      </c>
      <c r="AB193" s="19">
        <f t="shared" si="8"/>
        <v>61.00352112676056</v>
      </c>
    </row>
    <row r="194" spans="1:28" ht="37.5" customHeight="1" x14ac:dyDescent="0.25">
      <c r="A194" s="15">
        <v>192</v>
      </c>
      <c r="B194" s="15">
        <v>480</v>
      </c>
      <c r="C194" s="15">
        <v>270</v>
      </c>
      <c r="D194" s="15">
        <v>47</v>
      </c>
      <c r="E194" s="15">
        <v>6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2</v>
      </c>
      <c r="O194" s="15">
        <v>3</v>
      </c>
      <c r="P194" s="15">
        <v>808</v>
      </c>
      <c r="Q194" s="16">
        <v>0</v>
      </c>
      <c r="R194" s="15">
        <v>3</v>
      </c>
      <c r="S194" s="15">
        <f t="shared" si="6"/>
        <v>811</v>
      </c>
      <c r="T194" s="15">
        <v>0</v>
      </c>
      <c r="U194" s="17">
        <v>192</v>
      </c>
      <c r="V194" s="17" t="s">
        <v>292</v>
      </c>
      <c r="W194" s="18" t="s">
        <v>339</v>
      </c>
      <c r="X194" s="16">
        <v>819</v>
      </c>
      <c r="Y194" s="16">
        <v>417</v>
      </c>
      <c r="Z194" s="16">
        <v>402</v>
      </c>
      <c r="AA194" s="16">
        <f t="shared" si="7"/>
        <v>210</v>
      </c>
      <c r="AB194" s="19">
        <f t="shared" si="8"/>
        <v>99.023199023199027</v>
      </c>
    </row>
    <row r="195" spans="1:28" ht="37.5" customHeight="1" x14ac:dyDescent="0.25">
      <c r="A195" s="15">
        <v>193</v>
      </c>
      <c r="B195" s="15">
        <v>380</v>
      </c>
      <c r="C195" s="15">
        <v>158</v>
      </c>
      <c r="D195" s="15">
        <v>24</v>
      </c>
      <c r="E195" s="15">
        <v>7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2</v>
      </c>
      <c r="L195" s="15">
        <v>0</v>
      </c>
      <c r="M195" s="15">
        <v>1</v>
      </c>
      <c r="N195" s="15">
        <v>0</v>
      </c>
      <c r="O195" s="15">
        <v>2</v>
      </c>
      <c r="P195" s="15">
        <v>574</v>
      </c>
      <c r="Q195" s="16">
        <v>0</v>
      </c>
      <c r="R195" s="15">
        <v>2</v>
      </c>
      <c r="S195" s="15">
        <f t="shared" si="6"/>
        <v>576</v>
      </c>
      <c r="T195" s="15">
        <v>0</v>
      </c>
      <c r="U195" s="17">
        <v>193</v>
      </c>
      <c r="V195" s="17" t="s">
        <v>292</v>
      </c>
      <c r="W195" s="18" t="s">
        <v>340</v>
      </c>
      <c r="X195" s="16">
        <v>1346</v>
      </c>
      <c r="Y195" s="16">
        <v>696</v>
      </c>
      <c r="Z195" s="16">
        <v>648</v>
      </c>
      <c r="AA195" s="16">
        <f t="shared" si="7"/>
        <v>222</v>
      </c>
      <c r="AB195" s="19">
        <f t="shared" si="8"/>
        <v>42.793462109955421</v>
      </c>
    </row>
    <row r="196" spans="1:28" ht="37.5" customHeight="1" x14ac:dyDescent="0.25">
      <c r="A196" s="15">
        <v>194</v>
      </c>
      <c r="B196" s="15">
        <v>817</v>
      </c>
      <c r="C196" s="15">
        <v>251</v>
      </c>
      <c r="D196" s="15">
        <v>45</v>
      </c>
      <c r="E196" s="15">
        <v>1</v>
      </c>
      <c r="F196" s="15">
        <v>2</v>
      </c>
      <c r="G196" s="15">
        <v>1</v>
      </c>
      <c r="H196" s="15">
        <v>1</v>
      </c>
      <c r="I196" s="15">
        <v>0</v>
      </c>
      <c r="J196" s="15">
        <v>0</v>
      </c>
      <c r="K196" s="15">
        <v>1</v>
      </c>
      <c r="L196" s="15">
        <v>3</v>
      </c>
      <c r="M196" s="15">
        <v>1</v>
      </c>
      <c r="N196" s="15">
        <v>2</v>
      </c>
      <c r="O196" s="15">
        <v>1</v>
      </c>
      <c r="P196" s="15">
        <v>1126</v>
      </c>
      <c r="Q196" s="16">
        <v>0</v>
      </c>
      <c r="R196" s="15">
        <v>6</v>
      </c>
      <c r="S196" s="15">
        <f t="shared" ref="S196:S259" si="9">SUM(P196:R196)</f>
        <v>1132</v>
      </c>
      <c r="T196" s="15">
        <v>0</v>
      </c>
      <c r="U196" s="17">
        <v>194</v>
      </c>
      <c r="V196" s="17" t="s">
        <v>292</v>
      </c>
      <c r="W196" s="18" t="s">
        <v>341</v>
      </c>
      <c r="X196" s="16">
        <v>1396</v>
      </c>
      <c r="Y196" s="16">
        <v>724</v>
      </c>
      <c r="Z196" s="16">
        <v>670</v>
      </c>
      <c r="AA196" s="16">
        <f t="shared" ref="AA196:AA259" si="10">MAX(B196,C196)-MIN(B196,C196)</f>
        <v>566</v>
      </c>
      <c r="AB196" s="19">
        <f t="shared" ref="AB196:AB259" si="11">(S196/X196)*100</f>
        <v>81.088825214899714</v>
      </c>
    </row>
    <row r="197" spans="1:28" ht="37.5" customHeight="1" x14ac:dyDescent="0.25">
      <c r="A197" s="15">
        <v>195</v>
      </c>
      <c r="B197" s="15">
        <v>720</v>
      </c>
      <c r="C197" s="15">
        <v>296</v>
      </c>
      <c r="D197" s="15">
        <v>45</v>
      </c>
      <c r="E197" s="15">
        <v>1</v>
      </c>
      <c r="F197" s="15">
        <v>0</v>
      </c>
      <c r="G197" s="15">
        <v>0</v>
      </c>
      <c r="H197" s="15">
        <v>1</v>
      </c>
      <c r="I197" s="15">
        <v>1</v>
      </c>
      <c r="J197" s="15">
        <v>2</v>
      </c>
      <c r="K197" s="15">
        <v>1</v>
      </c>
      <c r="L197" s="15">
        <v>3</v>
      </c>
      <c r="M197" s="15">
        <v>3</v>
      </c>
      <c r="N197" s="15">
        <v>1</v>
      </c>
      <c r="O197" s="15">
        <v>3</v>
      </c>
      <c r="P197" s="15">
        <v>1077</v>
      </c>
      <c r="Q197" s="16">
        <v>0</v>
      </c>
      <c r="R197" s="15">
        <v>2</v>
      </c>
      <c r="S197" s="15">
        <f t="shared" si="9"/>
        <v>1079</v>
      </c>
      <c r="T197" s="15">
        <v>0</v>
      </c>
      <c r="U197" s="17">
        <v>195</v>
      </c>
      <c r="V197" s="17" t="s">
        <v>292</v>
      </c>
      <c r="W197" s="18" t="s">
        <v>342</v>
      </c>
      <c r="X197" s="16">
        <v>1002</v>
      </c>
      <c r="Y197" s="16">
        <v>497</v>
      </c>
      <c r="Z197" s="16">
        <v>504</v>
      </c>
      <c r="AA197" s="16">
        <f t="shared" si="10"/>
        <v>424</v>
      </c>
      <c r="AB197" s="19">
        <f t="shared" si="11"/>
        <v>107.68463073852294</v>
      </c>
    </row>
    <row r="198" spans="1:28" ht="37.5" customHeight="1" x14ac:dyDescent="0.25">
      <c r="A198" s="20">
        <v>196</v>
      </c>
      <c r="B198" s="20">
        <v>272</v>
      </c>
      <c r="C198" s="20">
        <v>364</v>
      </c>
      <c r="D198" s="20">
        <v>100</v>
      </c>
      <c r="E198" s="20">
        <v>3</v>
      </c>
      <c r="F198" s="20">
        <v>1</v>
      </c>
      <c r="G198" s="20">
        <v>0</v>
      </c>
      <c r="H198" s="20">
        <v>0</v>
      </c>
      <c r="I198" s="20">
        <v>0</v>
      </c>
      <c r="J198" s="20">
        <v>1</v>
      </c>
      <c r="K198" s="20">
        <v>0</v>
      </c>
      <c r="L198" s="20">
        <v>4</v>
      </c>
      <c r="M198" s="20">
        <v>0</v>
      </c>
      <c r="N198" s="20">
        <v>0</v>
      </c>
      <c r="O198" s="20">
        <v>1</v>
      </c>
      <c r="P198" s="20">
        <v>746</v>
      </c>
      <c r="Q198" s="21">
        <v>0</v>
      </c>
      <c r="R198" s="20">
        <v>6</v>
      </c>
      <c r="S198" s="20">
        <f t="shared" si="9"/>
        <v>752</v>
      </c>
      <c r="T198" s="20">
        <v>0</v>
      </c>
      <c r="U198" s="22">
        <v>196</v>
      </c>
      <c r="V198" s="22" t="s">
        <v>292</v>
      </c>
      <c r="W198" s="23" t="s">
        <v>343</v>
      </c>
      <c r="X198" s="21">
        <v>1146</v>
      </c>
      <c r="Y198" s="21">
        <v>587</v>
      </c>
      <c r="Z198" s="21">
        <v>558</v>
      </c>
      <c r="AA198" s="21">
        <f t="shared" si="10"/>
        <v>92</v>
      </c>
      <c r="AB198" s="24">
        <f t="shared" si="11"/>
        <v>65.619546247818491</v>
      </c>
    </row>
    <row r="199" spans="1:28" ht="37.5" customHeight="1" x14ac:dyDescent="0.25">
      <c r="A199" s="20">
        <v>197</v>
      </c>
      <c r="B199" s="20">
        <v>304</v>
      </c>
      <c r="C199" s="20">
        <v>441</v>
      </c>
      <c r="D199" s="20">
        <v>100</v>
      </c>
      <c r="E199" s="20">
        <v>20</v>
      </c>
      <c r="F199" s="20">
        <v>1</v>
      </c>
      <c r="G199" s="20">
        <v>0</v>
      </c>
      <c r="H199" s="20">
        <v>0</v>
      </c>
      <c r="I199" s="20">
        <v>0</v>
      </c>
      <c r="J199" s="20">
        <v>0</v>
      </c>
      <c r="K199" s="20">
        <v>1</v>
      </c>
      <c r="L199" s="20">
        <v>0</v>
      </c>
      <c r="M199" s="20">
        <v>0</v>
      </c>
      <c r="N199" s="20">
        <v>6</v>
      </c>
      <c r="O199" s="20">
        <v>1</v>
      </c>
      <c r="P199" s="20">
        <v>874</v>
      </c>
      <c r="Q199" s="21">
        <v>0</v>
      </c>
      <c r="R199" s="20">
        <v>5</v>
      </c>
      <c r="S199" s="20">
        <f t="shared" si="9"/>
        <v>879</v>
      </c>
      <c r="T199" s="20">
        <v>0</v>
      </c>
      <c r="U199" s="22">
        <v>197</v>
      </c>
      <c r="V199" s="22" t="s">
        <v>292</v>
      </c>
      <c r="W199" s="23" t="s">
        <v>344</v>
      </c>
      <c r="X199" s="21">
        <v>917</v>
      </c>
      <c r="Y199" s="21">
        <v>456</v>
      </c>
      <c r="Z199" s="21">
        <v>455</v>
      </c>
      <c r="AA199" s="21">
        <f t="shared" si="10"/>
        <v>137</v>
      </c>
      <c r="AB199" s="24">
        <f t="shared" si="11"/>
        <v>95.856052344601963</v>
      </c>
    </row>
    <row r="200" spans="1:28" ht="37.5" customHeight="1" x14ac:dyDescent="0.25">
      <c r="A200" s="15">
        <v>198</v>
      </c>
      <c r="B200" s="15">
        <v>357</v>
      </c>
      <c r="C200" s="15">
        <v>170</v>
      </c>
      <c r="D200" s="15">
        <v>117</v>
      </c>
      <c r="E200" s="15">
        <v>2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646</v>
      </c>
      <c r="Q200" s="16">
        <v>0</v>
      </c>
      <c r="R200" s="15">
        <v>5</v>
      </c>
      <c r="S200" s="15">
        <f t="shared" si="9"/>
        <v>651</v>
      </c>
      <c r="T200" s="15">
        <v>0</v>
      </c>
      <c r="U200" s="17">
        <v>198</v>
      </c>
      <c r="V200" s="17" t="s">
        <v>292</v>
      </c>
      <c r="W200" s="18" t="s">
        <v>345</v>
      </c>
      <c r="X200" s="16">
        <v>758</v>
      </c>
      <c r="Y200" s="16">
        <v>390</v>
      </c>
      <c r="Z200" s="16">
        <v>366</v>
      </c>
      <c r="AA200" s="16">
        <f t="shared" si="10"/>
        <v>187</v>
      </c>
      <c r="AB200" s="19">
        <f t="shared" si="11"/>
        <v>85.883905013192603</v>
      </c>
    </row>
    <row r="201" spans="1:28" ht="37.5" customHeight="1" x14ac:dyDescent="0.25">
      <c r="A201" s="15">
        <v>199</v>
      </c>
      <c r="B201" s="15">
        <v>405</v>
      </c>
      <c r="C201" s="15">
        <v>82</v>
      </c>
      <c r="D201" s="15">
        <v>114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1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604</v>
      </c>
      <c r="Q201" s="16">
        <v>0</v>
      </c>
      <c r="R201" s="15">
        <v>2</v>
      </c>
      <c r="S201" s="15">
        <f t="shared" si="9"/>
        <v>606</v>
      </c>
      <c r="T201" s="15">
        <v>0</v>
      </c>
      <c r="U201" s="17">
        <v>199</v>
      </c>
      <c r="V201" s="17" t="s">
        <v>292</v>
      </c>
      <c r="W201" s="18" t="s">
        <v>346</v>
      </c>
      <c r="X201" s="16">
        <v>1360</v>
      </c>
      <c r="Y201" s="16">
        <v>702</v>
      </c>
      <c r="Z201" s="16">
        <v>656</v>
      </c>
      <c r="AA201" s="16">
        <f t="shared" si="10"/>
        <v>323</v>
      </c>
      <c r="AB201" s="19">
        <f t="shared" si="11"/>
        <v>44.558823529411768</v>
      </c>
    </row>
    <row r="202" spans="1:28" ht="37.5" customHeight="1" x14ac:dyDescent="0.25">
      <c r="A202" s="15">
        <v>200</v>
      </c>
      <c r="B202" s="15">
        <v>782</v>
      </c>
      <c r="C202" s="15">
        <v>288</v>
      </c>
      <c r="D202" s="15">
        <v>72</v>
      </c>
      <c r="E202" s="15">
        <v>1</v>
      </c>
      <c r="F202" s="15">
        <v>0</v>
      </c>
      <c r="G202" s="15">
        <v>0</v>
      </c>
      <c r="H202" s="15">
        <v>1</v>
      </c>
      <c r="I202" s="15">
        <v>0</v>
      </c>
      <c r="J202" s="15">
        <v>0</v>
      </c>
      <c r="K202" s="15">
        <v>2</v>
      </c>
      <c r="L202" s="15">
        <v>2</v>
      </c>
      <c r="M202" s="15">
        <v>1</v>
      </c>
      <c r="N202" s="15">
        <v>2</v>
      </c>
      <c r="O202" s="15">
        <v>2</v>
      </c>
      <c r="P202" s="15">
        <v>1153</v>
      </c>
      <c r="Q202" s="16">
        <v>0</v>
      </c>
      <c r="R202" s="15">
        <v>16</v>
      </c>
      <c r="S202" s="15">
        <f t="shared" si="9"/>
        <v>1169</v>
      </c>
      <c r="T202" s="15">
        <v>0</v>
      </c>
      <c r="U202" s="17">
        <v>200</v>
      </c>
      <c r="V202" s="17" t="s">
        <v>292</v>
      </c>
      <c r="W202" s="18" t="s">
        <v>347</v>
      </c>
      <c r="X202" s="16">
        <v>1085</v>
      </c>
      <c r="Y202" s="16">
        <v>528</v>
      </c>
      <c r="Z202" s="16">
        <v>556</v>
      </c>
      <c r="AA202" s="16">
        <f t="shared" si="10"/>
        <v>494</v>
      </c>
      <c r="AB202" s="19">
        <f t="shared" si="11"/>
        <v>107.74193548387096</v>
      </c>
    </row>
    <row r="203" spans="1:28" ht="37.5" customHeight="1" x14ac:dyDescent="0.25">
      <c r="A203" s="15">
        <v>201</v>
      </c>
      <c r="B203" s="15">
        <v>496</v>
      </c>
      <c r="C203" s="15">
        <v>297</v>
      </c>
      <c r="D203" s="15">
        <v>32</v>
      </c>
      <c r="E203" s="15">
        <v>1</v>
      </c>
      <c r="F203" s="16">
        <v>1</v>
      </c>
      <c r="G203" s="15">
        <v>1</v>
      </c>
      <c r="H203" s="15">
        <v>1</v>
      </c>
      <c r="I203" s="15">
        <v>0</v>
      </c>
      <c r="J203" s="15">
        <v>0</v>
      </c>
      <c r="K203" s="15">
        <v>1</v>
      </c>
      <c r="L203" s="15">
        <v>1</v>
      </c>
      <c r="M203" s="15">
        <v>1</v>
      </c>
      <c r="N203" s="15">
        <v>2</v>
      </c>
      <c r="O203" s="15">
        <v>2</v>
      </c>
      <c r="P203" s="15">
        <v>836</v>
      </c>
      <c r="Q203" s="16">
        <v>0</v>
      </c>
      <c r="R203" s="15">
        <v>10</v>
      </c>
      <c r="S203" s="15">
        <f t="shared" si="9"/>
        <v>846</v>
      </c>
      <c r="T203" s="15">
        <v>0</v>
      </c>
      <c r="U203" s="17">
        <v>201</v>
      </c>
      <c r="V203" s="17" t="s">
        <v>292</v>
      </c>
      <c r="W203" s="18" t="s">
        <v>348</v>
      </c>
      <c r="X203" s="16">
        <v>788</v>
      </c>
      <c r="Y203" s="16">
        <v>369</v>
      </c>
      <c r="Z203" s="16">
        <v>404</v>
      </c>
      <c r="AA203" s="16">
        <f t="shared" si="10"/>
        <v>199</v>
      </c>
      <c r="AB203" s="19">
        <f t="shared" si="11"/>
        <v>107.36040609137056</v>
      </c>
    </row>
    <row r="204" spans="1:28" ht="37.5" customHeight="1" x14ac:dyDescent="0.25">
      <c r="A204" s="20">
        <v>202</v>
      </c>
      <c r="B204" s="20">
        <v>256</v>
      </c>
      <c r="C204" s="20">
        <v>274</v>
      </c>
      <c r="D204" s="20">
        <v>44</v>
      </c>
      <c r="E204" s="20">
        <v>7</v>
      </c>
      <c r="F204" s="20">
        <v>0</v>
      </c>
      <c r="G204" s="20">
        <v>2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583</v>
      </c>
      <c r="Q204" s="21">
        <v>0</v>
      </c>
      <c r="R204" s="20">
        <v>4</v>
      </c>
      <c r="S204" s="20">
        <f t="shared" si="9"/>
        <v>587</v>
      </c>
      <c r="T204" s="20">
        <v>0</v>
      </c>
      <c r="U204" s="22">
        <v>202</v>
      </c>
      <c r="V204" s="22" t="s">
        <v>292</v>
      </c>
      <c r="W204" s="23" t="s">
        <v>349</v>
      </c>
      <c r="X204" s="21">
        <v>760</v>
      </c>
      <c r="Y204" s="21">
        <v>374</v>
      </c>
      <c r="Z204" s="21">
        <v>385</v>
      </c>
      <c r="AA204" s="21">
        <f t="shared" si="10"/>
        <v>18</v>
      </c>
      <c r="AB204" s="24">
        <f t="shared" si="11"/>
        <v>77.236842105263165</v>
      </c>
    </row>
    <row r="205" spans="1:28" ht="37.5" customHeight="1" x14ac:dyDescent="0.25">
      <c r="A205" s="20">
        <v>203</v>
      </c>
      <c r="B205" s="20">
        <v>13</v>
      </c>
      <c r="C205" s="20">
        <v>557</v>
      </c>
      <c r="D205" s="20">
        <v>14</v>
      </c>
      <c r="E205" s="20">
        <v>15</v>
      </c>
      <c r="F205" s="20">
        <v>0</v>
      </c>
      <c r="G205" s="20">
        <v>0</v>
      </c>
      <c r="H205" s="20">
        <v>0</v>
      </c>
      <c r="I205" s="20">
        <v>0</v>
      </c>
      <c r="J205" s="20">
        <v>1</v>
      </c>
      <c r="K205" s="20">
        <v>0</v>
      </c>
      <c r="L205" s="20">
        <v>1</v>
      </c>
      <c r="M205" s="20">
        <v>0</v>
      </c>
      <c r="N205" s="20">
        <v>1</v>
      </c>
      <c r="O205" s="20">
        <v>3</v>
      </c>
      <c r="P205" s="20">
        <v>605</v>
      </c>
      <c r="Q205" s="21">
        <v>0</v>
      </c>
      <c r="R205" s="20">
        <v>3</v>
      </c>
      <c r="S205" s="20">
        <f t="shared" si="9"/>
        <v>608</v>
      </c>
      <c r="T205" s="20">
        <v>0</v>
      </c>
      <c r="U205" s="22">
        <v>203</v>
      </c>
      <c r="V205" s="22" t="s">
        <v>292</v>
      </c>
      <c r="W205" s="23" t="s">
        <v>350</v>
      </c>
      <c r="X205" s="21">
        <v>1120</v>
      </c>
      <c r="Y205" s="21">
        <v>580</v>
      </c>
      <c r="Z205" s="21">
        <v>538</v>
      </c>
      <c r="AA205" s="21">
        <f t="shared" si="10"/>
        <v>544</v>
      </c>
      <c r="AB205" s="24">
        <f t="shared" si="11"/>
        <v>54.285714285714285</v>
      </c>
    </row>
    <row r="206" spans="1:28" ht="37.5" customHeight="1" x14ac:dyDescent="0.25">
      <c r="A206" s="15">
        <v>204</v>
      </c>
      <c r="B206" s="15">
        <v>527</v>
      </c>
      <c r="C206" s="15">
        <v>235</v>
      </c>
      <c r="D206" s="15">
        <v>65</v>
      </c>
      <c r="E206" s="15">
        <v>2</v>
      </c>
      <c r="F206" s="15">
        <v>1</v>
      </c>
      <c r="G206" s="15">
        <v>0</v>
      </c>
      <c r="H206" s="15">
        <v>1</v>
      </c>
      <c r="I206" s="15">
        <v>0</v>
      </c>
      <c r="J206" s="15">
        <v>1</v>
      </c>
      <c r="K206" s="15">
        <v>0</v>
      </c>
      <c r="L206" s="15">
        <v>0</v>
      </c>
      <c r="M206" s="15">
        <v>0</v>
      </c>
      <c r="N206" s="15">
        <v>1</v>
      </c>
      <c r="O206" s="15">
        <v>1</v>
      </c>
      <c r="P206" s="15">
        <v>834</v>
      </c>
      <c r="Q206" s="16">
        <v>0</v>
      </c>
      <c r="R206" s="15">
        <v>4</v>
      </c>
      <c r="S206" s="15">
        <f t="shared" si="9"/>
        <v>838</v>
      </c>
      <c r="T206" s="15">
        <v>0</v>
      </c>
      <c r="U206" s="17">
        <v>204</v>
      </c>
      <c r="V206" s="17" t="s">
        <v>292</v>
      </c>
      <c r="W206" s="18" t="s">
        <v>351</v>
      </c>
      <c r="X206" s="16">
        <v>927</v>
      </c>
      <c r="Y206" s="16">
        <v>455</v>
      </c>
      <c r="Z206" s="16">
        <v>471</v>
      </c>
      <c r="AA206" s="16">
        <f t="shared" si="10"/>
        <v>292</v>
      </c>
      <c r="AB206" s="19">
        <f t="shared" si="11"/>
        <v>90.399137001078742</v>
      </c>
    </row>
    <row r="207" spans="1:28" ht="37.5" customHeight="1" x14ac:dyDescent="0.25">
      <c r="A207" s="20">
        <v>205</v>
      </c>
      <c r="B207" s="20">
        <v>179</v>
      </c>
      <c r="C207" s="20">
        <v>479</v>
      </c>
      <c r="D207" s="20">
        <v>19</v>
      </c>
      <c r="E207" s="20">
        <v>4</v>
      </c>
      <c r="F207" s="21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1</v>
      </c>
      <c r="M207" s="20">
        <v>0</v>
      </c>
      <c r="N207" s="20">
        <v>0</v>
      </c>
      <c r="O207" s="20">
        <v>2</v>
      </c>
      <c r="P207" s="20">
        <v>684</v>
      </c>
      <c r="Q207" s="21">
        <v>0</v>
      </c>
      <c r="R207" s="20">
        <v>1</v>
      </c>
      <c r="S207" s="20">
        <f t="shared" si="9"/>
        <v>685</v>
      </c>
      <c r="T207" s="20">
        <v>0</v>
      </c>
      <c r="U207" s="22">
        <v>205</v>
      </c>
      <c r="V207" s="22" t="s">
        <v>292</v>
      </c>
      <c r="W207" s="23" t="s">
        <v>352</v>
      </c>
      <c r="X207" s="21">
        <v>927</v>
      </c>
      <c r="Y207" s="21">
        <v>455</v>
      </c>
      <c r="Z207" s="21">
        <v>471</v>
      </c>
      <c r="AA207" s="21">
        <f t="shared" si="10"/>
        <v>300</v>
      </c>
      <c r="AB207" s="24">
        <f t="shared" si="11"/>
        <v>73.894282632146712</v>
      </c>
    </row>
    <row r="208" spans="1:28" ht="37.5" customHeight="1" x14ac:dyDescent="0.25">
      <c r="A208" s="20">
        <v>206</v>
      </c>
      <c r="B208" s="20">
        <v>85</v>
      </c>
      <c r="C208" s="20">
        <v>422</v>
      </c>
      <c r="D208" s="20">
        <v>13</v>
      </c>
      <c r="E208" s="20">
        <v>2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1</v>
      </c>
      <c r="M208" s="20">
        <v>1</v>
      </c>
      <c r="N208" s="20">
        <v>0</v>
      </c>
      <c r="O208" s="20">
        <v>1</v>
      </c>
      <c r="P208" s="20">
        <v>525</v>
      </c>
      <c r="Q208" s="21">
        <v>0</v>
      </c>
      <c r="R208" s="20">
        <v>2</v>
      </c>
      <c r="S208" s="20">
        <f t="shared" si="9"/>
        <v>527</v>
      </c>
      <c r="T208" s="20">
        <v>0</v>
      </c>
      <c r="U208" s="22">
        <v>206</v>
      </c>
      <c r="V208" s="22" t="s">
        <v>292</v>
      </c>
      <c r="W208" s="23" t="s">
        <v>353</v>
      </c>
      <c r="X208" s="21">
        <v>706</v>
      </c>
      <c r="Y208" s="21">
        <v>342</v>
      </c>
      <c r="Z208" s="21">
        <v>364</v>
      </c>
      <c r="AA208" s="21">
        <f t="shared" si="10"/>
        <v>337</v>
      </c>
      <c r="AB208" s="24">
        <f t="shared" si="11"/>
        <v>74.645892351274796</v>
      </c>
    </row>
    <row r="209" spans="1:28" ht="37.5" customHeight="1" x14ac:dyDescent="0.25">
      <c r="A209" s="20">
        <v>207</v>
      </c>
      <c r="B209" s="20">
        <v>232</v>
      </c>
      <c r="C209" s="20">
        <v>439</v>
      </c>
      <c r="D209" s="20">
        <v>17</v>
      </c>
      <c r="E209" s="20">
        <v>1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1</v>
      </c>
      <c r="M209" s="20">
        <v>1</v>
      </c>
      <c r="N209" s="20">
        <v>0</v>
      </c>
      <c r="O209" s="21">
        <v>1</v>
      </c>
      <c r="P209" s="20">
        <v>692</v>
      </c>
      <c r="Q209" s="21">
        <v>0</v>
      </c>
      <c r="R209" s="20">
        <v>3</v>
      </c>
      <c r="S209" s="20">
        <f t="shared" si="9"/>
        <v>695</v>
      </c>
      <c r="T209" s="20">
        <v>0</v>
      </c>
      <c r="U209" s="22">
        <v>207</v>
      </c>
      <c r="V209" s="22" t="s">
        <v>292</v>
      </c>
      <c r="W209" s="23" t="s">
        <v>354</v>
      </c>
      <c r="X209" s="21">
        <v>911</v>
      </c>
      <c r="Y209" s="21">
        <v>442</v>
      </c>
      <c r="Z209" s="21">
        <v>466</v>
      </c>
      <c r="AA209" s="21">
        <f t="shared" si="10"/>
        <v>207</v>
      </c>
      <c r="AB209" s="24">
        <f t="shared" si="11"/>
        <v>76.289791437980242</v>
      </c>
    </row>
    <row r="210" spans="1:28" ht="37.5" customHeight="1" x14ac:dyDescent="0.25">
      <c r="A210" s="20">
        <v>208</v>
      </c>
      <c r="B210" s="20">
        <v>47</v>
      </c>
      <c r="C210" s="20">
        <v>463</v>
      </c>
      <c r="D210" s="20">
        <v>35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1</v>
      </c>
      <c r="N210" s="20">
        <v>0</v>
      </c>
      <c r="O210" s="21">
        <v>1</v>
      </c>
      <c r="P210" s="21">
        <v>547</v>
      </c>
      <c r="Q210" s="21">
        <v>0</v>
      </c>
      <c r="R210" s="20">
        <v>3</v>
      </c>
      <c r="S210" s="20">
        <f t="shared" si="9"/>
        <v>550</v>
      </c>
      <c r="T210" s="20">
        <v>0</v>
      </c>
      <c r="U210" s="22">
        <v>208</v>
      </c>
      <c r="V210" s="22" t="s">
        <v>292</v>
      </c>
      <c r="W210" s="23" t="s">
        <v>355</v>
      </c>
      <c r="X210" s="21">
        <v>746</v>
      </c>
      <c r="Y210" s="21">
        <v>360</v>
      </c>
      <c r="Z210" s="21">
        <v>384</v>
      </c>
      <c r="AA210" s="21">
        <f t="shared" si="10"/>
        <v>416</v>
      </c>
      <c r="AB210" s="24">
        <f t="shared" si="11"/>
        <v>73.726541554959795</v>
      </c>
    </row>
    <row r="211" spans="1:28" ht="37.5" customHeight="1" x14ac:dyDescent="0.25">
      <c r="A211" s="20">
        <v>209</v>
      </c>
      <c r="B211" s="20">
        <v>286</v>
      </c>
      <c r="C211" s="20">
        <v>553</v>
      </c>
      <c r="D211" s="20">
        <v>29</v>
      </c>
      <c r="E211" s="20">
        <v>1</v>
      </c>
      <c r="F211" s="20">
        <v>1</v>
      </c>
      <c r="G211" s="20">
        <v>0</v>
      </c>
      <c r="H211" s="20">
        <v>1</v>
      </c>
      <c r="I211" s="20">
        <v>0</v>
      </c>
      <c r="J211" s="20">
        <v>0</v>
      </c>
      <c r="K211" s="20">
        <v>0</v>
      </c>
      <c r="L211" s="20">
        <v>1</v>
      </c>
      <c r="M211" s="20">
        <v>1</v>
      </c>
      <c r="N211" s="20">
        <v>1</v>
      </c>
      <c r="O211" s="20">
        <v>6</v>
      </c>
      <c r="P211" s="20">
        <v>880</v>
      </c>
      <c r="Q211" s="21">
        <v>0</v>
      </c>
      <c r="R211" s="20">
        <v>2</v>
      </c>
      <c r="S211" s="20">
        <f t="shared" si="9"/>
        <v>882</v>
      </c>
      <c r="T211" s="20">
        <v>0</v>
      </c>
      <c r="U211" s="22">
        <v>209</v>
      </c>
      <c r="V211" s="22" t="s">
        <v>292</v>
      </c>
      <c r="W211" s="23" t="s">
        <v>356</v>
      </c>
      <c r="X211" s="21">
        <v>1133</v>
      </c>
      <c r="Y211" s="21">
        <v>576</v>
      </c>
      <c r="Z211" s="21">
        <v>557</v>
      </c>
      <c r="AA211" s="21">
        <f t="shared" si="10"/>
        <v>267</v>
      </c>
      <c r="AB211" s="24">
        <f t="shared" si="11"/>
        <v>77.846425419240944</v>
      </c>
    </row>
    <row r="212" spans="1:28" ht="37.5" customHeight="1" x14ac:dyDescent="0.25">
      <c r="A212" s="20">
        <v>210</v>
      </c>
      <c r="B212" s="20">
        <v>510</v>
      </c>
      <c r="C212" s="20">
        <v>525</v>
      </c>
      <c r="D212" s="20">
        <v>44</v>
      </c>
      <c r="E212" s="20">
        <v>0</v>
      </c>
      <c r="F212" s="20">
        <v>0</v>
      </c>
      <c r="G212" s="20">
        <v>0</v>
      </c>
      <c r="H212" s="20">
        <v>3</v>
      </c>
      <c r="I212" s="20">
        <v>3</v>
      </c>
      <c r="J212" s="20">
        <v>2</v>
      </c>
      <c r="K212" s="20">
        <v>1</v>
      </c>
      <c r="L212" s="20">
        <v>2</v>
      </c>
      <c r="M212" s="20">
        <v>4</v>
      </c>
      <c r="N212" s="20">
        <v>1</v>
      </c>
      <c r="O212" s="21">
        <v>7</v>
      </c>
      <c r="P212" s="21">
        <v>1102</v>
      </c>
      <c r="Q212" s="21">
        <v>0</v>
      </c>
      <c r="R212" s="20">
        <v>14</v>
      </c>
      <c r="S212" s="20">
        <f t="shared" si="9"/>
        <v>1116</v>
      </c>
      <c r="T212" s="20">
        <v>0</v>
      </c>
      <c r="U212" s="22">
        <v>210</v>
      </c>
      <c r="V212" s="22" t="s">
        <v>357</v>
      </c>
      <c r="W212" s="23" t="s">
        <v>358</v>
      </c>
      <c r="X212" s="21">
        <v>1262</v>
      </c>
      <c r="Y212" s="21">
        <v>663</v>
      </c>
      <c r="Z212" s="21">
        <v>598</v>
      </c>
      <c r="AA212" s="21">
        <f t="shared" si="10"/>
        <v>15</v>
      </c>
      <c r="AB212" s="24">
        <f t="shared" si="11"/>
        <v>88.431061806656103</v>
      </c>
    </row>
    <row r="213" spans="1:28" ht="37.5" customHeight="1" x14ac:dyDescent="0.25">
      <c r="A213" s="20">
        <v>211</v>
      </c>
      <c r="B213" s="20">
        <v>215</v>
      </c>
      <c r="C213" s="20">
        <v>306</v>
      </c>
      <c r="D213" s="20">
        <v>9</v>
      </c>
      <c r="E213" s="20">
        <v>0</v>
      </c>
      <c r="F213" s="21">
        <v>1</v>
      </c>
      <c r="G213" s="20">
        <v>0</v>
      </c>
      <c r="H213" s="20">
        <v>0</v>
      </c>
      <c r="I213" s="20">
        <v>0</v>
      </c>
      <c r="J213" s="20">
        <v>0</v>
      </c>
      <c r="K213" s="20">
        <v>1</v>
      </c>
      <c r="L213" s="20">
        <v>2</v>
      </c>
      <c r="M213" s="20">
        <v>4</v>
      </c>
      <c r="N213" s="20">
        <v>1</v>
      </c>
      <c r="O213" s="20">
        <v>7</v>
      </c>
      <c r="P213" s="20">
        <v>546</v>
      </c>
      <c r="Q213" s="21">
        <v>0</v>
      </c>
      <c r="R213" s="20">
        <v>28</v>
      </c>
      <c r="S213" s="20">
        <f t="shared" si="9"/>
        <v>574</v>
      </c>
      <c r="T213" s="20">
        <v>0</v>
      </c>
      <c r="U213" s="22">
        <v>211</v>
      </c>
      <c r="V213" s="22" t="s">
        <v>359</v>
      </c>
      <c r="W213" s="23" t="s">
        <v>360</v>
      </c>
      <c r="X213" s="21">
        <v>698</v>
      </c>
      <c r="Y213" s="21">
        <v>349</v>
      </c>
      <c r="Z213" s="21">
        <v>347</v>
      </c>
      <c r="AA213" s="21">
        <f t="shared" si="10"/>
        <v>91</v>
      </c>
      <c r="AB213" s="24">
        <f t="shared" si="11"/>
        <v>82.234957020057308</v>
      </c>
    </row>
    <row r="214" spans="1:28" ht="37.5" customHeight="1" x14ac:dyDescent="0.25">
      <c r="A214" s="20">
        <v>212</v>
      </c>
      <c r="B214" s="20">
        <v>300</v>
      </c>
      <c r="C214" s="20">
        <v>343</v>
      </c>
      <c r="D214" s="20">
        <v>18</v>
      </c>
      <c r="E214" s="20">
        <v>0</v>
      </c>
      <c r="F214" s="20">
        <v>0</v>
      </c>
      <c r="G214" s="20">
        <v>0</v>
      </c>
      <c r="H214" s="20">
        <v>1</v>
      </c>
      <c r="I214" s="20">
        <v>1</v>
      </c>
      <c r="J214" s="20">
        <v>2</v>
      </c>
      <c r="K214" s="20">
        <v>1</v>
      </c>
      <c r="L214" s="20">
        <v>2</v>
      </c>
      <c r="M214" s="21">
        <v>0</v>
      </c>
      <c r="N214" s="20">
        <v>1</v>
      </c>
      <c r="O214" s="20">
        <v>2</v>
      </c>
      <c r="P214" s="20">
        <v>671</v>
      </c>
      <c r="Q214" s="21">
        <v>0</v>
      </c>
      <c r="R214" s="20">
        <v>2</v>
      </c>
      <c r="S214" s="20">
        <f t="shared" si="9"/>
        <v>673</v>
      </c>
      <c r="T214" s="20">
        <v>0</v>
      </c>
      <c r="U214" s="22">
        <v>212</v>
      </c>
      <c r="V214" s="22" t="s">
        <v>361</v>
      </c>
      <c r="W214" s="23" t="s">
        <v>362</v>
      </c>
      <c r="X214" s="21">
        <v>778</v>
      </c>
      <c r="Y214" s="21">
        <v>390</v>
      </c>
      <c r="Z214" s="21">
        <v>388</v>
      </c>
      <c r="AA214" s="21">
        <f t="shared" si="10"/>
        <v>43</v>
      </c>
      <c r="AB214" s="24">
        <f t="shared" si="11"/>
        <v>86.503856041131115</v>
      </c>
    </row>
    <row r="215" spans="1:28" ht="37.5" customHeight="1" x14ac:dyDescent="0.25">
      <c r="A215" s="20">
        <v>213</v>
      </c>
      <c r="B215" s="20">
        <v>74</v>
      </c>
      <c r="C215" s="20">
        <v>155</v>
      </c>
      <c r="D215" s="20">
        <v>74</v>
      </c>
      <c r="E215" s="20">
        <v>0</v>
      </c>
      <c r="F215" s="20">
        <v>1</v>
      </c>
      <c r="G215" s="20">
        <v>2</v>
      </c>
      <c r="H215" s="20">
        <v>1</v>
      </c>
      <c r="I215" s="20">
        <v>0</v>
      </c>
      <c r="J215" s="20">
        <v>0</v>
      </c>
      <c r="K215" s="20">
        <v>1</v>
      </c>
      <c r="L215" s="20">
        <v>2</v>
      </c>
      <c r="M215" s="21">
        <v>0</v>
      </c>
      <c r="N215" s="20">
        <v>1</v>
      </c>
      <c r="O215" s="20">
        <v>0</v>
      </c>
      <c r="P215" s="20">
        <v>311</v>
      </c>
      <c r="Q215" s="21">
        <v>0</v>
      </c>
      <c r="R215" s="20">
        <v>0</v>
      </c>
      <c r="S215" s="20">
        <f t="shared" si="9"/>
        <v>311</v>
      </c>
      <c r="T215" s="20">
        <v>0</v>
      </c>
      <c r="U215" s="22">
        <v>213</v>
      </c>
      <c r="V215" s="22" t="s">
        <v>363</v>
      </c>
      <c r="W215" s="23" t="s">
        <v>364</v>
      </c>
      <c r="X215" s="21">
        <v>321</v>
      </c>
      <c r="Y215" s="21">
        <v>167</v>
      </c>
      <c r="Z215" s="21">
        <v>154</v>
      </c>
      <c r="AA215" s="21">
        <f t="shared" si="10"/>
        <v>81</v>
      </c>
      <c r="AB215" s="24">
        <f t="shared" si="11"/>
        <v>96.884735202492209</v>
      </c>
    </row>
    <row r="216" spans="1:28" ht="37.5" customHeight="1" x14ac:dyDescent="0.25">
      <c r="A216" s="20">
        <v>214</v>
      </c>
      <c r="B216" s="20">
        <v>100</v>
      </c>
      <c r="C216" s="20">
        <v>524</v>
      </c>
      <c r="D216" s="20">
        <v>56</v>
      </c>
      <c r="E216" s="20">
        <v>1</v>
      </c>
      <c r="F216" s="20">
        <v>1</v>
      </c>
      <c r="G216" s="20">
        <v>0</v>
      </c>
      <c r="H216" s="20">
        <v>1</v>
      </c>
      <c r="I216" s="20">
        <v>7</v>
      </c>
      <c r="J216" s="20">
        <v>3</v>
      </c>
      <c r="K216" s="21">
        <v>2</v>
      </c>
      <c r="L216" s="20">
        <v>4</v>
      </c>
      <c r="M216" s="20">
        <v>1</v>
      </c>
      <c r="N216" s="20">
        <v>0</v>
      </c>
      <c r="O216" s="20">
        <v>3</v>
      </c>
      <c r="P216" s="20">
        <v>703</v>
      </c>
      <c r="Q216" s="21">
        <v>0</v>
      </c>
      <c r="R216" s="20">
        <v>6</v>
      </c>
      <c r="S216" s="20">
        <f t="shared" si="9"/>
        <v>709</v>
      </c>
      <c r="T216" s="20">
        <v>0</v>
      </c>
      <c r="U216" s="22">
        <v>214</v>
      </c>
      <c r="V216" s="22" t="s">
        <v>365</v>
      </c>
      <c r="W216" s="23" t="s">
        <v>366</v>
      </c>
      <c r="X216" s="21">
        <v>818</v>
      </c>
      <c r="Y216" s="21">
        <v>391</v>
      </c>
      <c r="Z216" s="21">
        <v>426</v>
      </c>
      <c r="AA216" s="21">
        <f t="shared" si="10"/>
        <v>424</v>
      </c>
      <c r="AB216" s="24">
        <f t="shared" si="11"/>
        <v>86.674816625916876</v>
      </c>
    </row>
    <row r="217" spans="1:28" ht="37.5" customHeight="1" x14ac:dyDescent="0.25">
      <c r="A217" s="20">
        <v>215</v>
      </c>
      <c r="B217" s="21">
        <v>123</v>
      </c>
      <c r="C217" s="20">
        <v>241</v>
      </c>
      <c r="D217" s="20">
        <v>133</v>
      </c>
      <c r="E217" s="20">
        <v>1</v>
      </c>
      <c r="F217" s="20">
        <v>0</v>
      </c>
      <c r="G217" s="20">
        <v>1</v>
      </c>
      <c r="H217" s="20">
        <v>0</v>
      </c>
      <c r="I217" s="20">
        <v>1</v>
      </c>
      <c r="J217" s="20">
        <v>0</v>
      </c>
      <c r="K217" s="20">
        <v>1</v>
      </c>
      <c r="L217" s="21">
        <v>0</v>
      </c>
      <c r="M217" s="20">
        <v>1</v>
      </c>
      <c r="N217" s="20">
        <v>1</v>
      </c>
      <c r="O217" s="20">
        <v>2</v>
      </c>
      <c r="P217" s="20">
        <v>505</v>
      </c>
      <c r="Q217" s="21">
        <v>0</v>
      </c>
      <c r="R217" s="20">
        <v>1</v>
      </c>
      <c r="S217" s="20">
        <f t="shared" si="9"/>
        <v>506</v>
      </c>
      <c r="T217" s="20">
        <v>0</v>
      </c>
      <c r="U217" s="22">
        <v>215</v>
      </c>
      <c r="V217" s="22" t="s">
        <v>367</v>
      </c>
      <c r="W217" s="23" t="s">
        <v>368</v>
      </c>
      <c r="X217" s="21">
        <v>699</v>
      </c>
      <c r="Y217" s="21">
        <v>390</v>
      </c>
      <c r="Z217" s="21">
        <v>309</v>
      </c>
      <c r="AA217" s="21">
        <f t="shared" si="10"/>
        <v>118</v>
      </c>
      <c r="AB217" s="24">
        <f t="shared" si="11"/>
        <v>72.389127324749651</v>
      </c>
    </row>
    <row r="218" spans="1:28" ht="37.5" customHeight="1" x14ac:dyDescent="0.25">
      <c r="A218" s="15">
        <v>216</v>
      </c>
      <c r="B218" s="16">
        <v>200</v>
      </c>
      <c r="C218" s="15">
        <v>163</v>
      </c>
      <c r="D218" s="15">
        <v>15</v>
      </c>
      <c r="E218" s="15">
        <v>1</v>
      </c>
      <c r="F218" s="15">
        <v>0</v>
      </c>
      <c r="G218" s="15">
        <v>0</v>
      </c>
      <c r="H218" s="15">
        <v>1</v>
      </c>
      <c r="I218" s="15">
        <v>0</v>
      </c>
      <c r="J218" s="15">
        <v>1</v>
      </c>
      <c r="K218" s="15">
        <v>0</v>
      </c>
      <c r="L218" s="16">
        <v>0</v>
      </c>
      <c r="M218" s="15">
        <v>0</v>
      </c>
      <c r="N218" s="15">
        <v>0</v>
      </c>
      <c r="O218" s="15">
        <v>0</v>
      </c>
      <c r="P218" s="15">
        <v>381</v>
      </c>
      <c r="Q218" s="16">
        <v>0</v>
      </c>
      <c r="R218" s="15">
        <v>3</v>
      </c>
      <c r="S218" s="15">
        <f t="shared" si="9"/>
        <v>384</v>
      </c>
      <c r="T218" s="15">
        <v>0</v>
      </c>
      <c r="U218" s="17">
        <v>216</v>
      </c>
      <c r="V218" s="17" t="s">
        <v>369</v>
      </c>
      <c r="W218" s="18" t="s">
        <v>370</v>
      </c>
      <c r="X218" s="16">
        <v>404</v>
      </c>
      <c r="Y218" s="16">
        <v>202</v>
      </c>
      <c r="Z218" s="16">
        <v>202</v>
      </c>
      <c r="AA218" s="16">
        <f t="shared" si="10"/>
        <v>37</v>
      </c>
      <c r="AB218" s="19">
        <f t="shared" si="11"/>
        <v>95.049504950495049</v>
      </c>
    </row>
    <row r="219" spans="1:28" ht="37.5" customHeight="1" x14ac:dyDescent="0.25">
      <c r="A219" s="15">
        <v>217</v>
      </c>
      <c r="B219" s="15">
        <v>332</v>
      </c>
      <c r="C219" s="15">
        <v>156</v>
      </c>
      <c r="D219" s="15">
        <v>69</v>
      </c>
      <c r="E219" s="15">
        <v>2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1</v>
      </c>
      <c r="L219" s="15">
        <v>3</v>
      </c>
      <c r="M219" s="15">
        <v>2</v>
      </c>
      <c r="N219" s="15">
        <v>1</v>
      </c>
      <c r="O219" s="15">
        <v>1</v>
      </c>
      <c r="P219" s="15">
        <v>568</v>
      </c>
      <c r="Q219" s="16">
        <v>0</v>
      </c>
      <c r="R219" s="15">
        <v>8</v>
      </c>
      <c r="S219" s="15">
        <f t="shared" si="9"/>
        <v>576</v>
      </c>
      <c r="T219" s="15">
        <v>0</v>
      </c>
      <c r="U219" s="17">
        <v>217</v>
      </c>
      <c r="V219" s="17" t="s">
        <v>371</v>
      </c>
      <c r="W219" s="18" t="s">
        <v>372</v>
      </c>
      <c r="X219" s="16">
        <v>789</v>
      </c>
      <c r="Y219" s="16">
        <v>399</v>
      </c>
      <c r="Z219" s="16">
        <v>389</v>
      </c>
      <c r="AA219" s="16">
        <f t="shared" si="10"/>
        <v>176</v>
      </c>
      <c r="AB219" s="19">
        <f t="shared" si="11"/>
        <v>73.00380228136882</v>
      </c>
    </row>
    <row r="220" spans="1:28" ht="37.5" customHeight="1" x14ac:dyDescent="0.25">
      <c r="A220" s="15">
        <v>218</v>
      </c>
      <c r="B220" s="15">
        <v>479</v>
      </c>
      <c r="C220" s="15">
        <v>48</v>
      </c>
      <c r="D220" s="15">
        <v>61</v>
      </c>
      <c r="E220" s="15">
        <v>1</v>
      </c>
      <c r="F220" s="15">
        <v>0</v>
      </c>
      <c r="G220" s="15">
        <v>0</v>
      </c>
      <c r="H220" s="15">
        <v>0</v>
      </c>
      <c r="I220" s="16">
        <v>1</v>
      </c>
      <c r="J220" s="15">
        <v>0</v>
      </c>
      <c r="K220" s="15">
        <v>1</v>
      </c>
      <c r="L220" s="16">
        <v>4</v>
      </c>
      <c r="M220" s="15">
        <v>2</v>
      </c>
      <c r="N220" s="15">
        <v>1</v>
      </c>
      <c r="O220" s="15">
        <v>3</v>
      </c>
      <c r="P220" s="15">
        <v>601</v>
      </c>
      <c r="Q220" s="16">
        <v>0</v>
      </c>
      <c r="R220" s="15">
        <v>7</v>
      </c>
      <c r="S220" s="15">
        <f t="shared" si="9"/>
        <v>608</v>
      </c>
      <c r="T220" s="15">
        <v>0</v>
      </c>
      <c r="U220" s="17">
        <v>218</v>
      </c>
      <c r="V220" s="17" t="s">
        <v>373</v>
      </c>
      <c r="W220" s="18" t="s">
        <v>374</v>
      </c>
      <c r="X220" s="16">
        <v>715</v>
      </c>
      <c r="Y220" s="16">
        <v>375</v>
      </c>
      <c r="Z220" s="16">
        <v>340</v>
      </c>
      <c r="AA220" s="16">
        <f t="shared" si="10"/>
        <v>431</v>
      </c>
      <c r="AB220" s="19">
        <f t="shared" si="11"/>
        <v>85.03496503496504</v>
      </c>
    </row>
    <row r="221" spans="1:28" ht="37.5" customHeight="1" x14ac:dyDescent="0.25">
      <c r="A221" s="15">
        <v>219</v>
      </c>
      <c r="B221" s="15">
        <v>225</v>
      </c>
      <c r="C221" s="15">
        <v>137</v>
      </c>
      <c r="D221" s="15">
        <v>132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3</v>
      </c>
      <c r="M221" s="15">
        <v>1</v>
      </c>
      <c r="N221" s="15">
        <v>0</v>
      </c>
      <c r="O221" s="15">
        <v>0</v>
      </c>
      <c r="P221" s="15">
        <v>500</v>
      </c>
      <c r="Q221" s="16">
        <v>0</v>
      </c>
      <c r="R221" s="15">
        <v>5</v>
      </c>
      <c r="S221" s="15">
        <f t="shared" si="9"/>
        <v>505</v>
      </c>
      <c r="T221" s="15">
        <v>0</v>
      </c>
      <c r="U221" s="17">
        <v>219</v>
      </c>
      <c r="V221" s="17" t="s">
        <v>373</v>
      </c>
      <c r="W221" s="18" t="s">
        <v>375</v>
      </c>
      <c r="X221" s="16">
        <v>603</v>
      </c>
      <c r="Y221" s="16">
        <v>309</v>
      </c>
      <c r="Z221" s="16">
        <v>296</v>
      </c>
      <c r="AA221" s="16">
        <f t="shared" si="10"/>
        <v>88</v>
      </c>
      <c r="AB221" s="19">
        <f t="shared" si="11"/>
        <v>83.747927031509121</v>
      </c>
    </row>
    <row r="222" spans="1:28" ht="37.5" customHeight="1" x14ac:dyDescent="0.25">
      <c r="A222" s="20">
        <v>220</v>
      </c>
      <c r="B222" s="20">
        <v>42</v>
      </c>
      <c r="C222" s="20">
        <v>158</v>
      </c>
      <c r="D222" s="20">
        <v>87</v>
      </c>
      <c r="E222" s="20">
        <v>0</v>
      </c>
      <c r="F222" s="20">
        <v>2</v>
      </c>
      <c r="G222" s="20">
        <v>0</v>
      </c>
      <c r="H222" s="20">
        <v>3</v>
      </c>
      <c r="I222" s="20">
        <v>1</v>
      </c>
      <c r="J222" s="20">
        <v>0</v>
      </c>
      <c r="K222" s="20">
        <v>0</v>
      </c>
      <c r="L222" s="20">
        <v>1</v>
      </c>
      <c r="M222" s="20">
        <v>1</v>
      </c>
      <c r="N222" s="20">
        <v>2</v>
      </c>
      <c r="O222" s="20">
        <v>1</v>
      </c>
      <c r="P222" s="20">
        <v>298</v>
      </c>
      <c r="Q222" s="21">
        <v>0</v>
      </c>
      <c r="R222" s="20">
        <v>5</v>
      </c>
      <c r="S222" s="20">
        <f t="shared" si="9"/>
        <v>303</v>
      </c>
      <c r="T222" s="20">
        <v>0</v>
      </c>
      <c r="U222" s="22">
        <v>220</v>
      </c>
      <c r="V222" s="22" t="s">
        <v>376</v>
      </c>
      <c r="W222" s="23" t="s">
        <v>377</v>
      </c>
      <c r="X222" s="21">
        <v>314</v>
      </c>
      <c r="Y222" s="21">
        <v>162</v>
      </c>
      <c r="Z222" s="21">
        <v>151</v>
      </c>
      <c r="AA222" s="21">
        <f t="shared" si="10"/>
        <v>116</v>
      </c>
      <c r="AB222" s="24">
        <f t="shared" si="11"/>
        <v>96.496815286624198</v>
      </c>
    </row>
    <row r="223" spans="1:28" ht="37.5" customHeight="1" x14ac:dyDescent="0.25">
      <c r="A223" s="20">
        <v>221</v>
      </c>
      <c r="B223" s="20">
        <v>250</v>
      </c>
      <c r="C223" s="20">
        <v>523</v>
      </c>
      <c r="D223" s="20">
        <v>39</v>
      </c>
      <c r="E223" s="20">
        <v>2</v>
      </c>
      <c r="F223" s="20">
        <v>0</v>
      </c>
      <c r="G223" s="20">
        <v>0</v>
      </c>
      <c r="H223" s="20">
        <v>0</v>
      </c>
      <c r="I223" s="20">
        <v>2</v>
      </c>
      <c r="J223" s="20">
        <v>1</v>
      </c>
      <c r="K223" s="20">
        <v>2</v>
      </c>
      <c r="L223" s="21">
        <v>1</v>
      </c>
      <c r="M223" s="20">
        <v>4</v>
      </c>
      <c r="N223" s="20">
        <v>2</v>
      </c>
      <c r="O223" s="20">
        <v>2</v>
      </c>
      <c r="P223" s="20">
        <v>828</v>
      </c>
      <c r="Q223" s="21">
        <v>0</v>
      </c>
      <c r="R223" s="20">
        <v>11</v>
      </c>
      <c r="S223" s="20">
        <f t="shared" si="9"/>
        <v>839</v>
      </c>
      <c r="T223" s="20">
        <v>0</v>
      </c>
      <c r="U223" s="22">
        <v>221</v>
      </c>
      <c r="V223" s="22" t="s">
        <v>378</v>
      </c>
      <c r="W223" s="23" t="s">
        <v>379</v>
      </c>
      <c r="X223" s="21">
        <v>988</v>
      </c>
      <c r="Y223" s="21">
        <v>504</v>
      </c>
      <c r="Z223" s="21">
        <v>479</v>
      </c>
      <c r="AA223" s="21">
        <f t="shared" si="10"/>
        <v>273</v>
      </c>
      <c r="AB223" s="24">
        <f t="shared" si="11"/>
        <v>84.91902834008097</v>
      </c>
    </row>
    <row r="224" spans="1:28" ht="37.5" customHeight="1" x14ac:dyDescent="0.25">
      <c r="A224" s="20">
        <v>222</v>
      </c>
      <c r="B224" s="20">
        <v>292</v>
      </c>
      <c r="C224" s="20">
        <v>314</v>
      </c>
      <c r="D224" s="20">
        <v>27</v>
      </c>
      <c r="E224" s="20">
        <v>4</v>
      </c>
      <c r="F224" s="20">
        <v>1</v>
      </c>
      <c r="G224" s="20">
        <v>2</v>
      </c>
      <c r="H224" s="20">
        <v>3</v>
      </c>
      <c r="I224" s="20">
        <v>2</v>
      </c>
      <c r="J224" s="20">
        <v>2</v>
      </c>
      <c r="K224" s="20">
        <v>4</v>
      </c>
      <c r="L224" s="20">
        <v>1</v>
      </c>
      <c r="M224" s="20">
        <v>1</v>
      </c>
      <c r="N224" s="20">
        <v>0</v>
      </c>
      <c r="O224" s="20">
        <v>0</v>
      </c>
      <c r="P224" s="20">
        <v>653</v>
      </c>
      <c r="Q224" s="21">
        <v>0</v>
      </c>
      <c r="R224" s="20">
        <v>2</v>
      </c>
      <c r="S224" s="20">
        <f t="shared" si="9"/>
        <v>655</v>
      </c>
      <c r="T224" s="20">
        <v>0</v>
      </c>
      <c r="U224" s="22">
        <v>222</v>
      </c>
      <c r="V224" s="22" t="s">
        <v>380</v>
      </c>
      <c r="W224" s="23" t="s">
        <v>381</v>
      </c>
      <c r="X224" s="21">
        <v>757</v>
      </c>
      <c r="Y224" s="21">
        <v>391</v>
      </c>
      <c r="Z224" s="21">
        <v>365</v>
      </c>
      <c r="AA224" s="21">
        <f t="shared" si="10"/>
        <v>22</v>
      </c>
      <c r="AB224" s="24">
        <f t="shared" si="11"/>
        <v>86.525759577278734</v>
      </c>
    </row>
    <row r="225" spans="1:28" ht="37.5" customHeight="1" x14ac:dyDescent="0.25">
      <c r="A225" s="15">
        <v>223</v>
      </c>
      <c r="B225" s="15">
        <v>247</v>
      </c>
      <c r="C225" s="15">
        <v>113</v>
      </c>
      <c r="D225" s="15">
        <v>19</v>
      </c>
      <c r="E225" s="15">
        <v>1</v>
      </c>
      <c r="F225" s="15">
        <v>0</v>
      </c>
      <c r="G225" s="15">
        <v>0</v>
      </c>
      <c r="H225" s="15">
        <v>0</v>
      </c>
      <c r="I225" s="15">
        <v>0</v>
      </c>
      <c r="J225" s="15">
        <v>2</v>
      </c>
      <c r="K225" s="15">
        <v>0</v>
      </c>
      <c r="L225" s="15">
        <v>0</v>
      </c>
      <c r="M225" s="15">
        <v>1</v>
      </c>
      <c r="N225" s="15">
        <v>2</v>
      </c>
      <c r="O225" s="15">
        <v>1</v>
      </c>
      <c r="P225" s="15">
        <v>386</v>
      </c>
      <c r="Q225" s="16">
        <v>0</v>
      </c>
      <c r="R225" s="15">
        <v>3</v>
      </c>
      <c r="S225" s="15">
        <f t="shared" si="9"/>
        <v>389</v>
      </c>
      <c r="T225" s="15">
        <v>0</v>
      </c>
      <c r="U225" s="17">
        <v>223</v>
      </c>
      <c r="V225" s="17" t="s">
        <v>382</v>
      </c>
      <c r="W225" s="18" t="s">
        <v>383</v>
      </c>
      <c r="X225" s="16">
        <v>410</v>
      </c>
      <c r="Y225" s="16">
        <v>218</v>
      </c>
      <c r="Z225" s="16">
        <v>191</v>
      </c>
      <c r="AA225" s="16">
        <f t="shared" si="10"/>
        <v>134</v>
      </c>
      <c r="AB225" s="19">
        <f t="shared" si="11"/>
        <v>94.878048780487802</v>
      </c>
    </row>
    <row r="226" spans="1:28" ht="37.5" customHeight="1" x14ac:dyDescent="0.25">
      <c r="A226" s="20">
        <v>224</v>
      </c>
      <c r="B226" s="20">
        <v>133</v>
      </c>
      <c r="C226" s="20">
        <v>321</v>
      </c>
      <c r="D226" s="20">
        <v>16</v>
      </c>
      <c r="E226" s="20">
        <v>1</v>
      </c>
      <c r="F226" s="20">
        <v>1</v>
      </c>
      <c r="G226" s="20">
        <v>0</v>
      </c>
      <c r="H226" s="20">
        <v>2</v>
      </c>
      <c r="I226" s="20">
        <v>0</v>
      </c>
      <c r="J226" s="20">
        <v>0</v>
      </c>
      <c r="K226" s="20">
        <v>0</v>
      </c>
      <c r="L226" s="20">
        <v>0</v>
      </c>
      <c r="M226" s="20">
        <v>1</v>
      </c>
      <c r="N226" s="20">
        <v>2</v>
      </c>
      <c r="O226" s="20">
        <v>4</v>
      </c>
      <c r="P226" s="20">
        <v>481</v>
      </c>
      <c r="Q226" s="21">
        <v>0</v>
      </c>
      <c r="R226" s="20">
        <v>2</v>
      </c>
      <c r="S226" s="20">
        <f t="shared" si="9"/>
        <v>483</v>
      </c>
      <c r="T226" s="20">
        <v>0</v>
      </c>
      <c r="U226" s="22">
        <v>224</v>
      </c>
      <c r="V226" s="22" t="s">
        <v>384</v>
      </c>
      <c r="W226" s="23" t="s">
        <v>385</v>
      </c>
      <c r="X226" s="21">
        <v>547</v>
      </c>
      <c r="Y226" s="21">
        <v>276</v>
      </c>
      <c r="Z226" s="21">
        <v>267</v>
      </c>
      <c r="AA226" s="21">
        <f t="shared" si="10"/>
        <v>188</v>
      </c>
      <c r="AB226" s="24">
        <f t="shared" si="11"/>
        <v>88.299817184643516</v>
      </c>
    </row>
    <row r="227" spans="1:28" ht="37.5" customHeight="1" x14ac:dyDescent="0.25">
      <c r="A227" s="15">
        <v>225</v>
      </c>
      <c r="B227" s="15">
        <v>496</v>
      </c>
      <c r="C227" s="15">
        <v>146</v>
      </c>
      <c r="D227" s="15">
        <v>67</v>
      </c>
      <c r="E227" s="15">
        <v>1</v>
      </c>
      <c r="F227" s="15">
        <v>0</v>
      </c>
      <c r="G227" s="15">
        <v>2</v>
      </c>
      <c r="H227" s="15">
        <v>1</v>
      </c>
      <c r="I227" s="15">
        <v>0</v>
      </c>
      <c r="J227" s="15">
        <v>1</v>
      </c>
      <c r="K227" s="15">
        <v>1</v>
      </c>
      <c r="L227" s="15">
        <v>2</v>
      </c>
      <c r="M227" s="16">
        <v>3</v>
      </c>
      <c r="N227" s="15">
        <v>1</v>
      </c>
      <c r="O227" s="15">
        <v>2</v>
      </c>
      <c r="P227" s="15">
        <v>723</v>
      </c>
      <c r="Q227" s="16">
        <v>0</v>
      </c>
      <c r="R227" s="15">
        <v>3</v>
      </c>
      <c r="S227" s="15">
        <f t="shared" si="9"/>
        <v>726</v>
      </c>
      <c r="T227" s="15">
        <v>0</v>
      </c>
      <c r="U227" s="17">
        <v>225</v>
      </c>
      <c r="V227" s="17" t="s">
        <v>386</v>
      </c>
      <c r="W227" s="18" t="s">
        <v>387</v>
      </c>
      <c r="X227" s="16">
        <v>836</v>
      </c>
      <c r="Y227" s="16">
        <v>432</v>
      </c>
      <c r="Z227" s="16">
        <v>402</v>
      </c>
      <c r="AA227" s="16">
        <f t="shared" si="10"/>
        <v>350</v>
      </c>
      <c r="AB227" s="19">
        <f t="shared" si="11"/>
        <v>86.842105263157904</v>
      </c>
    </row>
    <row r="228" spans="1:28" ht="37.5" customHeight="1" x14ac:dyDescent="0.25">
      <c r="A228" s="20">
        <v>226</v>
      </c>
      <c r="B228" s="20">
        <v>201</v>
      </c>
      <c r="C228" s="20">
        <v>283</v>
      </c>
      <c r="D228" s="20">
        <v>62</v>
      </c>
      <c r="E228" s="20">
        <v>1</v>
      </c>
      <c r="F228" s="20">
        <v>0</v>
      </c>
      <c r="G228" s="20">
        <v>0</v>
      </c>
      <c r="H228" s="20">
        <v>0</v>
      </c>
      <c r="I228" s="20">
        <v>1</v>
      </c>
      <c r="J228" s="20">
        <v>1</v>
      </c>
      <c r="K228" s="20">
        <v>1</v>
      </c>
      <c r="L228" s="20">
        <v>0</v>
      </c>
      <c r="M228" s="20">
        <v>0</v>
      </c>
      <c r="N228" s="21">
        <v>2</v>
      </c>
      <c r="O228" s="20">
        <v>3</v>
      </c>
      <c r="P228" s="20">
        <v>555</v>
      </c>
      <c r="Q228" s="21">
        <v>0</v>
      </c>
      <c r="R228" s="20">
        <v>7</v>
      </c>
      <c r="S228" s="20">
        <f t="shared" si="9"/>
        <v>562</v>
      </c>
      <c r="T228" s="20">
        <v>0</v>
      </c>
      <c r="U228" s="22">
        <v>226</v>
      </c>
      <c r="V228" s="22" t="s">
        <v>388</v>
      </c>
      <c r="W228" s="23" t="s">
        <v>389</v>
      </c>
      <c r="X228" s="21">
        <v>674</v>
      </c>
      <c r="Y228" s="21">
        <v>338</v>
      </c>
      <c r="Z228" s="21">
        <v>335</v>
      </c>
      <c r="AA228" s="21">
        <f t="shared" si="10"/>
        <v>82</v>
      </c>
      <c r="AB228" s="24">
        <f t="shared" si="11"/>
        <v>83.382789317507417</v>
      </c>
    </row>
    <row r="229" spans="1:28" ht="37.5" customHeight="1" x14ac:dyDescent="0.25">
      <c r="A229" s="20">
        <v>227</v>
      </c>
      <c r="B229" s="20">
        <v>266</v>
      </c>
      <c r="C229" s="20">
        <v>307</v>
      </c>
      <c r="D229" s="20">
        <v>39</v>
      </c>
      <c r="E229" s="20">
        <v>3</v>
      </c>
      <c r="F229" s="20">
        <v>1</v>
      </c>
      <c r="G229" s="20">
        <v>0</v>
      </c>
      <c r="H229" s="20">
        <v>1</v>
      </c>
      <c r="I229" s="20">
        <v>0</v>
      </c>
      <c r="J229" s="20">
        <v>0</v>
      </c>
      <c r="K229" s="20">
        <v>0</v>
      </c>
      <c r="L229" s="20">
        <v>1</v>
      </c>
      <c r="M229" s="20">
        <v>2</v>
      </c>
      <c r="N229" s="20">
        <v>2</v>
      </c>
      <c r="O229" s="20">
        <v>4</v>
      </c>
      <c r="P229" s="20">
        <v>626</v>
      </c>
      <c r="Q229" s="21">
        <v>0</v>
      </c>
      <c r="R229" s="20">
        <v>4</v>
      </c>
      <c r="S229" s="20">
        <f t="shared" si="9"/>
        <v>630</v>
      </c>
      <c r="T229" s="20">
        <v>0</v>
      </c>
      <c r="U229" s="22">
        <v>227</v>
      </c>
      <c r="V229" s="22" t="s">
        <v>390</v>
      </c>
      <c r="W229" s="23" t="s">
        <v>391</v>
      </c>
      <c r="X229" s="21">
        <v>754</v>
      </c>
      <c r="Y229" s="21">
        <v>385</v>
      </c>
      <c r="Z229" s="21">
        <v>364</v>
      </c>
      <c r="AA229" s="21">
        <f t="shared" si="10"/>
        <v>41</v>
      </c>
      <c r="AB229" s="24">
        <f t="shared" si="11"/>
        <v>83.554376657824932</v>
      </c>
    </row>
    <row r="230" spans="1:28" ht="37.5" customHeight="1" x14ac:dyDescent="0.25">
      <c r="A230" s="15">
        <v>228</v>
      </c>
      <c r="B230" s="15">
        <v>346</v>
      </c>
      <c r="C230" s="15">
        <v>142</v>
      </c>
      <c r="D230" s="15">
        <v>113</v>
      </c>
      <c r="E230" s="15">
        <v>3</v>
      </c>
      <c r="F230" s="15">
        <v>2</v>
      </c>
      <c r="G230" s="15">
        <v>1</v>
      </c>
      <c r="H230" s="15">
        <v>0</v>
      </c>
      <c r="I230" s="15">
        <v>0</v>
      </c>
      <c r="J230" s="15">
        <v>1</v>
      </c>
      <c r="K230" s="15">
        <v>2</v>
      </c>
      <c r="L230" s="15">
        <v>2</v>
      </c>
      <c r="M230" s="15">
        <v>0</v>
      </c>
      <c r="N230" s="16">
        <v>0</v>
      </c>
      <c r="O230" s="15">
        <v>0</v>
      </c>
      <c r="P230" s="15">
        <v>612</v>
      </c>
      <c r="Q230" s="16">
        <v>0</v>
      </c>
      <c r="R230" s="15">
        <v>4</v>
      </c>
      <c r="S230" s="15">
        <f t="shared" si="9"/>
        <v>616</v>
      </c>
      <c r="T230" s="15">
        <v>0</v>
      </c>
      <c r="U230" s="17">
        <v>228</v>
      </c>
      <c r="V230" s="17" t="s">
        <v>392</v>
      </c>
      <c r="W230" s="18" t="s">
        <v>393</v>
      </c>
      <c r="X230" s="16">
        <v>823</v>
      </c>
      <c r="Y230" s="16">
        <v>426</v>
      </c>
      <c r="Z230" s="16">
        <v>394</v>
      </c>
      <c r="AA230" s="16">
        <f t="shared" si="10"/>
        <v>204</v>
      </c>
      <c r="AB230" s="19">
        <f t="shared" si="11"/>
        <v>74.848116646415548</v>
      </c>
    </row>
    <row r="231" spans="1:28" ht="37.5" customHeight="1" x14ac:dyDescent="0.25">
      <c r="A231" s="20">
        <v>229</v>
      </c>
      <c r="B231" s="20">
        <v>136</v>
      </c>
      <c r="C231" s="20">
        <v>317</v>
      </c>
      <c r="D231" s="20">
        <v>140</v>
      </c>
      <c r="E231" s="21">
        <v>1</v>
      </c>
      <c r="F231" s="20">
        <v>2</v>
      </c>
      <c r="G231" s="20">
        <v>0</v>
      </c>
      <c r="H231" s="20">
        <v>3</v>
      </c>
      <c r="I231" s="20">
        <v>0</v>
      </c>
      <c r="J231" s="20">
        <v>0</v>
      </c>
      <c r="K231" s="20">
        <v>0</v>
      </c>
      <c r="L231" s="20">
        <v>2</v>
      </c>
      <c r="M231" s="20">
        <v>0</v>
      </c>
      <c r="N231" s="21">
        <v>0</v>
      </c>
      <c r="O231" s="20">
        <v>3</v>
      </c>
      <c r="P231" s="20">
        <v>604</v>
      </c>
      <c r="Q231" s="21">
        <v>0</v>
      </c>
      <c r="R231" s="20">
        <v>8</v>
      </c>
      <c r="S231" s="20">
        <f t="shared" si="9"/>
        <v>612</v>
      </c>
      <c r="T231" s="20">
        <v>0</v>
      </c>
      <c r="U231" s="22">
        <v>229</v>
      </c>
      <c r="V231" s="22" t="s">
        <v>394</v>
      </c>
      <c r="W231" s="23" t="s">
        <v>395</v>
      </c>
      <c r="X231" s="21">
        <v>710</v>
      </c>
      <c r="Y231" s="21">
        <v>367</v>
      </c>
      <c r="Z231" s="21">
        <v>343</v>
      </c>
      <c r="AA231" s="21">
        <f t="shared" si="10"/>
        <v>181</v>
      </c>
      <c r="AB231" s="24">
        <f t="shared" si="11"/>
        <v>86.197183098591552</v>
      </c>
    </row>
    <row r="232" spans="1:28" ht="37.5" customHeight="1" x14ac:dyDescent="0.25">
      <c r="A232" s="20">
        <v>230</v>
      </c>
      <c r="B232" s="20">
        <v>115</v>
      </c>
      <c r="C232" s="20">
        <v>465</v>
      </c>
      <c r="D232" s="20">
        <v>4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1</v>
      </c>
      <c r="K232" s="20">
        <v>0</v>
      </c>
      <c r="L232" s="20">
        <v>2</v>
      </c>
      <c r="M232" s="20">
        <v>0</v>
      </c>
      <c r="N232" s="21">
        <v>0</v>
      </c>
      <c r="O232" s="20">
        <v>1</v>
      </c>
      <c r="P232" s="20">
        <v>588</v>
      </c>
      <c r="Q232" s="21">
        <v>0</v>
      </c>
      <c r="R232" s="20">
        <v>3</v>
      </c>
      <c r="S232" s="20">
        <f t="shared" si="9"/>
        <v>591</v>
      </c>
      <c r="T232" s="20">
        <v>0</v>
      </c>
      <c r="U232" s="22">
        <v>230</v>
      </c>
      <c r="V232" s="22" t="s">
        <v>394</v>
      </c>
      <c r="W232" s="23" t="s">
        <v>396</v>
      </c>
      <c r="X232" s="21">
        <v>677</v>
      </c>
      <c r="Y232" s="21">
        <v>337</v>
      </c>
      <c r="Z232" s="21">
        <v>330</v>
      </c>
      <c r="AA232" s="21">
        <f t="shared" si="10"/>
        <v>350</v>
      </c>
      <c r="AB232" s="24">
        <f t="shared" si="11"/>
        <v>87.296898079763665</v>
      </c>
    </row>
    <row r="233" spans="1:28" ht="37.5" customHeight="1" x14ac:dyDescent="0.25">
      <c r="A233" s="20">
        <v>231</v>
      </c>
      <c r="B233" s="21">
        <v>80</v>
      </c>
      <c r="C233" s="20">
        <v>194</v>
      </c>
      <c r="D233" s="20">
        <v>77</v>
      </c>
      <c r="E233" s="20">
        <v>3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354</v>
      </c>
      <c r="Q233" s="21">
        <v>0</v>
      </c>
      <c r="R233" s="20">
        <v>0</v>
      </c>
      <c r="S233" s="20">
        <f t="shared" si="9"/>
        <v>354</v>
      </c>
      <c r="T233" s="20">
        <v>0</v>
      </c>
      <c r="U233" s="22">
        <v>231</v>
      </c>
      <c r="V233" s="22" t="s">
        <v>397</v>
      </c>
      <c r="W233" s="23" t="s">
        <v>398</v>
      </c>
      <c r="X233" s="21">
        <v>366</v>
      </c>
      <c r="Y233" s="21">
        <v>188</v>
      </c>
      <c r="Z233" s="21">
        <v>176</v>
      </c>
      <c r="AA233" s="21">
        <f t="shared" si="10"/>
        <v>114</v>
      </c>
      <c r="AB233" s="24">
        <f t="shared" si="11"/>
        <v>96.721311475409834</v>
      </c>
    </row>
    <row r="234" spans="1:28" ht="37.5" customHeight="1" x14ac:dyDescent="0.25">
      <c r="A234" s="20">
        <v>232</v>
      </c>
      <c r="B234" s="21">
        <v>195</v>
      </c>
      <c r="C234" s="20">
        <v>371</v>
      </c>
      <c r="D234" s="20">
        <v>203</v>
      </c>
      <c r="E234" s="20">
        <v>2</v>
      </c>
      <c r="F234" s="20">
        <v>1</v>
      </c>
      <c r="G234" s="20">
        <v>1</v>
      </c>
      <c r="H234" s="20">
        <v>1</v>
      </c>
      <c r="I234" s="20">
        <v>0</v>
      </c>
      <c r="J234" s="20">
        <v>0</v>
      </c>
      <c r="K234" s="20">
        <v>1</v>
      </c>
      <c r="L234" s="20">
        <v>3</v>
      </c>
      <c r="M234" s="20">
        <v>1</v>
      </c>
      <c r="N234" s="20">
        <v>1</v>
      </c>
      <c r="O234" s="21">
        <v>2</v>
      </c>
      <c r="P234" s="20">
        <v>782</v>
      </c>
      <c r="Q234" s="21">
        <v>0</v>
      </c>
      <c r="R234" s="20">
        <v>6</v>
      </c>
      <c r="S234" s="20">
        <f t="shared" si="9"/>
        <v>788</v>
      </c>
      <c r="T234" s="20">
        <v>0</v>
      </c>
      <c r="U234" s="22">
        <v>232</v>
      </c>
      <c r="V234" s="22" t="s">
        <v>399</v>
      </c>
      <c r="W234" s="23" t="s">
        <v>400</v>
      </c>
      <c r="X234" s="21">
        <v>928</v>
      </c>
      <c r="Y234" s="21">
        <v>483</v>
      </c>
      <c r="Z234" s="21">
        <v>441</v>
      </c>
      <c r="AA234" s="21">
        <f t="shared" si="10"/>
        <v>176</v>
      </c>
      <c r="AB234" s="24">
        <f t="shared" si="11"/>
        <v>84.91379310344827</v>
      </c>
    </row>
    <row r="235" spans="1:28" ht="37.5" customHeight="1" x14ac:dyDescent="0.25">
      <c r="A235" s="15">
        <v>233</v>
      </c>
      <c r="B235" s="16">
        <v>397</v>
      </c>
      <c r="C235" s="15">
        <v>149</v>
      </c>
      <c r="D235" s="15">
        <v>120</v>
      </c>
      <c r="E235" s="15">
        <v>1</v>
      </c>
      <c r="F235" s="15">
        <v>1</v>
      </c>
      <c r="G235" s="15">
        <v>1</v>
      </c>
      <c r="H235" s="15">
        <v>0</v>
      </c>
      <c r="I235" s="15">
        <v>0</v>
      </c>
      <c r="J235" s="15">
        <v>1</v>
      </c>
      <c r="K235" s="15">
        <v>0</v>
      </c>
      <c r="L235" s="15">
        <v>3</v>
      </c>
      <c r="M235" s="15">
        <v>0</v>
      </c>
      <c r="N235" s="15">
        <v>0</v>
      </c>
      <c r="O235" s="16">
        <v>1</v>
      </c>
      <c r="P235" s="15">
        <v>674</v>
      </c>
      <c r="Q235" s="16">
        <v>0</v>
      </c>
      <c r="R235" s="15">
        <v>4</v>
      </c>
      <c r="S235" s="15">
        <f t="shared" si="9"/>
        <v>678</v>
      </c>
      <c r="T235" s="15">
        <v>0</v>
      </c>
      <c r="U235" s="17">
        <v>233</v>
      </c>
      <c r="V235" s="17" t="s">
        <v>401</v>
      </c>
      <c r="W235" s="18" t="s">
        <v>402</v>
      </c>
      <c r="X235" s="16">
        <v>799</v>
      </c>
      <c r="Y235" s="16">
        <v>430</v>
      </c>
      <c r="Z235" s="16">
        <v>368</v>
      </c>
      <c r="AA235" s="16">
        <f t="shared" si="10"/>
        <v>248</v>
      </c>
      <c r="AB235" s="19">
        <f t="shared" si="11"/>
        <v>84.85607008760951</v>
      </c>
    </row>
    <row r="236" spans="1:28" ht="37.5" customHeight="1" x14ac:dyDescent="0.25">
      <c r="A236" s="20">
        <v>234</v>
      </c>
      <c r="B236" s="21">
        <v>135</v>
      </c>
      <c r="C236" s="20">
        <v>298</v>
      </c>
      <c r="D236" s="20">
        <v>42</v>
      </c>
      <c r="E236" s="20">
        <v>2</v>
      </c>
      <c r="F236" s="20">
        <v>2</v>
      </c>
      <c r="G236" s="20">
        <v>1</v>
      </c>
      <c r="H236" s="20">
        <v>1</v>
      </c>
      <c r="I236" s="20">
        <v>0</v>
      </c>
      <c r="J236" s="20">
        <v>0</v>
      </c>
      <c r="K236" s="20">
        <v>0</v>
      </c>
      <c r="L236" s="20">
        <v>1</v>
      </c>
      <c r="M236" s="20">
        <v>0</v>
      </c>
      <c r="N236" s="20">
        <v>0</v>
      </c>
      <c r="O236" s="20">
        <v>0</v>
      </c>
      <c r="P236" s="20">
        <v>482</v>
      </c>
      <c r="Q236" s="21">
        <v>0</v>
      </c>
      <c r="R236" s="20">
        <v>3</v>
      </c>
      <c r="S236" s="20">
        <f t="shared" si="9"/>
        <v>485</v>
      </c>
      <c r="T236" s="20">
        <v>0</v>
      </c>
      <c r="U236" s="22">
        <v>234</v>
      </c>
      <c r="V236" s="22" t="s">
        <v>403</v>
      </c>
      <c r="W236" s="23" t="s">
        <v>404</v>
      </c>
      <c r="X236" s="21">
        <v>551</v>
      </c>
      <c r="Y236" s="21">
        <v>279</v>
      </c>
      <c r="Z236" s="21">
        <v>268</v>
      </c>
      <c r="AA236" s="21">
        <f t="shared" si="10"/>
        <v>163</v>
      </c>
      <c r="AB236" s="24">
        <f t="shared" si="11"/>
        <v>88.021778584392024</v>
      </c>
    </row>
    <row r="237" spans="1:28" ht="37.5" customHeight="1" x14ac:dyDescent="0.25">
      <c r="A237" s="20">
        <v>235</v>
      </c>
      <c r="B237" s="21">
        <v>233</v>
      </c>
      <c r="C237" s="20">
        <v>339</v>
      </c>
      <c r="D237" s="20">
        <v>4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1</v>
      </c>
      <c r="L237" s="20">
        <v>4</v>
      </c>
      <c r="M237" s="20">
        <v>0</v>
      </c>
      <c r="N237" s="20">
        <v>2</v>
      </c>
      <c r="O237" s="20">
        <v>3</v>
      </c>
      <c r="P237" s="20">
        <v>586</v>
      </c>
      <c r="Q237" s="21">
        <v>0</v>
      </c>
      <c r="R237" s="20">
        <v>7</v>
      </c>
      <c r="S237" s="20">
        <f t="shared" si="9"/>
        <v>593</v>
      </c>
      <c r="T237" s="20">
        <v>0</v>
      </c>
      <c r="U237" s="22">
        <v>235</v>
      </c>
      <c r="V237" s="22" t="s">
        <v>405</v>
      </c>
      <c r="W237" s="23" t="s">
        <v>406</v>
      </c>
      <c r="X237" s="21">
        <v>709</v>
      </c>
      <c r="Y237" s="21">
        <v>371</v>
      </c>
      <c r="Z237" s="21">
        <v>338</v>
      </c>
      <c r="AA237" s="21">
        <f t="shared" si="10"/>
        <v>106</v>
      </c>
      <c r="AB237" s="24">
        <f t="shared" si="11"/>
        <v>83.638928067700988</v>
      </c>
    </row>
    <row r="238" spans="1:28" ht="37.5" customHeight="1" x14ac:dyDescent="0.25">
      <c r="A238" s="15">
        <v>236</v>
      </c>
      <c r="B238" s="15">
        <v>211</v>
      </c>
      <c r="C238" s="15">
        <v>155</v>
      </c>
      <c r="D238" s="15">
        <v>43</v>
      </c>
      <c r="E238" s="15">
        <v>0</v>
      </c>
      <c r="F238" s="15">
        <v>0</v>
      </c>
      <c r="G238" s="15">
        <v>0</v>
      </c>
      <c r="H238" s="15">
        <v>2</v>
      </c>
      <c r="I238" s="15">
        <v>0</v>
      </c>
      <c r="J238" s="16">
        <v>1</v>
      </c>
      <c r="K238" s="15">
        <v>0</v>
      </c>
      <c r="L238" s="15">
        <v>0</v>
      </c>
      <c r="M238" s="15">
        <v>1</v>
      </c>
      <c r="N238" s="15">
        <v>1</v>
      </c>
      <c r="O238" s="15">
        <v>3</v>
      </c>
      <c r="P238" s="15">
        <v>417</v>
      </c>
      <c r="Q238" s="16">
        <v>0</v>
      </c>
      <c r="R238" s="15">
        <v>1</v>
      </c>
      <c r="S238" s="15">
        <f t="shared" si="9"/>
        <v>418</v>
      </c>
      <c r="T238" s="15">
        <v>0</v>
      </c>
      <c r="U238" s="17">
        <v>236</v>
      </c>
      <c r="V238" s="17" t="s">
        <v>407</v>
      </c>
      <c r="W238" s="18" t="s">
        <v>408</v>
      </c>
      <c r="X238" s="16">
        <v>451</v>
      </c>
      <c r="Y238" s="16">
        <v>238</v>
      </c>
      <c r="Z238" s="16">
        <v>213</v>
      </c>
      <c r="AA238" s="16">
        <f t="shared" si="10"/>
        <v>56</v>
      </c>
      <c r="AB238" s="19">
        <f t="shared" si="11"/>
        <v>92.682926829268297</v>
      </c>
    </row>
    <row r="239" spans="1:28" ht="37.5" customHeight="1" x14ac:dyDescent="0.25">
      <c r="A239" s="20">
        <v>237</v>
      </c>
      <c r="B239" s="20">
        <v>66</v>
      </c>
      <c r="C239" s="20">
        <v>316</v>
      </c>
      <c r="D239" s="20">
        <v>29</v>
      </c>
      <c r="E239" s="20">
        <v>0</v>
      </c>
      <c r="F239" s="20">
        <v>0</v>
      </c>
      <c r="G239" s="20">
        <v>0</v>
      </c>
      <c r="H239" s="20">
        <v>5</v>
      </c>
      <c r="I239" s="20">
        <v>1</v>
      </c>
      <c r="J239" s="20">
        <v>0</v>
      </c>
      <c r="K239" s="20">
        <v>1</v>
      </c>
      <c r="L239" s="20">
        <v>0</v>
      </c>
      <c r="M239" s="20">
        <v>0</v>
      </c>
      <c r="N239" s="20">
        <v>0</v>
      </c>
      <c r="O239" s="20">
        <v>1</v>
      </c>
      <c r="P239" s="20">
        <v>419</v>
      </c>
      <c r="Q239" s="21">
        <v>0</v>
      </c>
      <c r="R239" s="20">
        <v>4</v>
      </c>
      <c r="S239" s="20">
        <f t="shared" si="9"/>
        <v>423</v>
      </c>
      <c r="T239" s="20">
        <v>0</v>
      </c>
      <c r="U239" s="22">
        <v>237</v>
      </c>
      <c r="V239" s="22" t="s">
        <v>409</v>
      </c>
      <c r="W239" s="23" t="s">
        <v>410</v>
      </c>
      <c r="X239" s="21">
        <v>456</v>
      </c>
      <c r="Y239" s="21">
        <v>237</v>
      </c>
      <c r="Z239" s="21">
        <v>218</v>
      </c>
      <c r="AA239" s="21">
        <f t="shared" si="10"/>
        <v>250</v>
      </c>
      <c r="AB239" s="24">
        <f t="shared" si="11"/>
        <v>92.76315789473685</v>
      </c>
    </row>
    <row r="240" spans="1:28" ht="37.5" customHeight="1" x14ac:dyDescent="0.25">
      <c r="A240" s="20">
        <v>238</v>
      </c>
      <c r="B240" s="20">
        <v>104</v>
      </c>
      <c r="C240" s="20">
        <v>229</v>
      </c>
      <c r="D240" s="20">
        <v>50</v>
      </c>
      <c r="E240" s="20">
        <v>0</v>
      </c>
      <c r="F240" s="20">
        <v>0</v>
      </c>
      <c r="G240" s="20">
        <v>0</v>
      </c>
      <c r="H240" s="20">
        <v>3</v>
      </c>
      <c r="I240" s="20">
        <v>0</v>
      </c>
      <c r="J240" s="20">
        <v>1</v>
      </c>
      <c r="K240" s="20">
        <v>1</v>
      </c>
      <c r="L240" s="20">
        <v>0</v>
      </c>
      <c r="M240" s="20">
        <v>1</v>
      </c>
      <c r="N240" s="20">
        <v>0</v>
      </c>
      <c r="O240" s="20">
        <v>2</v>
      </c>
      <c r="P240" s="20">
        <v>391</v>
      </c>
      <c r="Q240" s="21">
        <v>0</v>
      </c>
      <c r="R240" s="20">
        <v>1</v>
      </c>
      <c r="S240" s="20">
        <f t="shared" si="9"/>
        <v>392</v>
      </c>
      <c r="T240" s="20">
        <v>0</v>
      </c>
      <c r="U240" s="22">
        <v>238</v>
      </c>
      <c r="V240" s="22" t="s">
        <v>411</v>
      </c>
      <c r="W240" s="23" t="s">
        <v>412</v>
      </c>
      <c r="X240" s="21">
        <v>464</v>
      </c>
      <c r="Y240" s="21">
        <v>244</v>
      </c>
      <c r="Z240" s="21">
        <v>220</v>
      </c>
      <c r="AA240" s="21">
        <f t="shared" si="10"/>
        <v>125</v>
      </c>
      <c r="AB240" s="24">
        <f t="shared" si="11"/>
        <v>84.482758620689651</v>
      </c>
    </row>
    <row r="241" spans="1:28" ht="37.5" customHeight="1" x14ac:dyDescent="0.25">
      <c r="A241" s="15">
        <v>239</v>
      </c>
      <c r="B241" s="15">
        <v>469</v>
      </c>
      <c r="C241" s="15">
        <v>365</v>
      </c>
      <c r="D241" s="15">
        <v>81</v>
      </c>
      <c r="E241" s="15">
        <v>1</v>
      </c>
      <c r="F241" s="15">
        <v>2</v>
      </c>
      <c r="G241" s="15">
        <v>0</v>
      </c>
      <c r="H241" s="15">
        <v>1</v>
      </c>
      <c r="I241" s="15">
        <v>0</v>
      </c>
      <c r="J241" s="15">
        <v>0</v>
      </c>
      <c r="K241" s="15">
        <v>3</v>
      </c>
      <c r="L241" s="15">
        <v>7</v>
      </c>
      <c r="M241" s="15">
        <v>3</v>
      </c>
      <c r="N241" s="15">
        <v>4</v>
      </c>
      <c r="O241" s="15">
        <v>5</v>
      </c>
      <c r="P241" s="15">
        <v>941</v>
      </c>
      <c r="Q241" s="16">
        <v>0</v>
      </c>
      <c r="R241" s="15">
        <v>13</v>
      </c>
      <c r="S241" s="15">
        <f t="shared" si="9"/>
        <v>954</v>
      </c>
      <c r="T241" s="15">
        <v>0</v>
      </c>
      <c r="U241" s="17">
        <v>239</v>
      </c>
      <c r="V241" s="17" t="s">
        <v>411</v>
      </c>
      <c r="W241" s="18" t="s">
        <v>413</v>
      </c>
      <c r="X241" s="16">
        <v>1115</v>
      </c>
      <c r="Y241" s="16">
        <v>580</v>
      </c>
      <c r="Z241" s="16">
        <v>532</v>
      </c>
      <c r="AA241" s="16">
        <f t="shared" si="10"/>
        <v>104</v>
      </c>
      <c r="AB241" s="19">
        <f t="shared" si="11"/>
        <v>85.560538116591928</v>
      </c>
    </row>
    <row r="242" spans="1:28" ht="37.5" customHeight="1" x14ac:dyDescent="0.25">
      <c r="A242" s="15">
        <v>240</v>
      </c>
      <c r="B242" s="15">
        <v>350</v>
      </c>
      <c r="C242" s="15">
        <v>35</v>
      </c>
      <c r="D242" s="15">
        <v>5</v>
      </c>
      <c r="E242" s="15">
        <v>1</v>
      </c>
      <c r="F242" s="15">
        <v>1</v>
      </c>
      <c r="G242" s="15">
        <v>2</v>
      </c>
      <c r="H242" s="15">
        <v>0</v>
      </c>
      <c r="I242" s="15">
        <v>1</v>
      </c>
      <c r="J242" s="15">
        <v>1</v>
      </c>
      <c r="K242" s="15">
        <v>1</v>
      </c>
      <c r="L242" s="15">
        <v>4</v>
      </c>
      <c r="M242" s="15">
        <v>2</v>
      </c>
      <c r="N242" s="15">
        <v>1</v>
      </c>
      <c r="O242" s="15">
        <v>1</v>
      </c>
      <c r="P242" s="15">
        <v>405</v>
      </c>
      <c r="Q242" s="16">
        <v>0</v>
      </c>
      <c r="R242" s="15">
        <v>8</v>
      </c>
      <c r="S242" s="15">
        <f t="shared" si="9"/>
        <v>413</v>
      </c>
      <c r="T242" s="15">
        <v>0</v>
      </c>
      <c r="U242" s="17">
        <v>240</v>
      </c>
      <c r="V242" s="17" t="s">
        <v>411</v>
      </c>
      <c r="W242" s="18" t="s">
        <v>414</v>
      </c>
      <c r="X242" s="16">
        <v>478</v>
      </c>
      <c r="Y242" s="16">
        <v>260</v>
      </c>
      <c r="Z242" s="16">
        <v>218</v>
      </c>
      <c r="AA242" s="16">
        <f t="shared" si="10"/>
        <v>315</v>
      </c>
      <c r="AB242" s="19">
        <f t="shared" si="11"/>
        <v>86.40167364016736</v>
      </c>
    </row>
    <row r="243" spans="1:28" ht="37.5" customHeight="1" x14ac:dyDescent="0.25">
      <c r="A243" s="20">
        <v>241</v>
      </c>
      <c r="B243" s="20">
        <v>69</v>
      </c>
      <c r="C243" s="20">
        <v>308</v>
      </c>
      <c r="D243" s="20">
        <v>51</v>
      </c>
      <c r="E243" s="20">
        <v>0</v>
      </c>
      <c r="F243" s="20">
        <v>0</v>
      </c>
      <c r="G243" s="20">
        <v>0</v>
      </c>
      <c r="H243" s="20">
        <v>3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431</v>
      </c>
      <c r="Q243" s="21">
        <v>0</v>
      </c>
      <c r="R243" s="20">
        <v>2</v>
      </c>
      <c r="S243" s="20">
        <f t="shared" si="9"/>
        <v>433</v>
      </c>
      <c r="T243" s="20">
        <v>0</v>
      </c>
      <c r="U243" s="22">
        <v>241</v>
      </c>
      <c r="V243" s="22" t="s">
        <v>415</v>
      </c>
      <c r="W243" s="23" t="s">
        <v>416</v>
      </c>
      <c r="X243" s="21">
        <v>452</v>
      </c>
      <c r="Y243" s="21">
        <v>220</v>
      </c>
      <c r="Z243" s="21">
        <v>226</v>
      </c>
      <c r="AA243" s="21">
        <f t="shared" si="10"/>
        <v>239</v>
      </c>
      <c r="AB243" s="24">
        <f t="shared" si="11"/>
        <v>95.796460176991147</v>
      </c>
    </row>
    <row r="244" spans="1:28" ht="37.5" customHeight="1" x14ac:dyDescent="0.25">
      <c r="A244" s="20">
        <v>242</v>
      </c>
      <c r="B244" s="20">
        <v>101</v>
      </c>
      <c r="C244" s="20">
        <v>150</v>
      </c>
      <c r="D244" s="20">
        <v>19</v>
      </c>
      <c r="E244" s="20">
        <v>0</v>
      </c>
      <c r="F244" s="20">
        <v>1</v>
      </c>
      <c r="G244" s="20">
        <v>0</v>
      </c>
      <c r="H244" s="20">
        <v>1</v>
      </c>
      <c r="I244" s="20">
        <v>1</v>
      </c>
      <c r="J244" s="20">
        <v>0</v>
      </c>
      <c r="K244" s="20">
        <v>0</v>
      </c>
      <c r="L244" s="20">
        <v>2</v>
      </c>
      <c r="M244" s="20">
        <v>0</v>
      </c>
      <c r="N244" s="20">
        <v>0</v>
      </c>
      <c r="O244" s="20">
        <v>2</v>
      </c>
      <c r="P244" s="20">
        <v>277</v>
      </c>
      <c r="Q244" s="21">
        <v>0</v>
      </c>
      <c r="R244" s="20">
        <v>5</v>
      </c>
      <c r="S244" s="20">
        <f t="shared" si="9"/>
        <v>282</v>
      </c>
      <c r="T244" s="20">
        <v>0</v>
      </c>
      <c r="U244" s="22">
        <v>242</v>
      </c>
      <c r="V244" s="22" t="s">
        <v>417</v>
      </c>
      <c r="W244" s="23" t="s">
        <v>418</v>
      </c>
      <c r="X244" s="21">
        <v>313</v>
      </c>
      <c r="Y244" s="21">
        <v>166</v>
      </c>
      <c r="Z244" s="21">
        <v>145</v>
      </c>
      <c r="AA244" s="21">
        <f t="shared" si="10"/>
        <v>49</v>
      </c>
      <c r="AB244" s="24">
        <f t="shared" si="11"/>
        <v>90.095846645367416</v>
      </c>
    </row>
    <row r="245" spans="1:28" ht="37.5" customHeight="1" x14ac:dyDescent="0.25">
      <c r="A245" s="15">
        <v>243</v>
      </c>
      <c r="B245" s="15">
        <v>234</v>
      </c>
      <c r="C245" s="15">
        <v>9</v>
      </c>
      <c r="D245" s="15">
        <v>55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1</v>
      </c>
      <c r="M245" s="15">
        <v>1</v>
      </c>
      <c r="N245" s="15">
        <v>1</v>
      </c>
      <c r="O245" s="15">
        <v>1</v>
      </c>
      <c r="P245" s="15">
        <v>302</v>
      </c>
      <c r="Q245" s="16">
        <v>0</v>
      </c>
      <c r="R245" s="15">
        <v>5</v>
      </c>
      <c r="S245" s="15">
        <f t="shared" si="9"/>
        <v>307</v>
      </c>
      <c r="T245" s="15">
        <v>0</v>
      </c>
      <c r="U245" s="17">
        <v>243</v>
      </c>
      <c r="V245" s="17" t="s">
        <v>419</v>
      </c>
      <c r="W245" s="18" t="s">
        <v>420</v>
      </c>
      <c r="X245" s="16">
        <v>367</v>
      </c>
      <c r="Y245" s="16">
        <v>198</v>
      </c>
      <c r="Z245" s="16">
        <v>169</v>
      </c>
      <c r="AA245" s="16">
        <f t="shared" si="10"/>
        <v>225</v>
      </c>
      <c r="AB245" s="19">
        <f t="shared" si="11"/>
        <v>83.651226158038156</v>
      </c>
    </row>
    <row r="246" spans="1:28" ht="37.5" customHeight="1" x14ac:dyDescent="0.25">
      <c r="A246" s="20">
        <v>244</v>
      </c>
      <c r="B246" s="20">
        <v>160</v>
      </c>
      <c r="C246" s="20">
        <v>435</v>
      </c>
      <c r="D246" s="20">
        <v>77</v>
      </c>
      <c r="E246" s="20">
        <v>0</v>
      </c>
      <c r="F246" s="20">
        <v>1</v>
      </c>
      <c r="G246" s="20">
        <v>0</v>
      </c>
      <c r="H246" s="20">
        <v>0</v>
      </c>
      <c r="I246" s="20">
        <v>0</v>
      </c>
      <c r="J246" s="20">
        <v>2</v>
      </c>
      <c r="K246" s="20">
        <v>0</v>
      </c>
      <c r="L246" s="20">
        <v>1</v>
      </c>
      <c r="M246" s="20">
        <v>0</v>
      </c>
      <c r="N246" s="20">
        <v>0</v>
      </c>
      <c r="O246" s="20">
        <v>2</v>
      </c>
      <c r="P246" s="20">
        <v>678</v>
      </c>
      <c r="Q246" s="21">
        <v>0</v>
      </c>
      <c r="R246" s="20">
        <v>1</v>
      </c>
      <c r="S246" s="20">
        <f t="shared" si="9"/>
        <v>679</v>
      </c>
      <c r="T246" s="20">
        <v>0</v>
      </c>
      <c r="U246" s="22">
        <v>244</v>
      </c>
      <c r="V246" s="22" t="s">
        <v>421</v>
      </c>
      <c r="W246" s="23" t="s">
        <v>422</v>
      </c>
      <c r="X246" s="21">
        <v>766</v>
      </c>
      <c r="Y246" s="21">
        <v>403</v>
      </c>
      <c r="Z246" s="21">
        <v>359</v>
      </c>
      <c r="AA246" s="21">
        <f t="shared" si="10"/>
        <v>275</v>
      </c>
      <c r="AB246" s="24">
        <f t="shared" si="11"/>
        <v>88.642297650130558</v>
      </c>
    </row>
    <row r="247" spans="1:28" ht="37.5" customHeight="1" x14ac:dyDescent="0.25">
      <c r="A247" s="20">
        <v>245</v>
      </c>
      <c r="B247" s="20">
        <v>107</v>
      </c>
      <c r="C247" s="20">
        <v>251</v>
      </c>
      <c r="D247" s="20">
        <v>16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1</v>
      </c>
      <c r="K247" s="20">
        <v>1</v>
      </c>
      <c r="L247" s="20">
        <v>0</v>
      </c>
      <c r="M247" s="20">
        <v>0</v>
      </c>
      <c r="N247" s="20">
        <v>0</v>
      </c>
      <c r="O247" s="20">
        <v>1</v>
      </c>
      <c r="P247" s="20">
        <v>377</v>
      </c>
      <c r="Q247" s="21">
        <v>0</v>
      </c>
      <c r="R247" s="20">
        <v>1</v>
      </c>
      <c r="S247" s="20">
        <f t="shared" si="9"/>
        <v>378</v>
      </c>
      <c r="T247" s="20">
        <v>0</v>
      </c>
      <c r="U247" s="22">
        <v>245</v>
      </c>
      <c r="V247" s="22" t="s">
        <v>423</v>
      </c>
      <c r="W247" s="23" t="s">
        <v>424</v>
      </c>
      <c r="X247" s="21">
        <v>401</v>
      </c>
      <c r="Y247" s="21">
        <v>199</v>
      </c>
      <c r="Z247" s="21">
        <v>200</v>
      </c>
      <c r="AA247" s="21">
        <f t="shared" si="10"/>
        <v>144</v>
      </c>
      <c r="AB247" s="24">
        <f t="shared" si="11"/>
        <v>94.264339152119703</v>
      </c>
    </row>
    <row r="248" spans="1:28" ht="37.5" customHeight="1" x14ac:dyDescent="0.25">
      <c r="A248" s="20">
        <v>246</v>
      </c>
      <c r="B248" s="20">
        <v>140</v>
      </c>
      <c r="C248" s="20">
        <v>404</v>
      </c>
      <c r="D248" s="20">
        <v>99</v>
      </c>
      <c r="E248" s="20">
        <v>1</v>
      </c>
      <c r="F248" s="20">
        <v>1</v>
      </c>
      <c r="G248" s="20">
        <v>0</v>
      </c>
      <c r="H248" s="20">
        <v>3</v>
      </c>
      <c r="I248" s="20">
        <v>1</v>
      </c>
      <c r="J248" s="20">
        <v>0</v>
      </c>
      <c r="K248" s="20">
        <v>1</v>
      </c>
      <c r="L248" s="20">
        <v>0</v>
      </c>
      <c r="M248" s="20">
        <v>0</v>
      </c>
      <c r="N248" s="20">
        <v>1</v>
      </c>
      <c r="O248" s="20">
        <v>1</v>
      </c>
      <c r="P248" s="20">
        <v>652</v>
      </c>
      <c r="Q248" s="21">
        <v>0</v>
      </c>
      <c r="R248" s="20">
        <v>1</v>
      </c>
      <c r="S248" s="20">
        <f t="shared" si="9"/>
        <v>653</v>
      </c>
      <c r="T248" s="20">
        <v>0</v>
      </c>
      <c r="U248" s="22">
        <v>246</v>
      </c>
      <c r="V248" s="22" t="s">
        <v>425</v>
      </c>
      <c r="W248" s="23" t="s">
        <v>426</v>
      </c>
      <c r="X248" s="21">
        <v>777</v>
      </c>
      <c r="Y248" s="21">
        <v>388</v>
      </c>
      <c r="Z248" s="21">
        <v>381</v>
      </c>
      <c r="AA248" s="21">
        <f t="shared" si="10"/>
        <v>264</v>
      </c>
      <c r="AB248" s="24">
        <f t="shared" si="11"/>
        <v>84.041184041184039</v>
      </c>
    </row>
    <row r="249" spans="1:28" ht="37.5" customHeight="1" x14ac:dyDescent="0.25">
      <c r="A249" s="15">
        <v>247</v>
      </c>
      <c r="B249" s="15">
        <v>494</v>
      </c>
      <c r="C249" s="15">
        <v>201</v>
      </c>
      <c r="D249" s="15">
        <v>273</v>
      </c>
      <c r="E249" s="15">
        <v>2</v>
      </c>
      <c r="F249" s="15">
        <v>2</v>
      </c>
      <c r="G249" s="15">
        <v>0</v>
      </c>
      <c r="H249" s="15">
        <v>1</v>
      </c>
      <c r="I249" s="15">
        <v>0</v>
      </c>
      <c r="J249" s="15">
        <v>0</v>
      </c>
      <c r="K249" s="15">
        <v>1</v>
      </c>
      <c r="L249" s="15">
        <v>2</v>
      </c>
      <c r="M249" s="15">
        <v>1</v>
      </c>
      <c r="N249" s="15">
        <v>2</v>
      </c>
      <c r="O249" s="15">
        <v>1</v>
      </c>
      <c r="P249" s="15">
        <v>980</v>
      </c>
      <c r="Q249" s="16">
        <v>0</v>
      </c>
      <c r="R249" s="15">
        <v>3</v>
      </c>
      <c r="S249" s="15">
        <f t="shared" si="9"/>
        <v>983</v>
      </c>
      <c r="T249" s="15">
        <v>0</v>
      </c>
      <c r="U249" s="17">
        <v>247</v>
      </c>
      <c r="V249" s="17" t="s">
        <v>427</v>
      </c>
      <c r="W249" s="18" t="s">
        <v>428</v>
      </c>
      <c r="X249" s="16">
        <v>1180</v>
      </c>
      <c r="Y249" s="16">
        <v>624</v>
      </c>
      <c r="Z249" s="16">
        <v>554</v>
      </c>
      <c r="AA249" s="16">
        <f t="shared" si="10"/>
        <v>293</v>
      </c>
      <c r="AB249" s="19">
        <f t="shared" si="11"/>
        <v>83.305084745762713</v>
      </c>
    </row>
    <row r="250" spans="1:28" ht="37.5" customHeight="1" x14ac:dyDescent="0.25">
      <c r="A250" s="15">
        <v>248</v>
      </c>
      <c r="B250" s="15">
        <v>254</v>
      </c>
      <c r="C250" s="15">
        <v>126</v>
      </c>
      <c r="D250" s="15">
        <v>83</v>
      </c>
      <c r="E250" s="15">
        <v>3</v>
      </c>
      <c r="F250" s="15">
        <v>1</v>
      </c>
      <c r="G250" s="15">
        <v>0</v>
      </c>
      <c r="H250" s="15">
        <v>2</v>
      </c>
      <c r="I250" s="15">
        <v>0</v>
      </c>
      <c r="J250" s="15">
        <v>0</v>
      </c>
      <c r="K250" s="15">
        <v>1</v>
      </c>
      <c r="L250" s="15">
        <v>2</v>
      </c>
      <c r="M250" s="15">
        <v>1</v>
      </c>
      <c r="N250" s="15">
        <v>1</v>
      </c>
      <c r="O250" s="15">
        <v>0</v>
      </c>
      <c r="P250" s="15">
        <v>474</v>
      </c>
      <c r="Q250" s="16">
        <v>0</v>
      </c>
      <c r="R250" s="15">
        <v>3</v>
      </c>
      <c r="S250" s="15">
        <f t="shared" si="9"/>
        <v>477</v>
      </c>
      <c r="T250" s="15">
        <v>0</v>
      </c>
      <c r="U250" s="17">
        <v>248</v>
      </c>
      <c r="V250" s="17" t="s">
        <v>429</v>
      </c>
      <c r="W250" s="18" t="s">
        <v>430</v>
      </c>
      <c r="X250" s="16">
        <v>545</v>
      </c>
      <c r="Y250" s="16">
        <v>286</v>
      </c>
      <c r="Z250" s="16">
        <v>259</v>
      </c>
      <c r="AA250" s="16">
        <f t="shared" si="10"/>
        <v>128</v>
      </c>
      <c r="AB250" s="19">
        <f t="shared" si="11"/>
        <v>87.522935779816507</v>
      </c>
    </row>
    <row r="251" spans="1:28" ht="37.5" customHeight="1" x14ac:dyDescent="0.25">
      <c r="A251" s="20">
        <v>249</v>
      </c>
      <c r="B251" s="20">
        <v>187</v>
      </c>
      <c r="C251" s="20">
        <v>419</v>
      </c>
      <c r="D251" s="20">
        <v>62</v>
      </c>
      <c r="E251" s="20">
        <v>2</v>
      </c>
      <c r="F251" s="20">
        <v>0</v>
      </c>
      <c r="G251" s="20">
        <v>1</v>
      </c>
      <c r="H251" s="20">
        <v>1</v>
      </c>
      <c r="I251" s="20">
        <v>2</v>
      </c>
      <c r="J251" s="20">
        <v>1</v>
      </c>
      <c r="K251" s="20">
        <v>2</v>
      </c>
      <c r="L251" s="20">
        <v>1</v>
      </c>
      <c r="M251" s="20">
        <v>2</v>
      </c>
      <c r="N251" s="20">
        <v>0</v>
      </c>
      <c r="O251" s="20">
        <v>1</v>
      </c>
      <c r="P251" s="20">
        <v>681</v>
      </c>
      <c r="Q251" s="21">
        <v>0</v>
      </c>
      <c r="R251" s="20">
        <v>10</v>
      </c>
      <c r="S251" s="20">
        <f t="shared" si="9"/>
        <v>691</v>
      </c>
      <c r="T251" s="20">
        <v>0</v>
      </c>
      <c r="U251" s="22">
        <v>249</v>
      </c>
      <c r="V251" s="22" t="s">
        <v>431</v>
      </c>
      <c r="W251" s="23" t="s">
        <v>432</v>
      </c>
      <c r="X251" s="21">
        <v>801</v>
      </c>
      <c r="Y251" s="21">
        <v>416</v>
      </c>
      <c r="Z251" s="21">
        <v>384</v>
      </c>
      <c r="AA251" s="21">
        <f t="shared" si="10"/>
        <v>232</v>
      </c>
      <c r="AB251" s="24">
        <f t="shared" si="11"/>
        <v>86.267166042446945</v>
      </c>
    </row>
    <row r="252" spans="1:28" ht="37.5" customHeight="1" x14ac:dyDescent="0.25">
      <c r="A252" s="15">
        <v>250</v>
      </c>
      <c r="B252" s="15">
        <v>403</v>
      </c>
      <c r="C252" s="15">
        <v>168</v>
      </c>
      <c r="D252" s="15">
        <v>5</v>
      </c>
      <c r="E252" s="16">
        <v>3</v>
      </c>
      <c r="F252" s="15">
        <v>0</v>
      </c>
      <c r="G252" s="15">
        <v>0</v>
      </c>
      <c r="H252" s="15">
        <v>2</v>
      </c>
      <c r="I252" s="15">
        <v>2</v>
      </c>
      <c r="J252" s="15">
        <v>3</v>
      </c>
      <c r="K252" s="15">
        <v>0</v>
      </c>
      <c r="L252" s="15">
        <v>5</v>
      </c>
      <c r="M252" s="15">
        <v>2</v>
      </c>
      <c r="N252" s="15">
        <v>1</v>
      </c>
      <c r="O252" s="15">
        <v>2</v>
      </c>
      <c r="P252" s="15">
        <v>596</v>
      </c>
      <c r="Q252" s="16">
        <v>0</v>
      </c>
      <c r="R252" s="15">
        <v>13</v>
      </c>
      <c r="S252" s="15">
        <f t="shared" si="9"/>
        <v>609</v>
      </c>
      <c r="T252" s="15">
        <v>0</v>
      </c>
      <c r="U252" s="17">
        <v>250</v>
      </c>
      <c r="V252" s="17" t="s">
        <v>433</v>
      </c>
      <c r="W252" s="18" t="s">
        <v>434</v>
      </c>
      <c r="X252" s="16">
        <v>737</v>
      </c>
      <c r="Y252" s="16">
        <v>387</v>
      </c>
      <c r="Z252" s="16">
        <v>349</v>
      </c>
      <c r="AA252" s="16">
        <f t="shared" si="10"/>
        <v>235</v>
      </c>
      <c r="AB252" s="19">
        <f t="shared" si="11"/>
        <v>82.632293080054282</v>
      </c>
    </row>
    <row r="253" spans="1:28" ht="37.5" customHeight="1" x14ac:dyDescent="0.25">
      <c r="A253" s="20">
        <v>251</v>
      </c>
      <c r="B253" s="20">
        <v>142</v>
      </c>
      <c r="C253" s="20">
        <v>164</v>
      </c>
      <c r="D253" s="20">
        <v>131</v>
      </c>
      <c r="E253" s="20">
        <v>2</v>
      </c>
      <c r="F253" s="20">
        <v>2</v>
      </c>
      <c r="G253" s="20">
        <v>0</v>
      </c>
      <c r="H253" s="20">
        <v>4</v>
      </c>
      <c r="I253" s="20">
        <v>2</v>
      </c>
      <c r="J253" s="20">
        <v>0</v>
      </c>
      <c r="K253" s="20">
        <v>0</v>
      </c>
      <c r="L253" s="20">
        <v>4</v>
      </c>
      <c r="M253" s="20">
        <v>2</v>
      </c>
      <c r="N253" s="20">
        <v>0</v>
      </c>
      <c r="O253" s="20">
        <v>1</v>
      </c>
      <c r="P253" s="20">
        <v>454</v>
      </c>
      <c r="Q253" s="21">
        <v>0</v>
      </c>
      <c r="R253" s="20">
        <v>3</v>
      </c>
      <c r="S253" s="20">
        <f t="shared" si="9"/>
        <v>457</v>
      </c>
      <c r="T253" s="20">
        <v>0</v>
      </c>
      <c r="U253" s="22">
        <v>251</v>
      </c>
      <c r="V253" s="22" t="s">
        <v>435</v>
      </c>
      <c r="W253" s="23" t="s">
        <v>436</v>
      </c>
      <c r="X253" s="21">
        <v>529</v>
      </c>
      <c r="Y253" s="21">
        <v>272</v>
      </c>
      <c r="Z253" s="21">
        <v>255</v>
      </c>
      <c r="AA253" s="21">
        <f t="shared" si="10"/>
        <v>22</v>
      </c>
      <c r="AB253" s="24">
        <f t="shared" si="11"/>
        <v>86.38941398865785</v>
      </c>
    </row>
    <row r="254" spans="1:28" ht="37.5" customHeight="1" x14ac:dyDescent="0.25">
      <c r="A254" s="15">
        <v>252</v>
      </c>
      <c r="B254" s="15">
        <v>532</v>
      </c>
      <c r="C254" s="15">
        <v>26</v>
      </c>
      <c r="D254" s="15">
        <v>2</v>
      </c>
      <c r="E254" s="15">
        <v>3</v>
      </c>
      <c r="F254" s="15">
        <v>0</v>
      </c>
      <c r="G254" s="15">
        <v>0</v>
      </c>
      <c r="H254" s="15">
        <v>1</v>
      </c>
      <c r="I254" s="15">
        <v>0</v>
      </c>
      <c r="J254" s="15">
        <v>1</v>
      </c>
      <c r="K254" s="15">
        <v>0</v>
      </c>
      <c r="L254" s="15">
        <v>4</v>
      </c>
      <c r="M254" s="15">
        <v>0</v>
      </c>
      <c r="N254" s="15">
        <v>3</v>
      </c>
      <c r="O254" s="15">
        <v>1</v>
      </c>
      <c r="P254" s="15">
        <v>573</v>
      </c>
      <c r="Q254" s="16">
        <v>0</v>
      </c>
      <c r="R254" s="15">
        <v>4</v>
      </c>
      <c r="S254" s="15">
        <f t="shared" si="9"/>
        <v>577</v>
      </c>
      <c r="T254" s="15">
        <v>0</v>
      </c>
      <c r="U254" s="17">
        <v>252</v>
      </c>
      <c r="V254" s="17" t="s">
        <v>437</v>
      </c>
      <c r="W254" s="18" t="s">
        <v>438</v>
      </c>
      <c r="X254" s="16">
        <v>662</v>
      </c>
      <c r="Y254" s="16">
        <v>344</v>
      </c>
      <c r="Z254" s="16">
        <v>316</v>
      </c>
      <c r="AA254" s="16">
        <f t="shared" si="10"/>
        <v>506</v>
      </c>
      <c r="AB254" s="19">
        <f t="shared" si="11"/>
        <v>87.160120845921455</v>
      </c>
    </row>
    <row r="255" spans="1:28" ht="37.5" customHeight="1" x14ac:dyDescent="0.25">
      <c r="A255" s="20">
        <v>253</v>
      </c>
      <c r="B255" s="20">
        <v>168</v>
      </c>
      <c r="C255" s="20">
        <v>280</v>
      </c>
      <c r="D255" s="20">
        <v>5</v>
      </c>
      <c r="E255" s="20">
        <v>1</v>
      </c>
      <c r="F255" s="20">
        <v>0</v>
      </c>
      <c r="G255" s="20">
        <v>0</v>
      </c>
      <c r="H255" s="20">
        <v>0</v>
      </c>
      <c r="I255" s="20">
        <v>2</v>
      </c>
      <c r="J255" s="20">
        <v>2</v>
      </c>
      <c r="K255" s="20">
        <v>1</v>
      </c>
      <c r="L255" s="20">
        <v>0</v>
      </c>
      <c r="M255" s="20">
        <v>3</v>
      </c>
      <c r="N255" s="20">
        <v>1</v>
      </c>
      <c r="O255" s="20">
        <v>3</v>
      </c>
      <c r="P255" s="20">
        <v>466</v>
      </c>
      <c r="Q255" s="21">
        <v>0</v>
      </c>
      <c r="R255" s="20">
        <v>9</v>
      </c>
      <c r="S255" s="20">
        <f t="shared" si="9"/>
        <v>475</v>
      </c>
      <c r="T255" s="20">
        <v>0</v>
      </c>
      <c r="U255" s="22">
        <v>253</v>
      </c>
      <c r="V255" s="22" t="s">
        <v>439</v>
      </c>
      <c r="W255" s="23" t="s">
        <v>440</v>
      </c>
      <c r="X255" s="21">
        <v>585</v>
      </c>
      <c r="Y255" s="21">
        <v>295</v>
      </c>
      <c r="Z255" s="21">
        <v>288</v>
      </c>
      <c r="AA255" s="21">
        <f t="shared" si="10"/>
        <v>112</v>
      </c>
      <c r="AB255" s="24">
        <f t="shared" si="11"/>
        <v>81.196581196581192</v>
      </c>
    </row>
    <row r="256" spans="1:28" ht="37.5" customHeight="1" x14ac:dyDescent="0.25">
      <c r="A256" s="20">
        <v>254</v>
      </c>
      <c r="B256" s="20">
        <v>159</v>
      </c>
      <c r="C256" s="20">
        <v>331</v>
      </c>
      <c r="D256" s="20">
        <v>89</v>
      </c>
      <c r="E256" s="20">
        <v>1</v>
      </c>
      <c r="F256" s="20">
        <v>0</v>
      </c>
      <c r="G256" s="20">
        <v>0</v>
      </c>
      <c r="H256" s="20">
        <v>0</v>
      </c>
      <c r="I256" s="20">
        <v>2</v>
      </c>
      <c r="J256" s="20">
        <v>1</v>
      </c>
      <c r="K256" s="20">
        <v>2</v>
      </c>
      <c r="L256" s="20">
        <v>3</v>
      </c>
      <c r="M256" s="20">
        <v>3</v>
      </c>
      <c r="N256" s="20">
        <v>2</v>
      </c>
      <c r="O256" s="20">
        <v>0</v>
      </c>
      <c r="P256" s="20">
        <v>593</v>
      </c>
      <c r="Q256" s="21">
        <v>0</v>
      </c>
      <c r="R256" s="20">
        <v>1</v>
      </c>
      <c r="S256" s="20">
        <f t="shared" si="9"/>
        <v>594</v>
      </c>
      <c r="T256" s="20">
        <v>0</v>
      </c>
      <c r="U256" s="22">
        <v>254</v>
      </c>
      <c r="V256" s="22" t="s">
        <v>441</v>
      </c>
      <c r="W256" s="23" t="s">
        <v>442</v>
      </c>
      <c r="X256" s="21">
        <v>733</v>
      </c>
      <c r="Y256" s="21">
        <v>370</v>
      </c>
      <c r="Z256" s="21">
        <v>355</v>
      </c>
      <c r="AA256" s="21">
        <f t="shared" si="10"/>
        <v>172</v>
      </c>
      <c r="AB256" s="24">
        <f t="shared" si="11"/>
        <v>81.036834924965888</v>
      </c>
    </row>
    <row r="257" spans="1:28" ht="37.5" customHeight="1" x14ac:dyDescent="0.25">
      <c r="A257" s="20">
        <v>255</v>
      </c>
      <c r="B257" s="20">
        <v>134</v>
      </c>
      <c r="C257" s="20">
        <v>393</v>
      </c>
      <c r="D257" s="20">
        <v>107</v>
      </c>
      <c r="E257" s="20">
        <v>1</v>
      </c>
      <c r="F257" s="20">
        <v>0</v>
      </c>
      <c r="G257" s="20">
        <v>0</v>
      </c>
      <c r="H257" s="20">
        <v>1</v>
      </c>
      <c r="I257" s="20">
        <v>0</v>
      </c>
      <c r="J257" s="20">
        <v>0</v>
      </c>
      <c r="K257" s="20">
        <v>0</v>
      </c>
      <c r="L257" s="20">
        <v>1</v>
      </c>
      <c r="M257" s="20">
        <v>1</v>
      </c>
      <c r="N257" s="20">
        <v>1</v>
      </c>
      <c r="O257" s="20">
        <v>0</v>
      </c>
      <c r="P257" s="20">
        <v>639</v>
      </c>
      <c r="Q257" s="21">
        <v>0</v>
      </c>
      <c r="R257" s="20">
        <v>2</v>
      </c>
      <c r="S257" s="20">
        <f t="shared" si="9"/>
        <v>641</v>
      </c>
      <c r="T257" s="20">
        <v>0</v>
      </c>
      <c r="U257" s="22">
        <v>255</v>
      </c>
      <c r="V257" s="22" t="s">
        <v>443</v>
      </c>
      <c r="W257" s="23" t="s">
        <v>444</v>
      </c>
      <c r="X257" s="21">
        <v>722</v>
      </c>
      <c r="Y257" s="21">
        <v>380</v>
      </c>
      <c r="Z257" s="21">
        <v>342</v>
      </c>
      <c r="AA257" s="21">
        <f t="shared" si="10"/>
        <v>259</v>
      </c>
      <c r="AB257" s="24">
        <f t="shared" si="11"/>
        <v>88.78116343490305</v>
      </c>
    </row>
    <row r="258" spans="1:28" ht="37.5" customHeight="1" x14ac:dyDescent="0.25">
      <c r="A258" s="20">
        <v>256</v>
      </c>
      <c r="B258" s="20">
        <v>280</v>
      </c>
      <c r="C258" s="20">
        <v>616</v>
      </c>
      <c r="D258" s="20">
        <v>39</v>
      </c>
      <c r="E258" s="20">
        <v>1</v>
      </c>
      <c r="F258" s="20">
        <v>0</v>
      </c>
      <c r="G258" s="20">
        <v>0</v>
      </c>
      <c r="H258" s="20">
        <v>0</v>
      </c>
      <c r="I258" s="20">
        <v>0</v>
      </c>
      <c r="J258" s="20">
        <v>1</v>
      </c>
      <c r="K258" s="20">
        <v>1</v>
      </c>
      <c r="L258" s="20">
        <v>3</v>
      </c>
      <c r="M258" s="20">
        <v>2</v>
      </c>
      <c r="N258" s="20">
        <v>2</v>
      </c>
      <c r="O258" s="20">
        <v>2</v>
      </c>
      <c r="P258" s="20">
        <v>947</v>
      </c>
      <c r="Q258" s="21">
        <v>0</v>
      </c>
      <c r="R258" s="20">
        <v>4</v>
      </c>
      <c r="S258" s="20">
        <f t="shared" si="9"/>
        <v>951</v>
      </c>
      <c r="T258" s="20">
        <v>0</v>
      </c>
      <c r="U258" s="22">
        <v>256</v>
      </c>
      <c r="V258" s="22" t="s">
        <v>445</v>
      </c>
      <c r="W258" s="23" t="s">
        <v>446</v>
      </c>
      <c r="X258" s="21">
        <v>1076</v>
      </c>
      <c r="Y258" s="21">
        <v>559</v>
      </c>
      <c r="Z258" s="21">
        <v>514</v>
      </c>
      <c r="AA258" s="21">
        <f t="shared" si="10"/>
        <v>336</v>
      </c>
      <c r="AB258" s="24">
        <f t="shared" si="11"/>
        <v>88.382899628252787</v>
      </c>
    </row>
    <row r="259" spans="1:28" ht="37.5" customHeight="1" x14ac:dyDescent="0.25">
      <c r="A259" s="15">
        <v>257</v>
      </c>
      <c r="B259" s="15">
        <v>533</v>
      </c>
      <c r="C259" s="15">
        <v>227</v>
      </c>
      <c r="D259" s="15">
        <v>87</v>
      </c>
      <c r="E259" s="15">
        <v>3</v>
      </c>
      <c r="F259" s="15">
        <v>1</v>
      </c>
      <c r="G259" s="16">
        <v>2</v>
      </c>
      <c r="H259" s="15">
        <v>5</v>
      </c>
      <c r="I259" s="15">
        <v>2</v>
      </c>
      <c r="J259" s="15">
        <v>2</v>
      </c>
      <c r="K259" s="15">
        <v>0</v>
      </c>
      <c r="L259" s="15">
        <v>4</v>
      </c>
      <c r="M259" s="15">
        <v>1</v>
      </c>
      <c r="N259" s="15">
        <v>4</v>
      </c>
      <c r="O259" s="15">
        <v>0</v>
      </c>
      <c r="P259" s="15">
        <v>871</v>
      </c>
      <c r="Q259" s="16">
        <v>0</v>
      </c>
      <c r="R259" s="15">
        <v>15</v>
      </c>
      <c r="S259" s="15">
        <f t="shared" si="9"/>
        <v>886</v>
      </c>
      <c r="T259" s="15">
        <v>0</v>
      </c>
      <c r="U259" s="17">
        <v>257</v>
      </c>
      <c r="V259" s="17" t="s">
        <v>447</v>
      </c>
      <c r="W259" s="18" t="s">
        <v>448</v>
      </c>
      <c r="X259" s="16">
        <v>1094</v>
      </c>
      <c r="Y259" s="16">
        <v>560</v>
      </c>
      <c r="Z259" s="16">
        <v>534</v>
      </c>
      <c r="AA259" s="16">
        <f t="shared" si="10"/>
        <v>306</v>
      </c>
      <c r="AB259" s="19">
        <f t="shared" si="11"/>
        <v>80.987202925045708</v>
      </c>
    </row>
    <row r="260" spans="1:28" ht="37.5" customHeight="1" x14ac:dyDescent="0.25">
      <c r="A260" s="20">
        <v>258</v>
      </c>
      <c r="B260" s="20">
        <v>140</v>
      </c>
      <c r="C260" s="20">
        <v>213</v>
      </c>
      <c r="D260" s="20">
        <v>184</v>
      </c>
      <c r="E260" s="20">
        <v>2</v>
      </c>
      <c r="F260" s="20">
        <v>0</v>
      </c>
      <c r="G260" s="20">
        <v>0</v>
      </c>
      <c r="H260" s="20">
        <v>1</v>
      </c>
      <c r="I260" s="20">
        <v>0</v>
      </c>
      <c r="J260" s="20">
        <v>2</v>
      </c>
      <c r="K260" s="20">
        <v>0</v>
      </c>
      <c r="L260" s="20">
        <v>1</v>
      </c>
      <c r="M260" s="20">
        <v>0</v>
      </c>
      <c r="N260" s="20">
        <v>1</v>
      </c>
      <c r="O260" s="20">
        <v>2</v>
      </c>
      <c r="P260" s="20">
        <v>546</v>
      </c>
      <c r="Q260" s="21">
        <v>0</v>
      </c>
      <c r="R260" s="20">
        <v>1</v>
      </c>
      <c r="S260" s="20">
        <f t="shared" ref="S260:S323" si="12">SUM(P260:R260)</f>
        <v>547</v>
      </c>
      <c r="T260" s="20">
        <v>0</v>
      </c>
      <c r="U260" s="22">
        <v>258</v>
      </c>
      <c r="V260" s="22" t="s">
        <v>449</v>
      </c>
      <c r="W260" s="23" t="s">
        <v>450</v>
      </c>
      <c r="X260" s="21">
        <v>624</v>
      </c>
      <c r="Y260" s="21">
        <v>321</v>
      </c>
      <c r="Z260" s="21">
        <v>302</v>
      </c>
      <c r="AA260" s="21">
        <f t="shared" ref="AA260:AA323" si="13">MAX(B260,C260)-MIN(B260,C260)</f>
        <v>73</v>
      </c>
      <c r="AB260" s="24">
        <f t="shared" ref="AB260:AB323" si="14">(S260/X260)*100</f>
        <v>87.660256410256409</v>
      </c>
    </row>
    <row r="261" spans="1:28" ht="37.5" customHeight="1" x14ac:dyDescent="0.25">
      <c r="A261" s="20">
        <v>259</v>
      </c>
      <c r="B261" s="20">
        <v>120</v>
      </c>
      <c r="C261" s="20">
        <v>364</v>
      </c>
      <c r="D261" s="20">
        <v>108</v>
      </c>
      <c r="E261" s="20">
        <v>5</v>
      </c>
      <c r="F261" s="20">
        <v>0</v>
      </c>
      <c r="G261" s="20">
        <v>2</v>
      </c>
      <c r="H261" s="20">
        <v>4</v>
      </c>
      <c r="I261" s="20">
        <v>5</v>
      </c>
      <c r="J261" s="20">
        <v>1</v>
      </c>
      <c r="K261" s="20">
        <v>2</v>
      </c>
      <c r="L261" s="20">
        <v>1</v>
      </c>
      <c r="M261" s="21">
        <v>1</v>
      </c>
      <c r="N261" s="20">
        <v>3</v>
      </c>
      <c r="O261" s="20">
        <v>0</v>
      </c>
      <c r="P261" s="20">
        <v>616</v>
      </c>
      <c r="Q261" s="21">
        <v>0</v>
      </c>
      <c r="R261" s="20">
        <v>7</v>
      </c>
      <c r="S261" s="20">
        <f t="shared" si="12"/>
        <v>623</v>
      </c>
      <c r="T261" s="20">
        <v>0</v>
      </c>
      <c r="U261" s="22">
        <v>259</v>
      </c>
      <c r="V261" s="22" t="s">
        <v>451</v>
      </c>
      <c r="W261" s="23" t="s">
        <v>452</v>
      </c>
      <c r="X261" s="21">
        <v>739</v>
      </c>
      <c r="Y261" s="21">
        <v>389</v>
      </c>
      <c r="Z261" s="21">
        <v>348</v>
      </c>
      <c r="AA261" s="21">
        <f t="shared" si="13"/>
        <v>244</v>
      </c>
      <c r="AB261" s="24">
        <f t="shared" si="14"/>
        <v>84.30311231393776</v>
      </c>
    </row>
    <row r="262" spans="1:28" ht="37.5" customHeight="1" x14ac:dyDescent="0.25">
      <c r="A262" s="20">
        <v>260</v>
      </c>
      <c r="B262" s="20">
        <v>192</v>
      </c>
      <c r="C262" s="20">
        <v>272</v>
      </c>
      <c r="D262" s="20">
        <v>17</v>
      </c>
      <c r="E262" s="20">
        <v>1</v>
      </c>
      <c r="F262" s="20">
        <v>1</v>
      </c>
      <c r="G262" s="20">
        <v>2</v>
      </c>
      <c r="H262" s="20">
        <v>1</v>
      </c>
      <c r="I262" s="20">
        <v>0</v>
      </c>
      <c r="J262" s="20">
        <v>0</v>
      </c>
      <c r="K262" s="20">
        <v>1</v>
      </c>
      <c r="L262" s="20">
        <v>5</v>
      </c>
      <c r="M262" s="20">
        <v>1</v>
      </c>
      <c r="N262" s="20">
        <v>0</v>
      </c>
      <c r="O262" s="20">
        <v>4</v>
      </c>
      <c r="P262" s="20">
        <v>497</v>
      </c>
      <c r="Q262" s="21">
        <v>0</v>
      </c>
      <c r="R262" s="20">
        <v>7</v>
      </c>
      <c r="S262" s="20">
        <f t="shared" si="12"/>
        <v>504</v>
      </c>
      <c r="T262" s="20">
        <v>0</v>
      </c>
      <c r="U262" s="22">
        <v>260</v>
      </c>
      <c r="V262" s="22" t="s">
        <v>451</v>
      </c>
      <c r="W262" s="23" t="s">
        <v>452</v>
      </c>
      <c r="X262" s="21">
        <v>612</v>
      </c>
      <c r="Y262" s="21">
        <v>318</v>
      </c>
      <c r="Z262" s="21">
        <v>294</v>
      </c>
      <c r="AA262" s="21">
        <f t="shared" si="13"/>
        <v>80</v>
      </c>
      <c r="AB262" s="24">
        <f t="shared" si="14"/>
        <v>82.35294117647058</v>
      </c>
    </row>
    <row r="263" spans="1:28" ht="37.5" customHeight="1" x14ac:dyDescent="0.25">
      <c r="A263" s="20">
        <v>261</v>
      </c>
      <c r="B263" s="20">
        <v>114</v>
      </c>
      <c r="C263" s="20">
        <v>344</v>
      </c>
      <c r="D263" s="20">
        <v>100</v>
      </c>
      <c r="E263" s="20">
        <v>6</v>
      </c>
      <c r="F263" s="20">
        <v>2</v>
      </c>
      <c r="G263" s="20">
        <v>0</v>
      </c>
      <c r="H263" s="20">
        <v>1</v>
      </c>
      <c r="I263" s="20">
        <v>0</v>
      </c>
      <c r="J263" s="20">
        <v>0</v>
      </c>
      <c r="K263" s="20">
        <v>0</v>
      </c>
      <c r="L263" s="20">
        <v>1</v>
      </c>
      <c r="M263" s="20">
        <v>0</v>
      </c>
      <c r="N263" s="20">
        <v>3</v>
      </c>
      <c r="O263" s="20">
        <v>2</v>
      </c>
      <c r="P263" s="20">
        <v>573</v>
      </c>
      <c r="Q263" s="21">
        <v>0</v>
      </c>
      <c r="R263" s="20">
        <v>2</v>
      </c>
      <c r="S263" s="20">
        <f t="shared" si="12"/>
        <v>575</v>
      </c>
      <c r="T263" s="20">
        <v>0</v>
      </c>
      <c r="U263" s="22">
        <v>261</v>
      </c>
      <c r="V263" s="22" t="s">
        <v>453</v>
      </c>
      <c r="W263" s="23" t="s">
        <v>454</v>
      </c>
      <c r="X263" s="21">
        <v>640</v>
      </c>
      <c r="Y263" s="21">
        <v>315</v>
      </c>
      <c r="Z263" s="21">
        <v>323</v>
      </c>
      <c r="AA263" s="21">
        <f t="shared" si="13"/>
        <v>230</v>
      </c>
      <c r="AB263" s="24">
        <f t="shared" si="14"/>
        <v>89.84375</v>
      </c>
    </row>
    <row r="264" spans="1:28" ht="37.5" customHeight="1" x14ac:dyDescent="0.25">
      <c r="A264" s="20">
        <v>262</v>
      </c>
      <c r="B264" s="20">
        <v>67</v>
      </c>
      <c r="C264" s="20">
        <v>241</v>
      </c>
      <c r="D264" s="20">
        <v>192</v>
      </c>
      <c r="E264" s="20">
        <v>6</v>
      </c>
      <c r="F264" s="20">
        <v>3</v>
      </c>
      <c r="G264" s="20">
        <v>1</v>
      </c>
      <c r="H264" s="20">
        <v>1</v>
      </c>
      <c r="I264" s="20">
        <v>1</v>
      </c>
      <c r="J264" s="20">
        <v>0</v>
      </c>
      <c r="K264" s="20">
        <v>1</v>
      </c>
      <c r="L264" s="20">
        <v>1</v>
      </c>
      <c r="M264" s="20">
        <v>0</v>
      </c>
      <c r="N264" s="20">
        <v>1</v>
      </c>
      <c r="O264" s="20">
        <v>0</v>
      </c>
      <c r="P264" s="20">
        <v>515</v>
      </c>
      <c r="Q264" s="21">
        <v>0</v>
      </c>
      <c r="R264" s="20">
        <v>2</v>
      </c>
      <c r="S264" s="20">
        <f t="shared" si="12"/>
        <v>517</v>
      </c>
      <c r="T264" s="20">
        <v>0</v>
      </c>
      <c r="U264" s="22">
        <v>262</v>
      </c>
      <c r="V264" s="22" t="s">
        <v>455</v>
      </c>
      <c r="W264" s="23" t="s">
        <v>456</v>
      </c>
      <c r="X264" s="21">
        <v>611</v>
      </c>
      <c r="Y264" s="21">
        <v>302</v>
      </c>
      <c r="Z264" s="21">
        <v>298</v>
      </c>
      <c r="AA264" s="21">
        <f t="shared" si="13"/>
        <v>174</v>
      </c>
      <c r="AB264" s="24">
        <f t="shared" si="14"/>
        <v>84.615384615384613</v>
      </c>
    </row>
    <row r="265" spans="1:28" ht="37.5" customHeight="1" x14ac:dyDescent="0.25">
      <c r="A265" s="15">
        <v>263</v>
      </c>
      <c r="B265" s="15">
        <v>564</v>
      </c>
      <c r="C265" s="15">
        <v>201</v>
      </c>
      <c r="D265" s="15">
        <v>74</v>
      </c>
      <c r="E265" s="15">
        <v>0</v>
      </c>
      <c r="F265" s="15">
        <v>0</v>
      </c>
      <c r="G265" s="15">
        <v>0</v>
      </c>
      <c r="H265" s="15">
        <v>3</v>
      </c>
      <c r="I265" s="15">
        <v>2</v>
      </c>
      <c r="J265" s="15">
        <v>0</v>
      </c>
      <c r="K265" s="15">
        <v>1</v>
      </c>
      <c r="L265" s="15">
        <v>2</v>
      </c>
      <c r="M265" s="15">
        <v>1</v>
      </c>
      <c r="N265" s="15">
        <v>0</v>
      </c>
      <c r="O265" s="15">
        <v>0</v>
      </c>
      <c r="P265" s="15">
        <v>848</v>
      </c>
      <c r="Q265" s="16">
        <v>0</v>
      </c>
      <c r="R265" s="15">
        <v>10</v>
      </c>
      <c r="S265" s="15">
        <f t="shared" si="12"/>
        <v>858</v>
      </c>
      <c r="T265" s="15">
        <v>0</v>
      </c>
      <c r="U265" s="17">
        <v>263</v>
      </c>
      <c r="V265" s="17" t="s">
        <v>457</v>
      </c>
      <c r="W265" s="18" t="s">
        <v>458</v>
      </c>
      <c r="X265" s="16">
        <v>1031</v>
      </c>
      <c r="Y265" s="16">
        <v>525</v>
      </c>
      <c r="Z265" s="16">
        <v>506</v>
      </c>
      <c r="AA265" s="16">
        <f t="shared" si="13"/>
        <v>363</v>
      </c>
      <c r="AB265" s="19">
        <f t="shared" si="14"/>
        <v>83.220174587778857</v>
      </c>
    </row>
    <row r="266" spans="1:28" ht="37.5" customHeight="1" x14ac:dyDescent="0.25">
      <c r="A266" s="20">
        <v>264</v>
      </c>
      <c r="B266" s="20">
        <v>104</v>
      </c>
      <c r="C266" s="20">
        <v>415</v>
      </c>
      <c r="D266" s="20">
        <v>4</v>
      </c>
      <c r="E266" s="20">
        <v>1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1</v>
      </c>
      <c r="L266" s="20">
        <v>0</v>
      </c>
      <c r="M266" s="20">
        <v>0</v>
      </c>
      <c r="N266" s="20">
        <v>1</v>
      </c>
      <c r="O266" s="20">
        <v>3</v>
      </c>
      <c r="P266" s="20">
        <v>529</v>
      </c>
      <c r="Q266" s="21">
        <v>0</v>
      </c>
      <c r="R266" s="20">
        <v>1</v>
      </c>
      <c r="S266" s="20">
        <f t="shared" si="12"/>
        <v>530</v>
      </c>
      <c r="T266" s="20">
        <v>0</v>
      </c>
      <c r="U266" s="22">
        <v>264</v>
      </c>
      <c r="V266" s="22" t="s">
        <v>459</v>
      </c>
      <c r="W266" s="23" t="s">
        <v>460</v>
      </c>
      <c r="X266" s="21">
        <v>627</v>
      </c>
      <c r="Y266" s="21">
        <v>317</v>
      </c>
      <c r="Z266" s="21">
        <v>310</v>
      </c>
      <c r="AA266" s="21">
        <f t="shared" si="13"/>
        <v>311</v>
      </c>
      <c r="AB266" s="24">
        <f t="shared" si="14"/>
        <v>84.529505582137162</v>
      </c>
    </row>
    <row r="267" spans="1:28" ht="37.5" customHeight="1" x14ac:dyDescent="0.25">
      <c r="A267" s="20">
        <v>265</v>
      </c>
      <c r="B267" s="20">
        <v>43</v>
      </c>
      <c r="C267" s="20">
        <v>548</v>
      </c>
      <c r="D267" s="20">
        <v>2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2</v>
      </c>
      <c r="O267" s="20">
        <v>2</v>
      </c>
      <c r="P267" s="20">
        <v>597</v>
      </c>
      <c r="Q267" s="21">
        <v>0</v>
      </c>
      <c r="R267" s="20">
        <v>5</v>
      </c>
      <c r="S267" s="20">
        <f t="shared" si="12"/>
        <v>602</v>
      </c>
      <c r="T267" s="20">
        <v>0</v>
      </c>
      <c r="U267" s="22">
        <v>265</v>
      </c>
      <c r="V267" s="22" t="s">
        <v>461</v>
      </c>
      <c r="W267" s="23" t="s">
        <v>462</v>
      </c>
      <c r="X267" s="21">
        <v>716</v>
      </c>
      <c r="Y267" s="21">
        <v>357</v>
      </c>
      <c r="Z267" s="21">
        <v>354</v>
      </c>
      <c r="AA267" s="21">
        <f t="shared" si="13"/>
        <v>505</v>
      </c>
      <c r="AB267" s="24">
        <f t="shared" si="14"/>
        <v>84.07821229050279</v>
      </c>
    </row>
    <row r="268" spans="1:28" ht="37.5" customHeight="1" x14ac:dyDescent="0.25">
      <c r="A268" s="20">
        <v>266</v>
      </c>
      <c r="B268" s="20">
        <v>121</v>
      </c>
      <c r="C268" s="20">
        <v>395</v>
      </c>
      <c r="D268" s="20">
        <v>8</v>
      </c>
      <c r="E268" s="20">
        <v>1</v>
      </c>
      <c r="F268" s="20">
        <v>3</v>
      </c>
      <c r="G268" s="20">
        <v>0</v>
      </c>
      <c r="H268" s="20">
        <v>2</v>
      </c>
      <c r="I268" s="20">
        <v>2</v>
      </c>
      <c r="J268" s="20">
        <v>0</v>
      </c>
      <c r="K268" s="20">
        <v>0</v>
      </c>
      <c r="L268" s="20">
        <v>0</v>
      </c>
      <c r="M268" s="20">
        <v>2</v>
      </c>
      <c r="N268" s="20">
        <v>2</v>
      </c>
      <c r="O268" s="20">
        <v>3</v>
      </c>
      <c r="P268" s="20">
        <v>539</v>
      </c>
      <c r="Q268" s="21">
        <v>0</v>
      </c>
      <c r="R268" s="20">
        <v>3</v>
      </c>
      <c r="S268" s="20">
        <f t="shared" si="12"/>
        <v>542</v>
      </c>
      <c r="T268" s="20">
        <v>0</v>
      </c>
      <c r="U268" s="22">
        <v>266</v>
      </c>
      <c r="V268" s="22" t="s">
        <v>461</v>
      </c>
      <c r="W268" s="23" t="s">
        <v>463</v>
      </c>
      <c r="X268" s="21">
        <v>665</v>
      </c>
      <c r="Y268" s="21">
        <v>336</v>
      </c>
      <c r="Z268" s="21">
        <v>327</v>
      </c>
      <c r="AA268" s="21">
        <f t="shared" si="13"/>
        <v>274</v>
      </c>
      <c r="AB268" s="24">
        <f t="shared" si="14"/>
        <v>81.503759398496243</v>
      </c>
    </row>
    <row r="269" spans="1:28" ht="37.5" customHeight="1" x14ac:dyDescent="0.25">
      <c r="A269" s="15">
        <v>267</v>
      </c>
      <c r="B269" s="15">
        <v>413</v>
      </c>
      <c r="C269" s="15">
        <v>229</v>
      </c>
      <c r="D269" s="15">
        <v>42</v>
      </c>
      <c r="E269" s="15">
        <v>1</v>
      </c>
      <c r="F269" s="15">
        <v>0</v>
      </c>
      <c r="G269" s="15">
        <v>0</v>
      </c>
      <c r="H269" s="15">
        <v>1</v>
      </c>
      <c r="I269" s="15">
        <v>0</v>
      </c>
      <c r="J269" s="15">
        <v>1</v>
      </c>
      <c r="K269" s="15">
        <v>0</v>
      </c>
      <c r="L269" s="15">
        <v>1</v>
      </c>
      <c r="M269" s="15">
        <v>2</v>
      </c>
      <c r="N269" s="15">
        <v>0</v>
      </c>
      <c r="O269" s="15">
        <v>0</v>
      </c>
      <c r="P269" s="15">
        <v>690</v>
      </c>
      <c r="Q269" s="16">
        <v>0</v>
      </c>
      <c r="R269" s="15">
        <v>2</v>
      </c>
      <c r="S269" s="15">
        <f t="shared" si="12"/>
        <v>692</v>
      </c>
      <c r="T269" s="15">
        <v>0</v>
      </c>
      <c r="U269" s="17">
        <v>267</v>
      </c>
      <c r="V269" s="17" t="s">
        <v>461</v>
      </c>
      <c r="W269" s="18" t="s">
        <v>464</v>
      </c>
      <c r="X269" s="16">
        <v>823</v>
      </c>
      <c r="Y269" s="16">
        <v>430</v>
      </c>
      <c r="Z269" s="16">
        <v>389</v>
      </c>
      <c r="AA269" s="16">
        <f t="shared" si="13"/>
        <v>184</v>
      </c>
      <c r="AB269" s="19">
        <f t="shared" si="14"/>
        <v>84.08262454434994</v>
      </c>
    </row>
    <row r="270" spans="1:28" ht="37.5" customHeight="1" x14ac:dyDescent="0.25">
      <c r="A270" s="15">
        <v>268</v>
      </c>
      <c r="B270" s="15">
        <v>400</v>
      </c>
      <c r="C270" s="15">
        <v>148</v>
      </c>
      <c r="D270" s="15">
        <v>7</v>
      </c>
      <c r="E270" s="15">
        <v>1</v>
      </c>
      <c r="F270" s="15">
        <v>0</v>
      </c>
      <c r="G270" s="15">
        <v>0</v>
      </c>
      <c r="H270" s="15">
        <v>1</v>
      </c>
      <c r="I270" s="15">
        <v>0</v>
      </c>
      <c r="J270" s="15">
        <v>0</v>
      </c>
      <c r="K270" s="15">
        <v>1</v>
      </c>
      <c r="L270" s="15">
        <v>1</v>
      </c>
      <c r="M270" s="15">
        <v>1</v>
      </c>
      <c r="N270" s="15">
        <v>1</v>
      </c>
      <c r="O270" s="15">
        <v>0</v>
      </c>
      <c r="P270" s="15">
        <v>561</v>
      </c>
      <c r="Q270" s="16">
        <v>0</v>
      </c>
      <c r="R270" s="15">
        <v>6</v>
      </c>
      <c r="S270" s="15">
        <f t="shared" si="12"/>
        <v>567</v>
      </c>
      <c r="T270" s="15">
        <v>0</v>
      </c>
      <c r="U270" s="17">
        <v>268</v>
      </c>
      <c r="V270" s="17" t="s">
        <v>461</v>
      </c>
      <c r="W270" s="18" t="s">
        <v>465</v>
      </c>
      <c r="X270" s="16">
        <v>687</v>
      </c>
      <c r="Y270" s="16">
        <v>353</v>
      </c>
      <c r="Z270" s="16">
        <v>334</v>
      </c>
      <c r="AA270" s="16">
        <f t="shared" si="13"/>
        <v>252</v>
      </c>
      <c r="AB270" s="19">
        <f t="shared" si="14"/>
        <v>82.532751091703062</v>
      </c>
    </row>
    <row r="271" spans="1:28" ht="37.5" customHeight="1" x14ac:dyDescent="0.25">
      <c r="A271" s="15">
        <v>269</v>
      </c>
      <c r="B271" s="15">
        <v>210</v>
      </c>
      <c r="C271" s="15">
        <v>61</v>
      </c>
      <c r="D271" s="15">
        <v>259</v>
      </c>
      <c r="E271" s="15">
        <v>4</v>
      </c>
      <c r="F271" s="15">
        <v>1</v>
      </c>
      <c r="G271" s="15">
        <v>0</v>
      </c>
      <c r="H271" s="15">
        <v>3</v>
      </c>
      <c r="I271" s="15">
        <v>0</v>
      </c>
      <c r="J271" s="15">
        <v>0</v>
      </c>
      <c r="K271" s="15">
        <v>1</v>
      </c>
      <c r="L271" s="15">
        <v>3</v>
      </c>
      <c r="M271" s="15">
        <v>1</v>
      </c>
      <c r="N271" s="15">
        <v>3</v>
      </c>
      <c r="O271" s="15">
        <v>2</v>
      </c>
      <c r="P271" s="15">
        <v>548</v>
      </c>
      <c r="Q271" s="16">
        <v>0</v>
      </c>
      <c r="R271" s="15">
        <v>4</v>
      </c>
      <c r="S271" s="15">
        <f t="shared" si="12"/>
        <v>552</v>
      </c>
      <c r="T271" s="15">
        <v>0</v>
      </c>
      <c r="U271" s="17">
        <v>269</v>
      </c>
      <c r="V271" s="17" t="s">
        <v>461</v>
      </c>
      <c r="W271" s="18" t="s">
        <v>466</v>
      </c>
      <c r="X271" s="16">
        <v>695</v>
      </c>
      <c r="Y271" s="16">
        <v>360</v>
      </c>
      <c r="Z271" s="16">
        <v>333</v>
      </c>
      <c r="AA271" s="16">
        <f t="shared" si="13"/>
        <v>149</v>
      </c>
      <c r="AB271" s="19">
        <f t="shared" si="14"/>
        <v>79.42446043165468</v>
      </c>
    </row>
    <row r="272" spans="1:28" ht="37.5" customHeight="1" x14ac:dyDescent="0.25">
      <c r="A272" s="15">
        <v>270</v>
      </c>
      <c r="B272" s="15">
        <v>462</v>
      </c>
      <c r="C272" s="15">
        <v>131</v>
      </c>
      <c r="D272" s="15">
        <v>18</v>
      </c>
      <c r="E272" s="15">
        <v>0</v>
      </c>
      <c r="F272" s="15">
        <v>0</v>
      </c>
      <c r="G272" s="15">
        <v>0</v>
      </c>
      <c r="H272" s="15">
        <v>0</v>
      </c>
      <c r="I272" s="15">
        <v>1</v>
      </c>
      <c r="J272" s="15">
        <v>1</v>
      </c>
      <c r="K272" s="15">
        <v>0</v>
      </c>
      <c r="L272" s="15">
        <v>2</v>
      </c>
      <c r="M272" s="15">
        <v>0</v>
      </c>
      <c r="N272" s="15">
        <v>1</v>
      </c>
      <c r="O272" s="15">
        <v>1</v>
      </c>
      <c r="P272" s="15">
        <v>617</v>
      </c>
      <c r="Q272" s="16">
        <v>0</v>
      </c>
      <c r="R272" s="15">
        <v>8</v>
      </c>
      <c r="S272" s="15">
        <f t="shared" si="12"/>
        <v>625</v>
      </c>
      <c r="T272" s="15">
        <v>0</v>
      </c>
      <c r="U272" s="17">
        <v>270</v>
      </c>
      <c r="V272" s="17" t="s">
        <v>461</v>
      </c>
      <c r="W272" s="18" t="s">
        <v>467</v>
      </c>
      <c r="X272" s="16">
        <v>739</v>
      </c>
      <c r="Y272" s="16">
        <v>374</v>
      </c>
      <c r="Z272" s="16">
        <v>361</v>
      </c>
      <c r="AA272" s="16">
        <f t="shared" si="13"/>
        <v>331</v>
      </c>
      <c r="AB272" s="19">
        <f t="shared" si="14"/>
        <v>84.573748308525026</v>
      </c>
    </row>
    <row r="273" spans="1:28" ht="37.5" customHeight="1" x14ac:dyDescent="0.25">
      <c r="A273" s="20">
        <v>271</v>
      </c>
      <c r="B273" s="20">
        <v>166</v>
      </c>
      <c r="C273" s="20">
        <v>231</v>
      </c>
      <c r="D273" s="20">
        <v>9</v>
      </c>
      <c r="E273" s="20">
        <v>0</v>
      </c>
      <c r="F273" s="20">
        <v>0</v>
      </c>
      <c r="G273" s="20">
        <v>1</v>
      </c>
      <c r="H273" s="20">
        <v>0</v>
      </c>
      <c r="I273" s="20">
        <v>0</v>
      </c>
      <c r="J273" s="20">
        <v>0</v>
      </c>
      <c r="K273" s="20">
        <v>1</v>
      </c>
      <c r="L273" s="20">
        <v>0</v>
      </c>
      <c r="M273" s="20">
        <v>0</v>
      </c>
      <c r="N273" s="20">
        <v>0</v>
      </c>
      <c r="O273" s="20">
        <v>0</v>
      </c>
      <c r="P273" s="20">
        <v>408</v>
      </c>
      <c r="Q273" s="21">
        <v>0</v>
      </c>
      <c r="R273" s="20">
        <v>1</v>
      </c>
      <c r="S273" s="20">
        <f t="shared" si="12"/>
        <v>409</v>
      </c>
      <c r="T273" s="20">
        <v>0</v>
      </c>
      <c r="U273" s="22">
        <v>271</v>
      </c>
      <c r="V273" s="22" t="s">
        <v>468</v>
      </c>
      <c r="W273" s="23" t="s">
        <v>469</v>
      </c>
      <c r="X273" s="21">
        <v>438</v>
      </c>
      <c r="Y273" s="21">
        <v>231</v>
      </c>
      <c r="Z273" s="21">
        <v>206</v>
      </c>
      <c r="AA273" s="21">
        <f t="shared" si="13"/>
        <v>65</v>
      </c>
      <c r="AB273" s="24">
        <f t="shared" si="14"/>
        <v>93.378995433789953</v>
      </c>
    </row>
    <row r="274" spans="1:28" ht="37.5" customHeight="1" x14ac:dyDescent="0.25">
      <c r="A274" s="20">
        <v>272</v>
      </c>
      <c r="B274" s="20">
        <v>149</v>
      </c>
      <c r="C274" s="20">
        <v>227</v>
      </c>
      <c r="D274" s="20">
        <v>21</v>
      </c>
      <c r="E274" s="20">
        <v>1</v>
      </c>
      <c r="F274" s="20">
        <v>2</v>
      </c>
      <c r="G274" s="20">
        <v>0</v>
      </c>
      <c r="H274" s="20">
        <v>2</v>
      </c>
      <c r="I274" s="20">
        <v>2</v>
      </c>
      <c r="J274" s="20">
        <v>1</v>
      </c>
      <c r="K274" s="20">
        <v>0</v>
      </c>
      <c r="L274" s="20">
        <v>5</v>
      </c>
      <c r="M274" s="20">
        <v>1</v>
      </c>
      <c r="N274" s="20">
        <v>3</v>
      </c>
      <c r="O274" s="20">
        <v>2</v>
      </c>
      <c r="P274" s="20">
        <v>416</v>
      </c>
      <c r="Q274" s="21">
        <v>0</v>
      </c>
      <c r="R274" s="20">
        <v>4</v>
      </c>
      <c r="S274" s="20">
        <f t="shared" si="12"/>
        <v>420</v>
      </c>
      <c r="T274" s="20">
        <v>0</v>
      </c>
      <c r="U274" s="22">
        <v>272</v>
      </c>
      <c r="V274" s="22" t="s">
        <v>470</v>
      </c>
      <c r="W274" s="23" t="s">
        <v>471</v>
      </c>
      <c r="X274" s="21">
        <v>445</v>
      </c>
      <c r="Y274" s="21">
        <v>230</v>
      </c>
      <c r="Z274" s="21">
        <v>214</v>
      </c>
      <c r="AA274" s="21">
        <f t="shared" si="13"/>
        <v>78</v>
      </c>
      <c r="AB274" s="24">
        <f t="shared" si="14"/>
        <v>94.382022471910105</v>
      </c>
    </row>
    <row r="275" spans="1:28" ht="37.5" customHeight="1" x14ac:dyDescent="0.25">
      <c r="A275" s="15">
        <v>273</v>
      </c>
      <c r="B275" s="15">
        <v>377</v>
      </c>
      <c r="C275" s="15">
        <v>179</v>
      </c>
      <c r="D275" s="15">
        <v>32</v>
      </c>
      <c r="E275" s="15">
        <v>0</v>
      </c>
      <c r="F275" s="15">
        <v>1</v>
      </c>
      <c r="G275" s="16">
        <v>1</v>
      </c>
      <c r="H275" s="15">
        <v>0</v>
      </c>
      <c r="I275" s="15">
        <v>0</v>
      </c>
      <c r="J275" s="15">
        <v>0</v>
      </c>
      <c r="K275" s="15">
        <v>0</v>
      </c>
      <c r="L275" s="15">
        <v>1</v>
      </c>
      <c r="M275" s="15">
        <v>0</v>
      </c>
      <c r="N275" s="15">
        <v>0</v>
      </c>
      <c r="O275" s="15">
        <v>4</v>
      </c>
      <c r="P275" s="15">
        <v>595</v>
      </c>
      <c r="Q275" s="16">
        <v>0</v>
      </c>
      <c r="R275" s="15">
        <v>5</v>
      </c>
      <c r="S275" s="15">
        <f t="shared" si="12"/>
        <v>600</v>
      </c>
      <c r="T275" s="15">
        <v>0</v>
      </c>
      <c r="U275" s="17">
        <v>273</v>
      </c>
      <c r="V275" s="17" t="s">
        <v>472</v>
      </c>
      <c r="W275" s="18" t="s">
        <v>473</v>
      </c>
      <c r="X275" s="16">
        <v>760</v>
      </c>
      <c r="Y275" s="16">
        <v>396</v>
      </c>
      <c r="Z275" s="16">
        <v>362</v>
      </c>
      <c r="AA275" s="16">
        <f t="shared" si="13"/>
        <v>198</v>
      </c>
      <c r="AB275" s="19">
        <f t="shared" si="14"/>
        <v>78.94736842105263</v>
      </c>
    </row>
    <row r="276" spans="1:28" ht="37.5" customHeight="1" x14ac:dyDescent="0.25">
      <c r="A276" s="20">
        <v>274</v>
      </c>
      <c r="B276" s="20">
        <v>166</v>
      </c>
      <c r="C276" s="20">
        <v>239</v>
      </c>
      <c r="D276" s="20">
        <v>93</v>
      </c>
      <c r="E276" s="20">
        <v>3</v>
      </c>
      <c r="F276" s="20">
        <v>0</v>
      </c>
      <c r="G276" s="20">
        <v>0</v>
      </c>
      <c r="H276" s="20">
        <v>0</v>
      </c>
      <c r="I276" s="20">
        <v>0</v>
      </c>
      <c r="J276" s="20">
        <v>1</v>
      </c>
      <c r="K276" s="20">
        <v>1</v>
      </c>
      <c r="L276" s="20">
        <v>2</v>
      </c>
      <c r="M276" s="20">
        <v>0</v>
      </c>
      <c r="N276" s="20">
        <v>0</v>
      </c>
      <c r="O276" s="20">
        <v>1</v>
      </c>
      <c r="P276" s="20">
        <v>506</v>
      </c>
      <c r="Q276" s="21">
        <v>0</v>
      </c>
      <c r="R276" s="20">
        <v>2</v>
      </c>
      <c r="S276" s="20">
        <f t="shared" si="12"/>
        <v>508</v>
      </c>
      <c r="T276" s="20">
        <v>0</v>
      </c>
      <c r="U276" s="22">
        <v>274</v>
      </c>
      <c r="V276" s="22" t="s">
        <v>474</v>
      </c>
      <c r="W276" s="23" t="s">
        <v>475</v>
      </c>
      <c r="X276" s="21">
        <v>590</v>
      </c>
      <c r="Y276" s="21">
        <v>308</v>
      </c>
      <c r="Z276" s="21">
        <v>282</v>
      </c>
      <c r="AA276" s="21">
        <f t="shared" si="13"/>
        <v>73</v>
      </c>
      <c r="AB276" s="24">
        <f t="shared" si="14"/>
        <v>86.101694915254228</v>
      </c>
    </row>
    <row r="277" spans="1:28" ht="37.5" customHeight="1" x14ac:dyDescent="0.25">
      <c r="A277" s="15">
        <v>275</v>
      </c>
      <c r="B277" s="15">
        <v>188</v>
      </c>
      <c r="C277" s="15">
        <v>80</v>
      </c>
      <c r="D277" s="15">
        <v>96</v>
      </c>
      <c r="E277" s="15">
        <v>1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1</v>
      </c>
      <c r="M277" s="15">
        <v>0</v>
      </c>
      <c r="N277" s="15">
        <v>1</v>
      </c>
      <c r="O277" s="15">
        <v>0</v>
      </c>
      <c r="P277" s="15">
        <v>367</v>
      </c>
      <c r="Q277" s="16">
        <v>0</v>
      </c>
      <c r="R277" s="15">
        <v>5</v>
      </c>
      <c r="S277" s="15">
        <f t="shared" si="12"/>
        <v>372</v>
      </c>
      <c r="T277" s="15">
        <v>0</v>
      </c>
      <c r="U277" s="17">
        <v>275</v>
      </c>
      <c r="V277" s="17" t="s">
        <v>476</v>
      </c>
      <c r="W277" s="18" t="s">
        <v>477</v>
      </c>
      <c r="X277" s="16">
        <v>467</v>
      </c>
      <c r="Y277" s="16">
        <v>238</v>
      </c>
      <c r="Z277" s="16">
        <v>219</v>
      </c>
      <c r="AA277" s="16">
        <f t="shared" si="13"/>
        <v>108</v>
      </c>
      <c r="AB277" s="19">
        <f t="shared" si="14"/>
        <v>79.657387580299783</v>
      </c>
    </row>
    <row r="278" spans="1:28" ht="37.5" customHeight="1" x14ac:dyDescent="0.25">
      <c r="A278" s="15">
        <v>276</v>
      </c>
      <c r="B278" s="15">
        <v>222</v>
      </c>
      <c r="C278" s="15">
        <v>176</v>
      </c>
      <c r="D278" s="15">
        <v>132</v>
      </c>
      <c r="E278" s="15">
        <v>1</v>
      </c>
      <c r="F278" s="15">
        <v>0</v>
      </c>
      <c r="G278" s="15">
        <v>1</v>
      </c>
      <c r="H278" s="15">
        <v>1</v>
      </c>
      <c r="I278" s="15">
        <v>0</v>
      </c>
      <c r="J278" s="15">
        <v>2</v>
      </c>
      <c r="K278" s="15">
        <v>1</v>
      </c>
      <c r="L278" s="15">
        <v>2</v>
      </c>
      <c r="M278" s="15">
        <v>2</v>
      </c>
      <c r="N278" s="15">
        <v>0</v>
      </c>
      <c r="O278" s="15">
        <v>3</v>
      </c>
      <c r="P278" s="15">
        <v>543</v>
      </c>
      <c r="Q278" s="16">
        <v>0</v>
      </c>
      <c r="R278" s="15">
        <v>5</v>
      </c>
      <c r="S278" s="15">
        <f t="shared" si="12"/>
        <v>548</v>
      </c>
      <c r="T278" s="15">
        <v>0</v>
      </c>
      <c r="U278" s="17">
        <v>276</v>
      </c>
      <c r="V278" s="17" t="s">
        <v>478</v>
      </c>
      <c r="W278" s="18" t="s">
        <v>479</v>
      </c>
      <c r="X278" s="16">
        <v>651</v>
      </c>
      <c r="Y278" s="16">
        <v>343</v>
      </c>
      <c r="Z278" s="16">
        <v>304</v>
      </c>
      <c r="AA278" s="16">
        <f t="shared" si="13"/>
        <v>46</v>
      </c>
      <c r="AB278" s="19">
        <f t="shared" si="14"/>
        <v>84.17818740399386</v>
      </c>
    </row>
    <row r="279" spans="1:28" ht="37.5" customHeight="1" x14ac:dyDescent="0.25">
      <c r="A279" s="20">
        <v>277</v>
      </c>
      <c r="B279" s="20">
        <v>67</v>
      </c>
      <c r="C279" s="20">
        <v>390</v>
      </c>
      <c r="D279" s="20">
        <v>48</v>
      </c>
      <c r="E279" s="21">
        <v>1</v>
      </c>
      <c r="F279" s="20">
        <v>0</v>
      </c>
      <c r="G279" s="20">
        <v>2</v>
      </c>
      <c r="H279" s="20">
        <v>4</v>
      </c>
      <c r="I279" s="20">
        <v>3</v>
      </c>
      <c r="J279" s="20">
        <v>1</v>
      </c>
      <c r="K279" s="20">
        <v>0</v>
      </c>
      <c r="L279" s="20">
        <v>1</v>
      </c>
      <c r="M279" s="20">
        <v>0</v>
      </c>
      <c r="N279" s="20">
        <v>1</v>
      </c>
      <c r="O279" s="20">
        <v>1</v>
      </c>
      <c r="P279" s="20">
        <v>519</v>
      </c>
      <c r="Q279" s="21">
        <v>0</v>
      </c>
      <c r="R279" s="20">
        <v>3</v>
      </c>
      <c r="S279" s="20">
        <f t="shared" si="12"/>
        <v>522</v>
      </c>
      <c r="T279" s="20">
        <v>0</v>
      </c>
      <c r="U279" s="22">
        <v>277</v>
      </c>
      <c r="V279" s="22" t="s">
        <v>480</v>
      </c>
      <c r="W279" s="23" t="s">
        <v>481</v>
      </c>
      <c r="X279" s="21">
        <v>618</v>
      </c>
      <c r="Y279" s="21">
        <v>310</v>
      </c>
      <c r="Z279" s="21">
        <v>308</v>
      </c>
      <c r="AA279" s="21">
        <f t="shared" si="13"/>
        <v>323</v>
      </c>
      <c r="AB279" s="24">
        <f t="shared" si="14"/>
        <v>84.466019417475721</v>
      </c>
    </row>
    <row r="280" spans="1:28" ht="37.5" customHeight="1" x14ac:dyDescent="0.25">
      <c r="A280" s="15">
        <v>278</v>
      </c>
      <c r="B280" s="15">
        <v>355</v>
      </c>
      <c r="C280" s="15">
        <v>107</v>
      </c>
      <c r="D280" s="15">
        <v>122</v>
      </c>
      <c r="E280" s="15">
        <v>1</v>
      </c>
      <c r="F280" s="15">
        <v>1</v>
      </c>
      <c r="G280" s="15">
        <v>1</v>
      </c>
      <c r="H280" s="15">
        <v>1</v>
      </c>
      <c r="I280" s="15">
        <v>0</v>
      </c>
      <c r="J280" s="15">
        <v>0</v>
      </c>
      <c r="K280" s="15">
        <v>4</v>
      </c>
      <c r="L280" s="15">
        <v>4</v>
      </c>
      <c r="M280" s="15">
        <v>1</v>
      </c>
      <c r="N280" s="15">
        <v>4</v>
      </c>
      <c r="O280" s="15">
        <v>0</v>
      </c>
      <c r="P280" s="15">
        <v>601</v>
      </c>
      <c r="Q280" s="16">
        <v>0</v>
      </c>
      <c r="R280" s="15">
        <v>6</v>
      </c>
      <c r="S280" s="15">
        <f t="shared" si="12"/>
        <v>607</v>
      </c>
      <c r="T280" s="15">
        <v>0</v>
      </c>
      <c r="U280" s="17">
        <v>278</v>
      </c>
      <c r="V280" s="17" t="s">
        <v>482</v>
      </c>
      <c r="W280" s="18" t="s">
        <v>483</v>
      </c>
      <c r="X280" s="16">
        <v>815</v>
      </c>
      <c r="Y280" s="16">
        <v>432</v>
      </c>
      <c r="Z280" s="16">
        <v>383</v>
      </c>
      <c r="AA280" s="16">
        <f t="shared" si="13"/>
        <v>248</v>
      </c>
      <c r="AB280" s="19">
        <f t="shared" si="14"/>
        <v>74.478527607361968</v>
      </c>
    </row>
    <row r="281" spans="1:28" ht="37.5" customHeight="1" x14ac:dyDescent="0.25">
      <c r="A281" s="15">
        <v>279</v>
      </c>
      <c r="B281" s="15">
        <v>335</v>
      </c>
      <c r="C281" s="15">
        <v>99</v>
      </c>
      <c r="D281" s="15">
        <v>111</v>
      </c>
      <c r="E281" s="15">
        <v>3</v>
      </c>
      <c r="F281" s="15">
        <v>1</v>
      </c>
      <c r="G281" s="15">
        <v>0</v>
      </c>
      <c r="H281" s="15">
        <v>1</v>
      </c>
      <c r="I281" s="15">
        <v>1</v>
      </c>
      <c r="J281" s="15">
        <v>0</v>
      </c>
      <c r="K281" s="15">
        <v>1</v>
      </c>
      <c r="L281" s="15">
        <v>0</v>
      </c>
      <c r="M281" s="15">
        <v>0</v>
      </c>
      <c r="N281" s="15">
        <v>0</v>
      </c>
      <c r="O281" s="15">
        <v>0</v>
      </c>
      <c r="P281" s="15">
        <v>552</v>
      </c>
      <c r="Q281" s="16">
        <v>0</v>
      </c>
      <c r="R281" s="15">
        <v>3</v>
      </c>
      <c r="S281" s="15">
        <f t="shared" si="12"/>
        <v>555</v>
      </c>
      <c r="T281" s="15">
        <v>0</v>
      </c>
      <c r="U281" s="17">
        <v>279</v>
      </c>
      <c r="V281" s="17" t="s">
        <v>482</v>
      </c>
      <c r="W281" s="18" t="s">
        <v>484</v>
      </c>
      <c r="X281" s="16">
        <v>722</v>
      </c>
      <c r="Y281" s="16">
        <v>376</v>
      </c>
      <c r="Z281" s="16">
        <v>345</v>
      </c>
      <c r="AA281" s="16">
        <f t="shared" si="13"/>
        <v>236</v>
      </c>
      <c r="AB281" s="19">
        <f t="shared" si="14"/>
        <v>76.86980609418282</v>
      </c>
    </row>
    <row r="282" spans="1:28" ht="37.5" customHeight="1" x14ac:dyDescent="0.25">
      <c r="A282" s="15">
        <v>280</v>
      </c>
      <c r="B282" s="15">
        <v>279</v>
      </c>
      <c r="C282" s="15">
        <v>193</v>
      </c>
      <c r="D282" s="15">
        <v>94</v>
      </c>
      <c r="E282" s="15">
        <v>0</v>
      </c>
      <c r="F282" s="15">
        <v>0</v>
      </c>
      <c r="G282" s="15">
        <v>0</v>
      </c>
      <c r="H282" s="15">
        <v>0</v>
      </c>
      <c r="I282" s="15">
        <v>1</v>
      </c>
      <c r="J282" s="15">
        <v>1</v>
      </c>
      <c r="K282" s="15">
        <v>1</v>
      </c>
      <c r="L282" s="15">
        <v>0</v>
      </c>
      <c r="M282" s="15">
        <v>2</v>
      </c>
      <c r="N282" s="15">
        <v>0</v>
      </c>
      <c r="O282" s="15">
        <v>1</v>
      </c>
      <c r="P282" s="15">
        <v>572</v>
      </c>
      <c r="Q282" s="16">
        <v>0</v>
      </c>
      <c r="R282" s="15">
        <v>5</v>
      </c>
      <c r="S282" s="15">
        <f t="shared" si="12"/>
        <v>577</v>
      </c>
      <c r="T282" s="15">
        <v>0</v>
      </c>
      <c r="U282" s="17">
        <v>280</v>
      </c>
      <c r="V282" s="17" t="s">
        <v>482</v>
      </c>
      <c r="W282" s="18" t="s">
        <v>485</v>
      </c>
      <c r="X282" s="16">
        <v>705</v>
      </c>
      <c r="Y282" s="16">
        <v>377</v>
      </c>
      <c r="Z282" s="16">
        <v>327</v>
      </c>
      <c r="AA282" s="16">
        <f t="shared" si="13"/>
        <v>86</v>
      </c>
      <c r="AB282" s="19">
        <f t="shared" si="14"/>
        <v>81.843971631205676</v>
      </c>
    </row>
    <row r="283" spans="1:28" ht="37.5" customHeight="1" x14ac:dyDescent="0.25">
      <c r="A283" s="20">
        <v>281</v>
      </c>
      <c r="B283" s="20">
        <v>85</v>
      </c>
      <c r="C283" s="20">
        <v>620</v>
      </c>
      <c r="D283" s="20">
        <v>43</v>
      </c>
      <c r="E283" s="20">
        <v>3</v>
      </c>
      <c r="F283" s="20">
        <v>0</v>
      </c>
      <c r="G283" s="20">
        <v>1</v>
      </c>
      <c r="H283" s="20">
        <v>1</v>
      </c>
      <c r="I283" s="20">
        <v>0</v>
      </c>
      <c r="J283" s="20">
        <v>0</v>
      </c>
      <c r="K283" s="20">
        <v>1</v>
      </c>
      <c r="L283" s="20">
        <v>4</v>
      </c>
      <c r="M283" s="20">
        <v>1</v>
      </c>
      <c r="N283" s="20">
        <v>3</v>
      </c>
      <c r="O283" s="20">
        <v>5</v>
      </c>
      <c r="P283" s="20">
        <v>767</v>
      </c>
      <c r="Q283" s="21">
        <v>0</v>
      </c>
      <c r="R283" s="21">
        <v>12</v>
      </c>
      <c r="S283" s="20">
        <f t="shared" si="12"/>
        <v>779</v>
      </c>
      <c r="T283" s="20">
        <v>0</v>
      </c>
      <c r="U283" s="22">
        <v>281</v>
      </c>
      <c r="V283" s="22" t="s">
        <v>482</v>
      </c>
      <c r="W283" s="23" t="s">
        <v>486</v>
      </c>
      <c r="X283" s="21">
        <v>932</v>
      </c>
      <c r="Y283" s="21">
        <v>465</v>
      </c>
      <c r="Z283" s="21">
        <v>464</v>
      </c>
      <c r="AA283" s="21">
        <f t="shared" si="13"/>
        <v>535</v>
      </c>
      <c r="AB283" s="24">
        <f t="shared" si="14"/>
        <v>83.583690987124456</v>
      </c>
    </row>
    <row r="284" spans="1:28" ht="37.5" customHeight="1" x14ac:dyDescent="0.25">
      <c r="A284" s="20">
        <v>282</v>
      </c>
      <c r="B284" s="20">
        <v>145</v>
      </c>
      <c r="C284" s="20">
        <v>395</v>
      </c>
      <c r="D284" s="20">
        <v>235</v>
      </c>
      <c r="E284" s="20">
        <v>1</v>
      </c>
      <c r="F284" s="20">
        <v>0</v>
      </c>
      <c r="G284" s="20">
        <v>1</v>
      </c>
      <c r="H284" s="20">
        <v>1</v>
      </c>
      <c r="I284" s="20">
        <v>0</v>
      </c>
      <c r="J284" s="20">
        <v>0</v>
      </c>
      <c r="K284" s="20">
        <v>2</v>
      </c>
      <c r="L284" s="20">
        <v>4</v>
      </c>
      <c r="M284" s="20">
        <v>2</v>
      </c>
      <c r="N284" s="20">
        <v>2</v>
      </c>
      <c r="O284" s="20">
        <v>4</v>
      </c>
      <c r="P284" s="20">
        <v>792</v>
      </c>
      <c r="Q284" s="21">
        <v>0</v>
      </c>
      <c r="R284" s="20">
        <v>4</v>
      </c>
      <c r="S284" s="20">
        <f t="shared" si="12"/>
        <v>796</v>
      </c>
      <c r="T284" s="20">
        <v>0</v>
      </c>
      <c r="U284" s="22">
        <v>282</v>
      </c>
      <c r="V284" s="22" t="s">
        <v>487</v>
      </c>
      <c r="W284" s="23" t="s">
        <v>488</v>
      </c>
      <c r="X284" s="21">
        <v>908</v>
      </c>
      <c r="Y284" s="21">
        <v>478</v>
      </c>
      <c r="Z284" s="21">
        <v>429</v>
      </c>
      <c r="AA284" s="21">
        <f t="shared" si="13"/>
        <v>250</v>
      </c>
      <c r="AB284" s="24">
        <f t="shared" si="14"/>
        <v>87.665198237885463</v>
      </c>
    </row>
    <row r="285" spans="1:28" ht="37.5" customHeight="1" x14ac:dyDescent="0.25">
      <c r="A285" s="20">
        <v>283</v>
      </c>
      <c r="B285" s="20">
        <v>136</v>
      </c>
      <c r="C285" s="20">
        <v>307</v>
      </c>
      <c r="D285" s="20">
        <v>38</v>
      </c>
      <c r="E285" s="20">
        <v>1</v>
      </c>
      <c r="F285" s="21">
        <v>1</v>
      </c>
      <c r="G285" s="20">
        <v>0</v>
      </c>
      <c r="H285" s="20">
        <v>1</v>
      </c>
      <c r="I285" s="20">
        <v>0</v>
      </c>
      <c r="J285" s="20">
        <v>0</v>
      </c>
      <c r="K285" s="20">
        <v>1</v>
      </c>
      <c r="L285" s="20">
        <v>0</v>
      </c>
      <c r="M285" s="20">
        <v>0</v>
      </c>
      <c r="N285" s="20">
        <v>1</v>
      </c>
      <c r="O285" s="20">
        <v>5</v>
      </c>
      <c r="P285" s="21">
        <v>491</v>
      </c>
      <c r="Q285" s="21">
        <v>0</v>
      </c>
      <c r="R285" s="20">
        <v>5</v>
      </c>
      <c r="S285" s="20">
        <f t="shared" si="12"/>
        <v>496</v>
      </c>
      <c r="T285" s="20">
        <v>0</v>
      </c>
      <c r="U285" s="22">
        <v>283</v>
      </c>
      <c r="V285" s="22" t="s">
        <v>489</v>
      </c>
      <c r="W285" s="23" t="s">
        <v>490</v>
      </c>
      <c r="X285" s="21">
        <v>564</v>
      </c>
      <c r="Y285" s="21">
        <v>295</v>
      </c>
      <c r="Z285" s="21">
        <v>269</v>
      </c>
      <c r="AA285" s="21">
        <f t="shared" si="13"/>
        <v>171</v>
      </c>
      <c r="AB285" s="24">
        <f t="shared" si="14"/>
        <v>87.943262411347519</v>
      </c>
    </row>
    <row r="286" spans="1:28" ht="37.5" customHeight="1" x14ac:dyDescent="0.25">
      <c r="A286" s="15">
        <v>284</v>
      </c>
      <c r="B286" s="15">
        <v>591</v>
      </c>
      <c r="C286" s="15">
        <v>112</v>
      </c>
      <c r="D286" s="15">
        <v>24</v>
      </c>
      <c r="E286" s="15">
        <v>0</v>
      </c>
      <c r="F286" s="15">
        <v>0</v>
      </c>
      <c r="G286" s="15">
        <v>0</v>
      </c>
      <c r="H286" s="15">
        <v>0</v>
      </c>
      <c r="I286" s="15">
        <v>1</v>
      </c>
      <c r="J286" s="15">
        <v>0</v>
      </c>
      <c r="K286" s="15">
        <v>0</v>
      </c>
      <c r="L286" s="15">
        <v>2</v>
      </c>
      <c r="M286" s="15">
        <v>0</v>
      </c>
      <c r="N286" s="15">
        <v>1</v>
      </c>
      <c r="O286" s="15">
        <v>0</v>
      </c>
      <c r="P286" s="15">
        <v>731</v>
      </c>
      <c r="Q286" s="16">
        <v>0</v>
      </c>
      <c r="R286" s="15">
        <v>0</v>
      </c>
      <c r="S286" s="15">
        <f t="shared" si="12"/>
        <v>731</v>
      </c>
      <c r="T286" s="15">
        <v>0</v>
      </c>
      <c r="U286" s="17">
        <v>284</v>
      </c>
      <c r="V286" s="17" t="s">
        <v>491</v>
      </c>
      <c r="W286" s="18" t="s">
        <v>492</v>
      </c>
      <c r="X286" s="16">
        <v>859</v>
      </c>
      <c r="Y286" s="16">
        <v>438</v>
      </c>
      <c r="Z286" s="16">
        <v>420</v>
      </c>
      <c r="AA286" s="16">
        <f t="shared" si="13"/>
        <v>479</v>
      </c>
      <c r="AB286" s="19">
        <f t="shared" si="14"/>
        <v>85.098952270081483</v>
      </c>
    </row>
    <row r="287" spans="1:28" ht="37.5" customHeight="1" x14ac:dyDescent="0.25">
      <c r="A287" s="15">
        <v>285</v>
      </c>
      <c r="B287" s="15">
        <v>792</v>
      </c>
      <c r="C287" s="15">
        <v>181</v>
      </c>
      <c r="D287" s="15">
        <v>11</v>
      </c>
      <c r="E287" s="15">
        <v>0</v>
      </c>
      <c r="F287" s="15">
        <v>1</v>
      </c>
      <c r="G287" s="15">
        <v>0</v>
      </c>
      <c r="H287" s="15">
        <v>0</v>
      </c>
      <c r="I287" s="15">
        <v>0</v>
      </c>
      <c r="J287" s="15">
        <v>1</v>
      </c>
      <c r="K287" s="15">
        <v>1</v>
      </c>
      <c r="L287" s="15">
        <v>2</v>
      </c>
      <c r="M287" s="15">
        <v>3</v>
      </c>
      <c r="N287" s="15">
        <v>1</v>
      </c>
      <c r="O287" s="15">
        <v>1</v>
      </c>
      <c r="P287" s="15">
        <v>994</v>
      </c>
      <c r="Q287" s="16">
        <v>0</v>
      </c>
      <c r="R287" s="15">
        <v>13</v>
      </c>
      <c r="S287" s="15">
        <f t="shared" si="12"/>
        <v>1007</v>
      </c>
      <c r="T287" s="15">
        <v>0</v>
      </c>
      <c r="U287" s="17">
        <v>285</v>
      </c>
      <c r="V287" s="17" t="s">
        <v>491</v>
      </c>
      <c r="W287" s="18" t="s">
        <v>493</v>
      </c>
      <c r="X287" s="16">
        <v>1258</v>
      </c>
      <c r="Y287" s="16">
        <v>627</v>
      </c>
      <c r="Z287" s="16">
        <v>625</v>
      </c>
      <c r="AA287" s="16">
        <f t="shared" si="13"/>
        <v>611</v>
      </c>
      <c r="AB287" s="19">
        <f t="shared" si="14"/>
        <v>80.047694753577105</v>
      </c>
    </row>
    <row r="288" spans="1:28" ht="37.5" customHeight="1" x14ac:dyDescent="0.25">
      <c r="A288" s="15">
        <v>286</v>
      </c>
      <c r="B288" s="15">
        <v>455</v>
      </c>
      <c r="C288" s="15">
        <v>255</v>
      </c>
      <c r="D288" s="15">
        <v>14</v>
      </c>
      <c r="E288" s="15">
        <v>3</v>
      </c>
      <c r="F288" s="15">
        <v>1</v>
      </c>
      <c r="G288" s="15">
        <v>0</v>
      </c>
      <c r="H288" s="15">
        <v>0</v>
      </c>
      <c r="I288" s="15">
        <v>2</v>
      </c>
      <c r="J288" s="15">
        <v>0</v>
      </c>
      <c r="K288" s="15">
        <v>1</v>
      </c>
      <c r="L288" s="15">
        <v>0</v>
      </c>
      <c r="M288" s="15">
        <v>1</v>
      </c>
      <c r="N288" s="15">
        <v>1</v>
      </c>
      <c r="O288" s="15">
        <v>2</v>
      </c>
      <c r="P288" s="15">
        <v>735</v>
      </c>
      <c r="Q288" s="16">
        <v>0</v>
      </c>
      <c r="R288" s="16">
        <v>1</v>
      </c>
      <c r="S288" s="15">
        <f t="shared" si="12"/>
        <v>736</v>
      </c>
      <c r="T288" s="15">
        <v>0</v>
      </c>
      <c r="U288" s="17">
        <v>286</v>
      </c>
      <c r="V288" s="17" t="s">
        <v>491</v>
      </c>
      <c r="W288" s="18" t="s">
        <v>494</v>
      </c>
      <c r="X288" s="16">
        <v>875</v>
      </c>
      <c r="Y288" s="16">
        <v>467</v>
      </c>
      <c r="Z288" s="16">
        <v>408</v>
      </c>
      <c r="AA288" s="16">
        <f t="shared" si="13"/>
        <v>200</v>
      </c>
      <c r="AB288" s="19">
        <f t="shared" si="14"/>
        <v>84.114285714285714</v>
      </c>
    </row>
    <row r="289" spans="1:28" ht="37.5" customHeight="1" x14ac:dyDescent="0.25">
      <c r="A289" s="15">
        <v>287</v>
      </c>
      <c r="B289" s="15">
        <v>393</v>
      </c>
      <c r="C289" s="15">
        <v>263</v>
      </c>
      <c r="D289" s="15">
        <v>127</v>
      </c>
      <c r="E289" s="15">
        <v>1</v>
      </c>
      <c r="F289" s="15">
        <v>1</v>
      </c>
      <c r="G289" s="15">
        <v>1</v>
      </c>
      <c r="H289" s="15">
        <v>0</v>
      </c>
      <c r="I289" s="15">
        <v>1</v>
      </c>
      <c r="J289" s="15">
        <v>0</v>
      </c>
      <c r="K289" s="15">
        <v>1</v>
      </c>
      <c r="L289" s="15">
        <v>6</v>
      </c>
      <c r="M289" s="15">
        <v>2</v>
      </c>
      <c r="N289" s="15">
        <v>1</v>
      </c>
      <c r="O289" s="15">
        <v>5</v>
      </c>
      <c r="P289" s="15">
        <v>802</v>
      </c>
      <c r="Q289" s="16">
        <v>0</v>
      </c>
      <c r="R289" s="15">
        <v>7</v>
      </c>
      <c r="S289" s="15">
        <f t="shared" si="12"/>
        <v>809</v>
      </c>
      <c r="T289" s="15">
        <v>0</v>
      </c>
      <c r="U289" s="17">
        <v>287</v>
      </c>
      <c r="V289" s="17" t="s">
        <v>491</v>
      </c>
      <c r="W289" s="18" t="s">
        <v>495</v>
      </c>
      <c r="X289" s="16">
        <v>998</v>
      </c>
      <c r="Y289" s="16">
        <v>527</v>
      </c>
      <c r="Z289" s="16">
        <v>465</v>
      </c>
      <c r="AA289" s="16">
        <f t="shared" si="13"/>
        <v>130</v>
      </c>
      <c r="AB289" s="19">
        <f t="shared" si="14"/>
        <v>81.062124248496986</v>
      </c>
    </row>
    <row r="290" spans="1:28" ht="37.5" customHeight="1" x14ac:dyDescent="0.25">
      <c r="A290" s="15">
        <v>288</v>
      </c>
      <c r="B290" s="15">
        <v>571</v>
      </c>
      <c r="C290" s="15">
        <v>124</v>
      </c>
      <c r="D290" s="15">
        <v>18</v>
      </c>
      <c r="E290" s="15">
        <v>1</v>
      </c>
      <c r="F290" s="15">
        <v>1</v>
      </c>
      <c r="G290" s="15">
        <v>0</v>
      </c>
      <c r="H290" s="15">
        <v>1</v>
      </c>
      <c r="I290" s="15">
        <v>0</v>
      </c>
      <c r="J290" s="15">
        <v>1</v>
      </c>
      <c r="K290" s="15">
        <v>0</v>
      </c>
      <c r="L290" s="15">
        <v>3</v>
      </c>
      <c r="M290" s="15">
        <v>0</v>
      </c>
      <c r="N290" s="15">
        <v>1</v>
      </c>
      <c r="O290" s="15">
        <v>1</v>
      </c>
      <c r="P290" s="15">
        <v>722</v>
      </c>
      <c r="Q290" s="16">
        <v>0</v>
      </c>
      <c r="R290" s="15">
        <v>3</v>
      </c>
      <c r="S290" s="15">
        <f t="shared" si="12"/>
        <v>725</v>
      </c>
      <c r="T290" s="15">
        <v>0</v>
      </c>
      <c r="U290" s="17">
        <v>288</v>
      </c>
      <c r="V290" s="17" t="s">
        <v>491</v>
      </c>
      <c r="W290" s="18" t="s">
        <v>496</v>
      </c>
      <c r="X290" s="16">
        <v>952</v>
      </c>
      <c r="Y290" s="16">
        <v>489</v>
      </c>
      <c r="Z290" s="16">
        <v>458</v>
      </c>
      <c r="AA290" s="16">
        <f t="shared" si="13"/>
        <v>447</v>
      </c>
      <c r="AB290" s="19">
        <f t="shared" si="14"/>
        <v>76.15546218487394</v>
      </c>
    </row>
    <row r="291" spans="1:28" ht="37.5" customHeight="1" x14ac:dyDescent="0.25">
      <c r="A291" s="15">
        <v>289</v>
      </c>
      <c r="B291" s="15">
        <v>432</v>
      </c>
      <c r="C291" s="15">
        <v>209</v>
      </c>
      <c r="D291" s="15">
        <v>18</v>
      </c>
      <c r="E291" s="15">
        <v>4</v>
      </c>
      <c r="F291" s="15">
        <v>1</v>
      </c>
      <c r="G291" s="15">
        <v>0</v>
      </c>
      <c r="H291" s="15">
        <v>0</v>
      </c>
      <c r="I291" s="15">
        <v>1</v>
      </c>
      <c r="J291" s="15">
        <v>0</v>
      </c>
      <c r="K291" s="15">
        <v>0</v>
      </c>
      <c r="L291" s="15">
        <v>1</v>
      </c>
      <c r="M291" s="15">
        <v>2</v>
      </c>
      <c r="N291" s="15">
        <v>0</v>
      </c>
      <c r="O291" s="15">
        <v>1</v>
      </c>
      <c r="P291" s="15">
        <v>669</v>
      </c>
      <c r="Q291" s="16">
        <v>0</v>
      </c>
      <c r="R291" s="15">
        <v>5</v>
      </c>
      <c r="S291" s="15">
        <f t="shared" si="12"/>
        <v>674</v>
      </c>
      <c r="T291" s="15">
        <v>0</v>
      </c>
      <c r="U291" s="17">
        <v>289</v>
      </c>
      <c r="V291" s="17" t="s">
        <v>491</v>
      </c>
      <c r="W291" s="18" t="s">
        <v>497</v>
      </c>
      <c r="X291" s="16">
        <v>824</v>
      </c>
      <c r="Y291" s="16">
        <v>417</v>
      </c>
      <c r="Z291" s="16">
        <v>402</v>
      </c>
      <c r="AA291" s="16">
        <f t="shared" si="13"/>
        <v>223</v>
      </c>
      <c r="AB291" s="19">
        <f t="shared" si="14"/>
        <v>81.796116504854368</v>
      </c>
    </row>
    <row r="292" spans="1:28" ht="37.5" customHeight="1" x14ac:dyDescent="0.25">
      <c r="A292" s="15">
        <v>290</v>
      </c>
      <c r="B292" s="15">
        <v>517</v>
      </c>
      <c r="C292" s="15">
        <v>245</v>
      </c>
      <c r="D292" s="15">
        <v>26</v>
      </c>
      <c r="E292" s="15">
        <v>0</v>
      </c>
      <c r="F292" s="15">
        <v>1</v>
      </c>
      <c r="G292" s="15">
        <v>1</v>
      </c>
      <c r="H292" s="15">
        <v>0</v>
      </c>
      <c r="I292" s="15">
        <v>1</v>
      </c>
      <c r="J292" s="15">
        <v>0</v>
      </c>
      <c r="K292" s="15">
        <v>1</v>
      </c>
      <c r="L292" s="15">
        <v>2</v>
      </c>
      <c r="M292" s="15">
        <v>0</v>
      </c>
      <c r="N292" s="15">
        <v>1</v>
      </c>
      <c r="O292" s="15">
        <v>1</v>
      </c>
      <c r="P292" s="15">
        <v>796</v>
      </c>
      <c r="Q292" s="16">
        <v>0</v>
      </c>
      <c r="R292" s="15">
        <v>5</v>
      </c>
      <c r="S292" s="15">
        <f t="shared" si="12"/>
        <v>801</v>
      </c>
      <c r="T292" s="15">
        <v>0</v>
      </c>
      <c r="U292" s="17">
        <v>290</v>
      </c>
      <c r="V292" s="17" t="s">
        <v>491</v>
      </c>
      <c r="W292" s="18" t="s">
        <v>498</v>
      </c>
      <c r="X292" s="16">
        <v>999</v>
      </c>
      <c r="Y292" s="16">
        <v>518</v>
      </c>
      <c r="Z292" s="16">
        <v>481</v>
      </c>
      <c r="AA292" s="16">
        <f t="shared" si="13"/>
        <v>272</v>
      </c>
      <c r="AB292" s="19">
        <f t="shared" si="14"/>
        <v>80.180180180180187</v>
      </c>
    </row>
    <row r="293" spans="1:28" ht="37.5" customHeight="1" x14ac:dyDescent="0.25">
      <c r="A293" s="15">
        <v>291</v>
      </c>
      <c r="B293" s="15">
        <v>573</v>
      </c>
      <c r="C293" s="15">
        <v>159</v>
      </c>
      <c r="D293" s="15">
        <v>12</v>
      </c>
      <c r="E293" s="15">
        <v>1</v>
      </c>
      <c r="F293" s="15">
        <v>0</v>
      </c>
      <c r="G293" s="15">
        <v>1</v>
      </c>
      <c r="H293" s="15">
        <v>0</v>
      </c>
      <c r="I293" s="15">
        <v>0</v>
      </c>
      <c r="J293" s="15">
        <v>0</v>
      </c>
      <c r="K293" s="15">
        <v>0</v>
      </c>
      <c r="L293" s="15">
        <v>6</v>
      </c>
      <c r="M293" s="15">
        <v>2</v>
      </c>
      <c r="N293" s="15">
        <v>0</v>
      </c>
      <c r="O293" s="15">
        <v>0</v>
      </c>
      <c r="P293" s="15">
        <v>754</v>
      </c>
      <c r="Q293" s="16">
        <v>0</v>
      </c>
      <c r="R293" s="15">
        <v>17</v>
      </c>
      <c r="S293" s="15">
        <f t="shared" si="12"/>
        <v>771</v>
      </c>
      <c r="T293" s="15">
        <v>0</v>
      </c>
      <c r="U293" s="17">
        <v>291</v>
      </c>
      <c r="V293" s="17" t="s">
        <v>491</v>
      </c>
      <c r="W293" s="18" t="s">
        <v>499</v>
      </c>
      <c r="X293" s="16">
        <v>926</v>
      </c>
      <c r="Y293" s="16">
        <v>461</v>
      </c>
      <c r="Z293" s="16">
        <v>457</v>
      </c>
      <c r="AA293" s="16">
        <f t="shared" si="13"/>
        <v>414</v>
      </c>
      <c r="AB293" s="19">
        <f t="shared" si="14"/>
        <v>83.261339092872561</v>
      </c>
    </row>
    <row r="294" spans="1:28" ht="37.5" customHeight="1" x14ac:dyDescent="0.25">
      <c r="A294" s="20">
        <v>292</v>
      </c>
      <c r="B294" s="20">
        <v>118</v>
      </c>
      <c r="C294" s="20">
        <v>291</v>
      </c>
      <c r="D294" s="20">
        <v>104</v>
      </c>
      <c r="E294" s="20">
        <v>1</v>
      </c>
      <c r="F294" s="20">
        <v>1</v>
      </c>
      <c r="G294" s="20">
        <v>1</v>
      </c>
      <c r="H294" s="20">
        <v>6</v>
      </c>
      <c r="I294" s="20">
        <v>0</v>
      </c>
      <c r="J294" s="20">
        <v>0</v>
      </c>
      <c r="K294" s="20">
        <v>0</v>
      </c>
      <c r="L294" s="20">
        <v>1</v>
      </c>
      <c r="M294" s="20">
        <v>0</v>
      </c>
      <c r="N294" s="20">
        <v>0</v>
      </c>
      <c r="O294" s="20">
        <v>2</v>
      </c>
      <c r="P294" s="20">
        <v>525</v>
      </c>
      <c r="Q294" s="21">
        <v>0</v>
      </c>
      <c r="R294" s="20">
        <v>2</v>
      </c>
      <c r="S294" s="20">
        <f t="shared" si="12"/>
        <v>527</v>
      </c>
      <c r="T294" s="20">
        <v>0</v>
      </c>
      <c r="U294" s="22">
        <v>292</v>
      </c>
      <c r="V294" s="22" t="s">
        <v>491</v>
      </c>
      <c r="W294" s="23" t="s">
        <v>500</v>
      </c>
      <c r="X294" s="21">
        <v>666</v>
      </c>
      <c r="Y294" s="21">
        <v>354</v>
      </c>
      <c r="Z294" s="21">
        <v>309</v>
      </c>
      <c r="AA294" s="21">
        <f t="shared" si="13"/>
        <v>173</v>
      </c>
      <c r="AB294" s="24">
        <f t="shared" si="14"/>
        <v>79.129129129129126</v>
      </c>
    </row>
    <row r="295" spans="1:28" ht="37.5" customHeight="1" x14ac:dyDescent="0.25">
      <c r="A295" s="15">
        <v>293</v>
      </c>
      <c r="B295" s="15">
        <v>538</v>
      </c>
      <c r="C295" s="15">
        <v>160</v>
      </c>
      <c r="D295" s="15">
        <v>25</v>
      </c>
      <c r="E295" s="15">
        <v>1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</v>
      </c>
      <c r="L295" s="15">
        <v>4</v>
      </c>
      <c r="M295" s="15">
        <v>1</v>
      </c>
      <c r="N295" s="15">
        <v>1</v>
      </c>
      <c r="O295" s="15">
        <v>2</v>
      </c>
      <c r="P295" s="15">
        <v>733</v>
      </c>
      <c r="Q295" s="16">
        <v>0</v>
      </c>
      <c r="R295" s="15">
        <v>12</v>
      </c>
      <c r="S295" s="15">
        <f t="shared" si="12"/>
        <v>745</v>
      </c>
      <c r="T295" s="15">
        <v>0</v>
      </c>
      <c r="U295" s="17">
        <v>292</v>
      </c>
      <c r="V295" s="17" t="s">
        <v>491</v>
      </c>
      <c r="W295" s="18" t="s">
        <v>500</v>
      </c>
      <c r="X295" s="16">
        <v>666</v>
      </c>
      <c r="Y295" s="16">
        <v>354</v>
      </c>
      <c r="Z295" s="16">
        <v>309</v>
      </c>
      <c r="AA295" s="16">
        <f t="shared" si="13"/>
        <v>378</v>
      </c>
      <c r="AB295" s="19">
        <f t="shared" si="14"/>
        <v>111.86186186186187</v>
      </c>
    </row>
    <row r="296" spans="1:28" ht="37.5" customHeight="1" x14ac:dyDescent="0.25">
      <c r="A296" s="15">
        <v>294</v>
      </c>
      <c r="B296" s="15">
        <v>418</v>
      </c>
      <c r="C296" s="15">
        <v>275</v>
      </c>
      <c r="D296" s="15">
        <v>42</v>
      </c>
      <c r="E296" s="15">
        <v>3</v>
      </c>
      <c r="F296" s="15">
        <v>1</v>
      </c>
      <c r="G296" s="15">
        <v>1</v>
      </c>
      <c r="H296" s="15">
        <v>0</v>
      </c>
      <c r="I296" s="15">
        <v>0</v>
      </c>
      <c r="J296" s="15">
        <v>2</v>
      </c>
      <c r="K296" s="15">
        <v>2</v>
      </c>
      <c r="L296" s="15">
        <v>8</v>
      </c>
      <c r="M296" s="15">
        <v>1</v>
      </c>
      <c r="N296" s="15">
        <v>0</v>
      </c>
      <c r="O296" s="15">
        <v>5</v>
      </c>
      <c r="P296" s="15">
        <v>758</v>
      </c>
      <c r="Q296" s="16">
        <v>0</v>
      </c>
      <c r="R296" s="15">
        <v>4</v>
      </c>
      <c r="S296" s="15">
        <f t="shared" si="12"/>
        <v>762</v>
      </c>
      <c r="T296" s="15">
        <v>0</v>
      </c>
      <c r="U296" s="17">
        <v>293</v>
      </c>
      <c r="V296" s="17" t="s">
        <v>491</v>
      </c>
      <c r="W296" s="18" t="s">
        <v>501</v>
      </c>
      <c r="X296" s="16">
        <v>917</v>
      </c>
      <c r="Y296" s="16">
        <v>465</v>
      </c>
      <c r="Z296" s="16">
        <v>452</v>
      </c>
      <c r="AA296" s="16">
        <f t="shared" si="13"/>
        <v>143</v>
      </c>
      <c r="AB296" s="19">
        <f t="shared" si="14"/>
        <v>83.097055616139585</v>
      </c>
    </row>
    <row r="297" spans="1:28" ht="37.5" customHeight="1" x14ac:dyDescent="0.25">
      <c r="A297" s="20">
        <v>295</v>
      </c>
      <c r="B297" s="20">
        <v>316</v>
      </c>
      <c r="C297" s="20">
        <v>328</v>
      </c>
      <c r="D297" s="20">
        <v>31</v>
      </c>
      <c r="E297" s="20">
        <v>0</v>
      </c>
      <c r="F297" s="20">
        <v>0</v>
      </c>
      <c r="G297" s="20">
        <v>2</v>
      </c>
      <c r="H297" s="20">
        <v>3</v>
      </c>
      <c r="I297" s="20">
        <v>1</v>
      </c>
      <c r="J297" s="20">
        <v>0</v>
      </c>
      <c r="K297" s="20">
        <v>0</v>
      </c>
      <c r="L297" s="20">
        <v>1</v>
      </c>
      <c r="M297" s="20">
        <v>1</v>
      </c>
      <c r="N297" s="20">
        <v>1</v>
      </c>
      <c r="O297" s="20">
        <v>1</v>
      </c>
      <c r="P297" s="20">
        <v>685</v>
      </c>
      <c r="Q297" s="21">
        <v>0</v>
      </c>
      <c r="R297" s="20">
        <v>4</v>
      </c>
      <c r="S297" s="20">
        <f t="shared" si="12"/>
        <v>689</v>
      </c>
      <c r="T297" s="20">
        <v>0</v>
      </c>
      <c r="U297" s="22">
        <v>294</v>
      </c>
      <c r="V297" s="22" t="s">
        <v>491</v>
      </c>
      <c r="W297" s="23" t="s">
        <v>502</v>
      </c>
      <c r="X297" s="21">
        <v>982</v>
      </c>
      <c r="Y297" s="21">
        <v>493</v>
      </c>
      <c r="Z297" s="21">
        <v>487</v>
      </c>
      <c r="AA297" s="21">
        <f t="shared" si="13"/>
        <v>12</v>
      </c>
      <c r="AB297" s="24">
        <f t="shared" si="14"/>
        <v>70.162932790224033</v>
      </c>
    </row>
    <row r="298" spans="1:28" ht="37.5" customHeight="1" x14ac:dyDescent="0.25">
      <c r="A298" s="15">
        <v>296</v>
      </c>
      <c r="B298" s="15">
        <v>497</v>
      </c>
      <c r="C298" s="15">
        <v>200</v>
      </c>
      <c r="D298" s="15">
        <v>11</v>
      </c>
      <c r="E298" s="15">
        <v>0</v>
      </c>
      <c r="F298" s="15">
        <v>1</v>
      </c>
      <c r="G298" s="15">
        <v>1</v>
      </c>
      <c r="H298" s="15">
        <v>1</v>
      </c>
      <c r="I298" s="15">
        <v>0</v>
      </c>
      <c r="J298" s="15">
        <v>1</v>
      </c>
      <c r="K298" s="15">
        <v>0</v>
      </c>
      <c r="L298" s="15">
        <v>0</v>
      </c>
      <c r="M298" s="15">
        <v>1</v>
      </c>
      <c r="N298" s="15">
        <v>1</v>
      </c>
      <c r="O298" s="15">
        <v>3</v>
      </c>
      <c r="P298" s="15">
        <v>717</v>
      </c>
      <c r="Q298" s="16">
        <v>0</v>
      </c>
      <c r="R298" s="15">
        <v>9</v>
      </c>
      <c r="S298" s="15">
        <f t="shared" si="12"/>
        <v>726</v>
      </c>
      <c r="T298" s="15">
        <v>0</v>
      </c>
      <c r="U298" s="17">
        <v>295</v>
      </c>
      <c r="V298" s="17" t="s">
        <v>491</v>
      </c>
      <c r="W298" s="18" t="s">
        <v>503</v>
      </c>
      <c r="X298" s="16">
        <v>1108</v>
      </c>
      <c r="Y298" s="16">
        <v>554</v>
      </c>
      <c r="Z298" s="16">
        <v>542</v>
      </c>
      <c r="AA298" s="16">
        <f t="shared" si="13"/>
        <v>297</v>
      </c>
      <c r="AB298" s="19">
        <f t="shared" si="14"/>
        <v>65.523465703971112</v>
      </c>
    </row>
    <row r="299" spans="1:28" ht="37.5" customHeight="1" x14ac:dyDescent="0.25">
      <c r="A299" s="15">
        <v>297</v>
      </c>
      <c r="B299" s="15">
        <v>461</v>
      </c>
      <c r="C299" s="15">
        <v>270</v>
      </c>
      <c r="D299" s="15">
        <v>48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4</v>
      </c>
      <c r="L299" s="15">
        <v>4</v>
      </c>
      <c r="M299" s="15">
        <v>2</v>
      </c>
      <c r="N299" s="15">
        <v>4</v>
      </c>
      <c r="O299" s="15">
        <v>6</v>
      </c>
      <c r="P299" s="15">
        <v>799</v>
      </c>
      <c r="Q299" s="16">
        <v>0</v>
      </c>
      <c r="R299" s="15">
        <v>18</v>
      </c>
      <c r="S299" s="15">
        <f t="shared" si="12"/>
        <v>817</v>
      </c>
      <c r="T299" s="15">
        <v>0</v>
      </c>
      <c r="U299" s="17">
        <v>296</v>
      </c>
      <c r="V299" s="17" t="s">
        <v>491</v>
      </c>
      <c r="W299" s="18" t="s">
        <v>504</v>
      </c>
      <c r="X299" s="16">
        <v>891</v>
      </c>
      <c r="Y299" s="16">
        <v>460</v>
      </c>
      <c r="Z299" s="16">
        <v>426</v>
      </c>
      <c r="AA299" s="16">
        <f t="shared" si="13"/>
        <v>191</v>
      </c>
      <c r="AB299" s="19">
        <f t="shared" si="14"/>
        <v>91.694725028058372</v>
      </c>
    </row>
    <row r="300" spans="1:28" ht="37.5" customHeight="1" x14ac:dyDescent="0.25">
      <c r="A300" s="15">
        <v>298</v>
      </c>
      <c r="B300" s="15">
        <v>535</v>
      </c>
      <c r="C300" s="15">
        <v>156</v>
      </c>
      <c r="D300" s="15">
        <v>40</v>
      </c>
      <c r="E300" s="15">
        <v>0</v>
      </c>
      <c r="F300" s="15">
        <v>0</v>
      </c>
      <c r="G300" s="15">
        <v>2</v>
      </c>
      <c r="H300" s="15">
        <v>0</v>
      </c>
      <c r="I300" s="15">
        <v>0</v>
      </c>
      <c r="J300" s="15">
        <v>0</v>
      </c>
      <c r="K300" s="15">
        <v>0</v>
      </c>
      <c r="L300" s="15">
        <v>8</v>
      </c>
      <c r="M300" s="15">
        <v>1</v>
      </c>
      <c r="N300" s="15">
        <v>2</v>
      </c>
      <c r="O300" s="15">
        <v>2</v>
      </c>
      <c r="P300" s="15">
        <v>746</v>
      </c>
      <c r="Q300" s="16">
        <v>0</v>
      </c>
      <c r="R300" s="15">
        <v>7</v>
      </c>
      <c r="S300" s="15">
        <f t="shared" si="12"/>
        <v>753</v>
      </c>
      <c r="T300" s="15">
        <v>0</v>
      </c>
      <c r="U300" s="17">
        <v>297</v>
      </c>
      <c r="V300" s="17" t="s">
        <v>491</v>
      </c>
      <c r="W300" s="18" t="s">
        <v>505</v>
      </c>
      <c r="X300" s="16">
        <v>1031</v>
      </c>
      <c r="Y300" s="16">
        <v>534</v>
      </c>
      <c r="Z300" s="16">
        <v>484</v>
      </c>
      <c r="AA300" s="16">
        <f t="shared" si="13"/>
        <v>379</v>
      </c>
      <c r="AB300" s="19">
        <f t="shared" si="14"/>
        <v>73.035887487875854</v>
      </c>
    </row>
    <row r="301" spans="1:28" ht="37.5" customHeight="1" x14ac:dyDescent="0.25">
      <c r="A301" s="20">
        <v>299</v>
      </c>
      <c r="B301" s="20">
        <v>185</v>
      </c>
      <c r="C301" s="20">
        <v>434</v>
      </c>
      <c r="D301" s="20">
        <v>95</v>
      </c>
      <c r="E301" s="20">
        <v>0</v>
      </c>
      <c r="F301" s="20">
        <v>0</v>
      </c>
      <c r="G301" s="20">
        <v>0</v>
      </c>
      <c r="H301" s="20">
        <v>0</v>
      </c>
      <c r="I301" s="20">
        <v>1</v>
      </c>
      <c r="J301" s="20">
        <v>2</v>
      </c>
      <c r="K301" s="20">
        <v>1</v>
      </c>
      <c r="L301" s="20">
        <v>1</v>
      </c>
      <c r="M301" s="20">
        <v>0</v>
      </c>
      <c r="N301" s="20">
        <v>1</v>
      </c>
      <c r="O301" s="20">
        <v>1</v>
      </c>
      <c r="P301" s="20">
        <v>721</v>
      </c>
      <c r="Q301" s="21">
        <v>0</v>
      </c>
      <c r="R301" s="20">
        <v>4</v>
      </c>
      <c r="S301" s="20">
        <f t="shared" si="12"/>
        <v>725</v>
      </c>
      <c r="T301" s="20">
        <v>0</v>
      </c>
      <c r="U301" s="22">
        <v>298</v>
      </c>
      <c r="V301" s="22" t="s">
        <v>506</v>
      </c>
      <c r="W301" s="23" t="s">
        <v>507</v>
      </c>
      <c r="X301" s="21">
        <v>897</v>
      </c>
      <c r="Y301" s="21">
        <v>457</v>
      </c>
      <c r="Z301" s="21">
        <v>440</v>
      </c>
      <c r="AA301" s="21">
        <f t="shared" si="13"/>
        <v>249</v>
      </c>
      <c r="AB301" s="24">
        <f t="shared" si="14"/>
        <v>80.82497212931996</v>
      </c>
    </row>
    <row r="302" spans="1:28" ht="37.5" customHeight="1" x14ac:dyDescent="0.25">
      <c r="A302" s="20">
        <v>300</v>
      </c>
      <c r="B302" s="20">
        <v>127</v>
      </c>
      <c r="C302" s="20">
        <v>235</v>
      </c>
      <c r="D302" s="20">
        <v>162</v>
      </c>
      <c r="E302" s="20">
        <v>4</v>
      </c>
      <c r="F302" s="20">
        <v>1</v>
      </c>
      <c r="G302" s="20">
        <v>1</v>
      </c>
      <c r="H302" s="20">
        <v>3</v>
      </c>
      <c r="I302" s="20">
        <v>1</v>
      </c>
      <c r="J302" s="20">
        <v>0</v>
      </c>
      <c r="K302" s="20">
        <v>0</v>
      </c>
      <c r="L302" s="20">
        <v>1</v>
      </c>
      <c r="M302" s="20">
        <v>1</v>
      </c>
      <c r="N302" s="20">
        <v>4</v>
      </c>
      <c r="O302" s="20">
        <v>2</v>
      </c>
      <c r="P302" s="20">
        <v>542</v>
      </c>
      <c r="Q302" s="21">
        <v>0</v>
      </c>
      <c r="R302" s="20">
        <v>0</v>
      </c>
      <c r="S302" s="20">
        <f t="shared" si="12"/>
        <v>542</v>
      </c>
      <c r="T302" s="20">
        <v>0</v>
      </c>
      <c r="U302" s="22">
        <v>299</v>
      </c>
      <c r="V302" s="22" t="s">
        <v>508</v>
      </c>
      <c r="W302" s="23" t="s">
        <v>509</v>
      </c>
      <c r="X302" s="21">
        <v>830</v>
      </c>
      <c r="Y302" s="21">
        <v>437</v>
      </c>
      <c r="Z302" s="21">
        <v>391</v>
      </c>
      <c r="AA302" s="21">
        <f t="shared" si="13"/>
        <v>108</v>
      </c>
      <c r="AB302" s="24">
        <f t="shared" si="14"/>
        <v>65.301204819277103</v>
      </c>
    </row>
    <row r="303" spans="1:28" ht="37.5" customHeight="1" x14ac:dyDescent="0.25">
      <c r="A303" s="20">
        <v>301</v>
      </c>
      <c r="B303" s="20">
        <v>188</v>
      </c>
      <c r="C303" s="20">
        <v>420</v>
      </c>
      <c r="D303" s="20">
        <v>83</v>
      </c>
      <c r="E303" s="20">
        <v>3</v>
      </c>
      <c r="F303" s="20">
        <v>1</v>
      </c>
      <c r="G303" s="20">
        <v>3</v>
      </c>
      <c r="H303" s="20">
        <v>2</v>
      </c>
      <c r="I303" s="20">
        <v>1</v>
      </c>
      <c r="J303" s="20">
        <v>3</v>
      </c>
      <c r="K303" s="20">
        <v>1</v>
      </c>
      <c r="L303" s="20">
        <v>7</v>
      </c>
      <c r="M303" s="20">
        <v>7</v>
      </c>
      <c r="N303" s="20">
        <v>3</v>
      </c>
      <c r="O303" s="20">
        <v>5</v>
      </c>
      <c r="P303" s="20">
        <v>727</v>
      </c>
      <c r="Q303" s="21">
        <v>0</v>
      </c>
      <c r="R303" s="20">
        <v>11</v>
      </c>
      <c r="S303" s="20">
        <f t="shared" si="12"/>
        <v>738</v>
      </c>
      <c r="T303" s="20">
        <v>0</v>
      </c>
      <c r="U303" s="22">
        <v>300</v>
      </c>
      <c r="V303" s="22" t="s">
        <v>510</v>
      </c>
      <c r="W303" s="23" t="s">
        <v>511</v>
      </c>
      <c r="X303" s="21">
        <v>618</v>
      </c>
      <c r="Y303" s="21">
        <v>314</v>
      </c>
      <c r="Z303" s="21">
        <v>303</v>
      </c>
      <c r="AA303" s="21">
        <f t="shared" si="13"/>
        <v>232</v>
      </c>
      <c r="AB303" s="24">
        <f t="shared" si="14"/>
        <v>119.41747572815532</v>
      </c>
    </row>
    <row r="304" spans="1:28" ht="37.5" customHeight="1" x14ac:dyDescent="0.25">
      <c r="A304" s="20">
        <v>302</v>
      </c>
      <c r="B304" s="20">
        <v>203</v>
      </c>
      <c r="C304" s="20">
        <v>430</v>
      </c>
      <c r="D304" s="20">
        <v>20</v>
      </c>
      <c r="E304" s="20">
        <v>3</v>
      </c>
      <c r="F304" s="20">
        <v>0</v>
      </c>
      <c r="G304" s="20">
        <v>0</v>
      </c>
      <c r="H304" s="20">
        <v>1</v>
      </c>
      <c r="I304" s="20">
        <v>1</v>
      </c>
      <c r="J304" s="20">
        <v>0</v>
      </c>
      <c r="K304" s="20">
        <v>1</v>
      </c>
      <c r="L304" s="20">
        <v>1</v>
      </c>
      <c r="M304" s="20">
        <v>0</v>
      </c>
      <c r="N304" s="20">
        <v>0</v>
      </c>
      <c r="O304" s="20">
        <v>1</v>
      </c>
      <c r="P304" s="20">
        <v>661</v>
      </c>
      <c r="Q304" s="21">
        <v>0</v>
      </c>
      <c r="R304" s="20">
        <v>1</v>
      </c>
      <c r="S304" s="20">
        <f t="shared" si="12"/>
        <v>662</v>
      </c>
      <c r="T304" s="20">
        <v>0</v>
      </c>
      <c r="U304" s="22">
        <v>301</v>
      </c>
      <c r="V304" s="22" t="s">
        <v>512</v>
      </c>
      <c r="W304" s="23" t="s">
        <v>513</v>
      </c>
      <c r="X304" s="21">
        <v>943</v>
      </c>
      <c r="Y304" s="21">
        <v>493</v>
      </c>
      <c r="Z304" s="21">
        <v>444</v>
      </c>
      <c r="AA304" s="21">
        <f t="shared" si="13"/>
        <v>227</v>
      </c>
      <c r="AB304" s="24">
        <f t="shared" si="14"/>
        <v>70.201484623541887</v>
      </c>
    </row>
    <row r="305" spans="1:28" ht="37.5" customHeight="1" x14ac:dyDescent="0.25">
      <c r="A305" s="20">
        <v>303</v>
      </c>
      <c r="B305" s="20">
        <v>165</v>
      </c>
      <c r="C305" s="20">
        <v>173</v>
      </c>
      <c r="D305" s="20">
        <v>42</v>
      </c>
      <c r="E305" s="20">
        <v>0</v>
      </c>
      <c r="F305" s="20">
        <v>0</v>
      </c>
      <c r="G305" s="20">
        <v>0</v>
      </c>
      <c r="H305" s="20">
        <v>1</v>
      </c>
      <c r="I305" s="20">
        <v>0</v>
      </c>
      <c r="J305" s="20">
        <v>0</v>
      </c>
      <c r="K305" s="21">
        <v>1</v>
      </c>
      <c r="L305" s="20">
        <v>0</v>
      </c>
      <c r="M305" s="20">
        <v>0</v>
      </c>
      <c r="N305" s="20">
        <v>2</v>
      </c>
      <c r="O305" s="20">
        <v>4</v>
      </c>
      <c r="P305" s="20">
        <v>388</v>
      </c>
      <c r="Q305" s="21">
        <v>0</v>
      </c>
      <c r="R305" s="20">
        <v>1</v>
      </c>
      <c r="S305" s="20">
        <f t="shared" si="12"/>
        <v>389</v>
      </c>
      <c r="T305" s="20">
        <v>0</v>
      </c>
      <c r="U305" s="22">
        <v>302</v>
      </c>
      <c r="V305" s="22" t="s">
        <v>514</v>
      </c>
      <c r="W305" s="23" t="s">
        <v>515</v>
      </c>
      <c r="X305" s="21">
        <v>747</v>
      </c>
      <c r="Y305" s="21">
        <v>367</v>
      </c>
      <c r="Z305" s="21">
        <v>378</v>
      </c>
      <c r="AA305" s="21">
        <f t="shared" si="13"/>
        <v>8</v>
      </c>
      <c r="AB305" s="24">
        <f t="shared" si="14"/>
        <v>52.074966532797859</v>
      </c>
    </row>
    <row r="306" spans="1:28" ht="37.5" customHeight="1" x14ac:dyDescent="0.25">
      <c r="A306" s="20">
        <v>304</v>
      </c>
      <c r="B306" s="20">
        <v>185</v>
      </c>
      <c r="C306" s="20">
        <v>521</v>
      </c>
      <c r="D306" s="20">
        <v>12</v>
      </c>
      <c r="E306" s="20">
        <v>0</v>
      </c>
      <c r="F306" s="20">
        <v>1</v>
      </c>
      <c r="G306" s="20">
        <v>0</v>
      </c>
      <c r="H306" s="20">
        <v>1</v>
      </c>
      <c r="I306" s="20">
        <v>0</v>
      </c>
      <c r="J306" s="20">
        <v>0</v>
      </c>
      <c r="K306" s="20">
        <v>2</v>
      </c>
      <c r="L306" s="20">
        <v>3</v>
      </c>
      <c r="M306" s="20">
        <v>1</v>
      </c>
      <c r="N306" s="20">
        <v>0</v>
      </c>
      <c r="O306" s="20">
        <v>3</v>
      </c>
      <c r="P306" s="20">
        <v>729</v>
      </c>
      <c r="Q306" s="21">
        <v>0</v>
      </c>
      <c r="R306" s="20">
        <v>2</v>
      </c>
      <c r="S306" s="20">
        <f t="shared" si="12"/>
        <v>731</v>
      </c>
      <c r="T306" s="20">
        <v>0</v>
      </c>
      <c r="U306" s="22">
        <v>303</v>
      </c>
      <c r="V306" s="22" t="s">
        <v>516</v>
      </c>
      <c r="W306" s="23" t="s">
        <v>517</v>
      </c>
      <c r="X306" s="21">
        <v>416</v>
      </c>
      <c r="Y306" s="21">
        <v>222</v>
      </c>
      <c r="Z306" s="21">
        <v>193</v>
      </c>
      <c r="AA306" s="21">
        <f t="shared" si="13"/>
        <v>336</v>
      </c>
      <c r="AB306" s="24">
        <f t="shared" si="14"/>
        <v>175.72115384615387</v>
      </c>
    </row>
    <row r="307" spans="1:28" ht="37.5" customHeight="1" x14ac:dyDescent="0.25">
      <c r="A307" s="15">
        <v>305</v>
      </c>
      <c r="B307" s="15">
        <v>401</v>
      </c>
      <c r="C307" s="15">
        <v>257</v>
      </c>
      <c r="D307" s="15">
        <v>39</v>
      </c>
      <c r="E307" s="15">
        <v>3</v>
      </c>
      <c r="F307" s="15">
        <v>0</v>
      </c>
      <c r="G307" s="15">
        <v>0</v>
      </c>
      <c r="H307" s="15">
        <v>1</v>
      </c>
      <c r="I307" s="15">
        <v>0</v>
      </c>
      <c r="J307" s="15">
        <v>0</v>
      </c>
      <c r="K307" s="15">
        <v>0</v>
      </c>
      <c r="L307" s="15">
        <v>2</v>
      </c>
      <c r="M307" s="15">
        <v>0</v>
      </c>
      <c r="N307" s="15">
        <v>2</v>
      </c>
      <c r="O307" s="15">
        <v>3</v>
      </c>
      <c r="P307" s="15">
        <v>708</v>
      </c>
      <c r="Q307" s="16">
        <v>0</v>
      </c>
      <c r="R307" s="15">
        <v>9</v>
      </c>
      <c r="S307" s="15">
        <f t="shared" si="12"/>
        <v>717</v>
      </c>
      <c r="T307" s="15">
        <v>0</v>
      </c>
      <c r="U307" s="17">
        <v>304</v>
      </c>
      <c r="V307" s="17" t="s">
        <v>518</v>
      </c>
      <c r="W307" s="18" t="s">
        <v>519</v>
      </c>
      <c r="X307" s="16">
        <v>868</v>
      </c>
      <c r="Y307" s="16">
        <v>455</v>
      </c>
      <c r="Z307" s="16">
        <v>412</v>
      </c>
      <c r="AA307" s="16">
        <f t="shared" si="13"/>
        <v>144</v>
      </c>
      <c r="AB307" s="19">
        <f t="shared" si="14"/>
        <v>82.603686635944698</v>
      </c>
    </row>
    <row r="308" spans="1:28" ht="37.5" customHeight="1" x14ac:dyDescent="0.25">
      <c r="A308" s="20">
        <v>306</v>
      </c>
      <c r="B308" s="20">
        <v>71</v>
      </c>
      <c r="C308" s="20">
        <v>501</v>
      </c>
      <c r="D308" s="20">
        <v>59</v>
      </c>
      <c r="E308" s="20">
        <v>2</v>
      </c>
      <c r="F308" s="20">
        <v>0</v>
      </c>
      <c r="G308" s="20">
        <v>1</v>
      </c>
      <c r="H308" s="20">
        <v>2</v>
      </c>
      <c r="I308" s="20">
        <v>1</v>
      </c>
      <c r="J308" s="20">
        <v>0</v>
      </c>
      <c r="K308" s="20">
        <v>0</v>
      </c>
      <c r="L308" s="20">
        <v>1</v>
      </c>
      <c r="M308" s="20">
        <v>1</v>
      </c>
      <c r="N308" s="20">
        <v>1</v>
      </c>
      <c r="O308" s="20">
        <v>0</v>
      </c>
      <c r="P308" s="20">
        <v>640</v>
      </c>
      <c r="Q308" s="21">
        <v>0</v>
      </c>
      <c r="R308" s="20">
        <v>4</v>
      </c>
      <c r="S308" s="20">
        <f t="shared" si="12"/>
        <v>644</v>
      </c>
      <c r="T308" s="20">
        <v>0</v>
      </c>
      <c r="U308" s="22">
        <v>305</v>
      </c>
      <c r="V308" s="22" t="s">
        <v>520</v>
      </c>
      <c r="W308" s="23" t="s">
        <v>521</v>
      </c>
      <c r="X308" s="21">
        <v>882</v>
      </c>
      <c r="Y308" s="21">
        <v>468</v>
      </c>
      <c r="Z308" s="21">
        <v>413</v>
      </c>
      <c r="AA308" s="21">
        <f t="shared" si="13"/>
        <v>430</v>
      </c>
      <c r="AB308" s="24">
        <f t="shared" si="14"/>
        <v>73.015873015873012</v>
      </c>
    </row>
    <row r="309" spans="1:28" ht="37.5" customHeight="1" x14ac:dyDescent="0.25">
      <c r="A309" s="20">
        <v>307</v>
      </c>
      <c r="B309" s="20">
        <v>248</v>
      </c>
      <c r="C309" s="20">
        <v>273</v>
      </c>
      <c r="D309" s="20">
        <v>24</v>
      </c>
      <c r="E309" s="20">
        <v>0</v>
      </c>
      <c r="F309" s="20">
        <v>1</v>
      </c>
      <c r="G309" s="20">
        <v>0</v>
      </c>
      <c r="H309" s="20">
        <v>0</v>
      </c>
      <c r="I309" s="20">
        <v>1</v>
      </c>
      <c r="J309" s="20">
        <v>1</v>
      </c>
      <c r="K309" s="20">
        <v>0</v>
      </c>
      <c r="L309" s="20">
        <v>2</v>
      </c>
      <c r="M309" s="20">
        <v>1</v>
      </c>
      <c r="N309" s="20">
        <v>0</v>
      </c>
      <c r="O309" s="20">
        <v>1</v>
      </c>
      <c r="P309" s="20">
        <v>552</v>
      </c>
      <c r="Q309" s="21">
        <v>0</v>
      </c>
      <c r="R309" s="20">
        <v>7</v>
      </c>
      <c r="S309" s="20">
        <f t="shared" si="12"/>
        <v>559</v>
      </c>
      <c r="T309" s="20">
        <v>0</v>
      </c>
      <c r="U309" s="22">
        <v>306</v>
      </c>
      <c r="V309" s="22" t="s">
        <v>522</v>
      </c>
      <c r="W309" s="23" t="s">
        <v>523</v>
      </c>
      <c r="X309" s="21">
        <v>731</v>
      </c>
      <c r="Y309" s="21">
        <v>373</v>
      </c>
      <c r="Z309" s="21">
        <v>354</v>
      </c>
      <c r="AA309" s="21">
        <f t="shared" si="13"/>
        <v>25</v>
      </c>
      <c r="AB309" s="24">
        <f t="shared" si="14"/>
        <v>76.470588235294116</v>
      </c>
    </row>
    <row r="310" spans="1:28" ht="37.5" customHeight="1" x14ac:dyDescent="0.25">
      <c r="A310" s="20">
        <v>308</v>
      </c>
      <c r="B310" s="20">
        <v>205</v>
      </c>
      <c r="C310" s="20">
        <v>383</v>
      </c>
      <c r="D310" s="20">
        <v>14</v>
      </c>
      <c r="E310" s="20">
        <v>1</v>
      </c>
      <c r="F310" s="20">
        <v>2</v>
      </c>
      <c r="G310" s="20">
        <v>0</v>
      </c>
      <c r="H310" s="20">
        <v>2</v>
      </c>
      <c r="I310" s="20">
        <v>1</v>
      </c>
      <c r="J310" s="21">
        <v>0</v>
      </c>
      <c r="K310" s="20">
        <v>1</v>
      </c>
      <c r="L310" s="20">
        <v>10</v>
      </c>
      <c r="M310" s="20">
        <v>1</v>
      </c>
      <c r="N310" s="20">
        <v>0</v>
      </c>
      <c r="O310" s="20">
        <v>6</v>
      </c>
      <c r="P310" s="20">
        <v>626</v>
      </c>
      <c r="Q310" s="21">
        <v>0</v>
      </c>
      <c r="R310" s="20">
        <v>14</v>
      </c>
      <c r="S310" s="20">
        <f t="shared" si="12"/>
        <v>640</v>
      </c>
      <c r="T310" s="20">
        <v>0</v>
      </c>
      <c r="U310" s="22">
        <v>307</v>
      </c>
      <c r="V310" s="22" t="s">
        <v>524</v>
      </c>
      <c r="W310" s="23" t="s">
        <v>525</v>
      </c>
      <c r="X310" s="21">
        <v>700</v>
      </c>
      <c r="Y310" s="21">
        <v>362</v>
      </c>
      <c r="Z310" s="21">
        <v>336</v>
      </c>
      <c r="AA310" s="21">
        <f t="shared" si="13"/>
        <v>178</v>
      </c>
      <c r="AB310" s="24">
        <f t="shared" si="14"/>
        <v>91.428571428571431</v>
      </c>
    </row>
    <row r="311" spans="1:28" ht="37.5" customHeight="1" x14ac:dyDescent="0.25">
      <c r="A311" s="15">
        <v>309</v>
      </c>
      <c r="B311" s="15">
        <v>350</v>
      </c>
      <c r="C311" s="15">
        <v>218</v>
      </c>
      <c r="D311" s="15">
        <v>99</v>
      </c>
      <c r="E311" s="15">
        <v>3</v>
      </c>
      <c r="F311" s="15">
        <v>0</v>
      </c>
      <c r="G311" s="15">
        <v>0</v>
      </c>
      <c r="H311" s="15">
        <v>0</v>
      </c>
      <c r="I311" s="15">
        <v>0</v>
      </c>
      <c r="J311" s="15">
        <v>2</v>
      </c>
      <c r="K311" s="15">
        <v>1</v>
      </c>
      <c r="L311" s="15">
        <v>9</v>
      </c>
      <c r="M311" s="15">
        <v>2</v>
      </c>
      <c r="N311" s="15">
        <v>3</v>
      </c>
      <c r="O311" s="15">
        <v>0</v>
      </c>
      <c r="P311" s="15">
        <v>687</v>
      </c>
      <c r="Q311" s="16">
        <v>0</v>
      </c>
      <c r="R311" s="15">
        <v>5</v>
      </c>
      <c r="S311" s="15">
        <f t="shared" si="12"/>
        <v>692</v>
      </c>
      <c r="T311" s="15">
        <v>0</v>
      </c>
      <c r="U311" s="17">
        <v>308</v>
      </c>
      <c r="V311" s="17" t="s">
        <v>524</v>
      </c>
      <c r="W311" s="18" t="s">
        <v>526</v>
      </c>
      <c r="X311" s="16">
        <v>747</v>
      </c>
      <c r="Y311" s="16">
        <v>365</v>
      </c>
      <c r="Z311" s="16">
        <v>379</v>
      </c>
      <c r="AA311" s="16">
        <f t="shared" si="13"/>
        <v>132</v>
      </c>
      <c r="AB311" s="19">
        <f t="shared" si="14"/>
        <v>92.637215528781795</v>
      </c>
    </row>
    <row r="312" spans="1:28" ht="37.5" customHeight="1" x14ac:dyDescent="0.25">
      <c r="A312" s="20">
        <v>310</v>
      </c>
      <c r="B312" s="20">
        <v>110</v>
      </c>
      <c r="C312" s="20">
        <v>339</v>
      </c>
      <c r="D312" s="20">
        <v>201</v>
      </c>
      <c r="E312" s="20">
        <v>3</v>
      </c>
      <c r="F312" s="20">
        <v>1</v>
      </c>
      <c r="G312" s="20">
        <v>0</v>
      </c>
      <c r="H312" s="20">
        <v>1</v>
      </c>
      <c r="I312" s="20">
        <v>0</v>
      </c>
      <c r="J312" s="20">
        <v>1</v>
      </c>
      <c r="K312" s="21">
        <v>0</v>
      </c>
      <c r="L312" s="20">
        <v>0</v>
      </c>
      <c r="M312" s="20">
        <v>1</v>
      </c>
      <c r="N312" s="20">
        <v>1</v>
      </c>
      <c r="O312" s="20">
        <v>2</v>
      </c>
      <c r="P312" s="20">
        <v>660</v>
      </c>
      <c r="Q312" s="21">
        <v>0</v>
      </c>
      <c r="R312" s="20">
        <v>5</v>
      </c>
      <c r="S312" s="20">
        <f t="shared" si="12"/>
        <v>665</v>
      </c>
      <c r="T312" s="20">
        <v>0</v>
      </c>
      <c r="U312" s="22">
        <v>309</v>
      </c>
      <c r="V312" s="22" t="s">
        <v>527</v>
      </c>
      <c r="W312" s="23" t="s">
        <v>528</v>
      </c>
      <c r="X312" s="21">
        <v>873</v>
      </c>
      <c r="Y312" s="21">
        <v>442</v>
      </c>
      <c r="Z312" s="21">
        <v>428</v>
      </c>
      <c r="AA312" s="21">
        <f t="shared" si="13"/>
        <v>229</v>
      </c>
      <c r="AB312" s="24">
        <f t="shared" si="14"/>
        <v>76.174112256586483</v>
      </c>
    </row>
    <row r="313" spans="1:28" ht="37.5" customHeight="1" x14ac:dyDescent="0.25">
      <c r="A313" s="20">
        <v>311</v>
      </c>
      <c r="B313" s="20">
        <v>185</v>
      </c>
      <c r="C313" s="20">
        <v>356</v>
      </c>
      <c r="D313" s="20">
        <v>160</v>
      </c>
      <c r="E313" s="20">
        <v>3</v>
      </c>
      <c r="F313" s="20">
        <v>2</v>
      </c>
      <c r="G313" s="20">
        <v>0</v>
      </c>
      <c r="H313" s="20">
        <v>2</v>
      </c>
      <c r="I313" s="20">
        <v>0</v>
      </c>
      <c r="J313" s="20">
        <v>1</v>
      </c>
      <c r="K313" s="20">
        <v>2</v>
      </c>
      <c r="L313" s="20">
        <v>2</v>
      </c>
      <c r="M313" s="20">
        <v>4</v>
      </c>
      <c r="N313" s="20">
        <v>1</v>
      </c>
      <c r="O313" s="20">
        <v>3</v>
      </c>
      <c r="P313" s="20">
        <v>721</v>
      </c>
      <c r="Q313" s="21">
        <v>0</v>
      </c>
      <c r="R313" s="20">
        <v>3</v>
      </c>
      <c r="S313" s="20">
        <f t="shared" si="12"/>
        <v>724</v>
      </c>
      <c r="T313" s="20">
        <v>0</v>
      </c>
      <c r="U313" s="22">
        <v>310</v>
      </c>
      <c r="V313" s="22" t="s">
        <v>529</v>
      </c>
      <c r="W313" s="23" t="s">
        <v>530</v>
      </c>
      <c r="X313" s="21">
        <v>750</v>
      </c>
      <c r="Y313" s="21">
        <v>377</v>
      </c>
      <c r="Z313" s="21">
        <v>373</v>
      </c>
      <c r="AA313" s="21">
        <f t="shared" si="13"/>
        <v>171</v>
      </c>
      <c r="AB313" s="24">
        <f t="shared" si="14"/>
        <v>96.533333333333331</v>
      </c>
    </row>
    <row r="314" spans="1:28" ht="37.5" customHeight="1" x14ac:dyDescent="0.25">
      <c r="A314" s="20">
        <v>312</v>
      </c>
      <c r="B314" s="20">
        <v>46</v>
      </c>
      <c r="C314" s="20">
        <v>222</v>
      </c>
      <c r="D314" s="20">
        <v>26</v>
      </c>
      <c r="E314" s="20">
        <v>0</v>
      </c>
      <c r="F314" s="20">
        <v>0</v>
      </c>
      <c r="G314" s="20">
        <v>0</v>
      </c>
      <c r="H314" s="20">
        <v>0</v>
      </c>
      <c r="I314" s="20">
        <v>1</v>
      </c>
      <c r="J314" s="20">
        <v>0</v>
      </c>
      <c r="K314" s="20">
        <v>1</v>
      </c>
      <c r="L314" s="20">
        <v>1</v>
      </c>
      <c r="M314" s="20">
        <v>1</v>
      </c>
      <c r="N314" s="20">
        <v>0</v>
      </c>
      <c r="O314" s="20">
        <v>0</v>
      </c>
      <c r="P314" s="20">
        <v>298</v>
      </c>
      <c r="Q314" s="21">
        <v>0</v>
      </c>
      <c r="R314" s="20">
        <v>1</v>
      </c>
      <c r="S314" s="20">
        <f t="shared" si="12"/>
        <v>299</v>
      </c>
      <c r="T314" s="20">
        <v>0</v>
      </c>
      <c r="U314" s="22">
        <v>311</v>
      </c>
      <c r="V314" s="22" t="s">
        <v>531</v>
      </c>
      <c r="W314" s="23" t="s">
        <v>532</v>
      </c>
      <c r="X314" s="21">
        <v>904</v>
      </c>
      <c r="Y314" s="21">
        <v>491</v>
      </c>
      <c r="Z314" s="21">
        <v>412</v>
      </c>
      <c r="AA314" s="21">
        <f t="shared" si="13"/>
        <v>176</v>
      </c>
      <c r="AB314" s="24">
        <f t="shared" si="14"/>
        <v>33.075221238938049</v>
      </c>
    </row>
    <row r="315" spans="1:28" ht="37.5" customHeight="1" x14ac:dyDescent="0.25">
      <c r="A315" s="20">
        <v>313</v>
      </c>
      <c r="B315" s="20">
        <v>124</v>
      </c>
      <c r="C315" s="20">
        <v>527</v>
      </c>
      <c r="D315" s="20">
        <v>35</v>
      </c>
      <c r="E315" s="20">
        <v>0</v>
      </c>
      <c r="F315" s="20">
        <v>0</v>
      </c>
      <c r="G315" s="20">
        <v>0</v>
      </c>
      <c r="H315" s="20">
        <v>1</v>
      </c>
      <c r="I315" s="20">
        <v>0</v>
      </c>
      <c r="J315" s="20">
        <v>1</v>
      </c>
      <c r="K315" s="20">
        <v>1</v>
      </c>
      <c r="L315" s="20">
        <v>2</v>
      </c>
      <c r="M315" s="20">
        <v>1</v>
      </c>
      <c r="N315" s="20">
        <v>2</v>
      </c>
      <c r="O315" s="20">
        <v>4</v>
      </c>
      <c r="P315" s="20">
        <v>698</v>
      </c>
      <c r="Q315" s="21">
        <v>0</v>
      </c>
      <c r="R315" s="20">
        <v>3</v>
      </c>
      <c r="S315" s="20">
        <f t="shared" si="12"/>
        <v>701</v>
      </c>
      <c r="T315" s="20">
        <v>0</v>
      </c>
      <c r="U315" s="22">
        <v>312</v>
      </c>
      <c r="V315" s="22" t="s">
        <v>417</v>
      </c>
      <c r="W315" s="23" t="s">
        <v>533</v>
      </c>
      <c r="X315" s="21">
        <v>313</v>
      </c>
      <c r="Y315" s="21">
        <v>162</v>
      </c>
      <c r="Z315" s="21">
        <v>150</v>
      </c>
      <c r="AA315" s="21">
        <f t="shared" si="13"/>
        <v>403</v>
      </c>
      <c r="AB315" s="24">
        <f t="shared" si="14"/>
        <v>223.96166134185304</v>
      </c>
    </row>
    <row r="316" spans="1:28" ht="37.5" customHeight="1" x14ac:dyDescent="0.25">
      <c r="A316" s="20">
        <v>314</v>
      </c>
      <c r="B316" s="20">
        <v>153</v>
      </c>
      <c r="C316" s="20">
        <v>260</v>
      </c>
      <c r="D316" s="20">
        <v>7</v>
      </c>
      <c r="E316" s="20">
        <v>1</v>
      </c>
      <c r="F316" s="20">
        <v>2</v>
      </c>
      <c r="G316" s="20">
        <v>1</v>
      </c>
      <c r="H316" s="20">
        <v>2</v>
      </c>
      <c r="I316" s="20">
        <v>0</v>
      </c>
      <c r="J316" s="20">
        <v>1</v>
      </c>
      <c r="K316" s="20">
        <v>0</v>
      </c>
      <c r="L316" s="20">
        <v>1</v>
      </c>
      <c r="M316" s="20">
        <v>2</v>
      </c>
      <c r="N316" s="20">
        <v>0</v>
      </c>
      <c r="O316" s="20">
        <v>2</v>
      </c>
      <c r="P316" s="20">
        <v>432</v>
      </c>
      <c r="Q316" s="21">
        <v>0</v>
      </c>
      <c r="R316" s="20">
        <v>5</v>
      </c>
      <c r="S316" s="20">
        <f t="shared" si="12"/>
        <v>437</v>
      </c>
      <c r="T316" s="20">
        <v>0</v>
      </c>
      <c r="U316" s="22">
        <v>313</v>
      </c>
      <c r="V316" s="22" t="s">
        <v>534</v>
      </c>
      <c r="W316" s="23" t="s">
        <v>535</v>
      </c>
      <c r="X316" s="21">
        <v>853</v>
      </c>
      <c r="Y316" s="21">
        <v>433</v>
      </c>
      <c r="Z316" s="21">
        <v>398</v>
      </c>
      <c r="AA316" s="21">
        <f t="shared" si="13"/>
        <v>107</v>
      </c>
      <c r="AB316" s="24">
        <f t="shared" si="14"/>
        <v>51.230949589683469</v>
      </c>
    </row>
    <row r="317" spans="1:28" ht="37.5" customHeight="1" x14ac:dyDescent="0.25">
      <c r="A317" s="20">
        <v>315</v>
      </c>
      <c r="B317" s="20">
        <v>107</v>
      </c>
      <c r="C317" s="20">
        <v>659</v>
      </c>
      <c r="D317" s="20">
        <v>16</v>
      </c>
      <c r="E317" s="20">
        <v>0</v>
      </c>
      <c r="F317" s="20">
        <v>2</v>
      </c>
      <c r="G317" s="20">
        <v>0</v>
      </c>
      <c r="H317" s="20">
        <v>1</v>
      </c>
      <c r="I317" s="20">
        <v>1</v>
      </c>
      <c r="J317" s="20">
        <v>1</v>
      </c>
      <c r="K317" s="20">
        <v>3</v>
      </c>
      <c r="L317" s="20">
        <v>2</v>
      </c>
      <c r="M317" s="20">
        <v>4</v>
      </c>
      <c r="N317" s="20">
        <v>2</v>
      </c>
      <c r="O317" s="20">
        <v>2</v>
      </c>
      <c r="P317" s="20">
        <v>800</v>
      </c>
      <c r="Q317" s="21">
        <v>0</v>
      </c>
      <c r="R317" s="20">
        <v>10</v>
      </c>
      <c r="S317" s="20">
        <f t="shared" si="12"/>
        <v>810</v>
      </c>
      <c r="T317" s="20">
        <v>0</v>
      </c>
      <c r="U317" s="22">
        <v>314</v>
      </c>
      <c r="V317" s="22" t="s">
        <v>536</v>
      </c>
      <c r="W317" s="23" t="s">
        <v>537</v>
      </c>
      <c r="X317" s="21">
        <v>450</v>
      </c>
      <c r="Y317" s="21">
        <v>241</v>
      </c>
      <c r="Z317" s="21">
        <v>208</v>
      </c>
      <c r="AA317" s="21">
        <f t="shared" si="13"/>
        <v>552</v>
      </c>
      <c r="AB317" s="24">
        <f t="shared" si="14"/>
        <v>180</v>
      </c>
    </row>
    <row r="318" spans="1:28" ht="37.5" customHeight="1" x14ac:dyDescent="0.25">
      <c r="A318" s="15">
        <v>316</v>
      </c>
      <c r="B318" s="15">
        <v>174</v>
      </c>
      <c r="C318" s="15">
        <v>159</v>
      </c>
      <c r="D318" s="15">
        <v>257</v>
      </c>
      <c r="E318" s="15">
        <v>5</v>
      </c>
      <c r="F318" s="15">
        <v>2</v>
      </c>
      <c r="G318" s="15">
        <v>1</v>
      </c>
      <c r="H318" s="15">
        <v>5</v>
      </c>
      <c r="I318" s="15">
        <v>1</v>
      </c>
      <c r="J318" s="15">
        <v>0</v>
      </c>
      <c r="K318" s="15">
        <v>1</v>
      </c>
      <c r="L318" s="15">
        <v>3</v>
      </c>
      <c r="M318" s="15">
        <v>4</v>
      </c>
      <c r="N318" s="15">
        <v>1</v>
      </c>
      <c r="O318" s="15">
        <v>1</v>
      </c>
      <c r="P318" s="15">
        <v>614</v>
      </c>
      <c r="Q318" s="16">
        <v>0</v>
      </c>
      <c r="R318" s="15">
        <v>7</v>
      </c>
      <c r="S318" s="15">
        <f t="shared" si="12"/>
        <v>621</v>
      </c>
      <c r="T318" s="15">
        <v>0</v>
      </c>
      <c r="U318" s="17">
        <v>315</v>
      </c>
      <c r="V318" s="17" t="s">
        <v>538</v>
      </c>
      <c r="W318" s="18" t="s">
        <v>539</v>
      </c>
      <c r="X318" s="16">
        <v>938</v>
      </c>
      <c r="Y318" s="16">
        <v>471</v>
      </c>
      <c r="Z318" s="16">
        <v>463</v>
      </c>
      <c r="AA318" s="16">
        <f t="shared" si="13"/>
        <v>15</v>
      </c>
      <c r="AB318" s="19">
        <f t="shared" si="14"/>
        <v>66.204690831556505</v>
      </c>
    </row>
    <row r="319" spans="1:28" ht="37.5" customHeight="1" x14ac:dyDescent="0.25">
      <c r="A319" s="15">
        <v>317</v>
      </c>
      <c r="B319" s="15">
        <v>142</v>
      </c>
      <c r="C319" s="15">
        <v>47</v>
      </c>
      <c r="D319" s="15">
        <v>221</v>
      </c>
      <c r="E319" s="15">
        <v>3</v>
      </c>
      <c r="F319" s="15">
        <v>3</v>
      </c>
      <c r="G319" s="15">
        <v>0</v>
      </c>
      <c r="H319" s="15">
        <v>1</v>
      </c>
      <c r="I319" s="15">
        <v>0</v>
      </c>
      <c r="J319" s="15">
        <v>0</v>
      </c>
      <c r="K319" s="15">
        <v>1</v>
      </c>
      <c r="L319" s="15">
        <v>2</v>
      </c>
      <c r="M319" s="15">
        <v>0</v>
      </c>
      <c r="N319" s="15">
        <v>1</v>
      </c>
      <c r="O319" s="15">
        <v>2</v>
      </c>
      <c r="P319" s="15">
        <v>423</v>
      </c>
      <c r="Q319" s="16">
        <v>0</v>
      </c>
      <c r="R319" s="15">
        <v>4</v>
      </c>
      <c r="S319" s="15">
        <f t="shared" si="12"/>
        <v>427</v>
      </c>
      <c r="T319" s="15">
        <v>0</v>
      </c>
      <c r="U319" s="17">
        <v>316</v>
      </c>
      <c r="V319" s="17" t="s">
        <v>540</v>
      </c>
      <c r="W319" s="18" t="s">
        <v>541</v>
      </c>
      <c r="X319" s="16">
        <v>718</v>
      </c>
      <c r="Y319" s="16">
        <v>380</v>
      </c>
      <c r="Z319" s="16">
        <v>334</v>
      </c>
      <c r="AA319" s="16">
        <f t="shared" si="13"/>
        <v>95</v>
      </c>
      <c r="AB319" s="19">
        <f t="shared" si="14"/>
        <v>59.470752089136489</v>
      </c>
    </row>
    <row r="320" spans="1:28" ht="37.5" customHeight="1" x14ac:dyDescent="0.25">
      <c r="A320" s="20">
        <v>318</v>
      </c>
      <c r="B320" s="20">
        <v>191</v>
      </c>
      <c r="C320" s="20">
        <v>270</v>
      </c>
      <c r="D320" s="20">
        <v>31</v>
      </c>
      <c r="E320" s="20">
        <v>0</v>
      </c>
      <c r="F320" s="20">
        <v>0</v>
      </c>
      <c r="G320" s="20">
        <v>0</v>
      </c>
      <c r="H320" s="20">
        <v>2</v>
      </c>
      <c r="I320" s="20">
        <v>3</v>
      </c>
      <c r="J320" s="20">
        <v>3</v>
      </c>
      <c r="K320" s="20">
        <v>1</v>
      </c>
      <c r="L320" s="20">
        <v>2</v>
      </c>
      <c r="M320" s="20">
        <v>2</v>
      </c>
      <c r="N320" s="20">
        <v>0</v>
      </c>
      <c r="O320" s="20">
        <v>7</v>
      </c>
      <c r="P320" s="20">
        <v>512</v>
      </c>
      <c r="Q320" s="21">
        <v>0</v>
      </c>
      <c r="R320" s="20">
        <v>6</v>
      </c>
      <c r="S320" s="20">
        <f t="shared" si="12"/>
        <v>518</v>
      </c>
      <c r="T320" s="20">
        <v>0</v>
      </c>
      <c r="U320" s="22">
        <v>317</v>
      </c>
      <c r="V320" s="22" t="s">
        <v>542</v>
      </c>
      <c r="W320" s="23" t="s">
        <v>543</v>
      </c>
      <c r="X320" s="21">
        <v>449</v>
      </c>
      <c r="Y320" s="21">
        <v>228</v>
      </c>
      <c r="Z320" s="21">
        <v>217</v>
      </c>
      <c r="AA320" s="21">
        <f t="shared" si="13"/>
        <v>79</v>
      </c>
      <c r="AB320" s="24">
        <f t="shared" si="14"/>
        <v>115.36748329621381</v>
      </c>
    </row>
    <row r="321" spans="1:28" ht="37.5" customHeight="1" x14ac:dyDescent="0.25">
      <c r="A321" s="20">
        <v>319</v>
      </c>
      <c r="B321" s="20">
        <v>248</v>
      </c>
      <c r="C321" s="20">
        <v>390</v>
      </c>
      <c r="D321" s="20">
        <v>33</v>
      </c>
      <c r="E321" s="20">
        <v>2</v>
      </c>
      <c r="F321" s="20">
        <v>4</v>
      </c>
      <c r="G321" s="20">
        <v>3</v>
      </c>
      <c r="H321" s="20">
        <v>4</v>
      </c>
      <c r="I321" s="20">
        <v>3</v>
      </c>
      <c r="J321" s="20">
        <v>2</v>
      </c>
      <c r="K321" s="20">
        <v>1</v>
      </c>
      <c r="L321" s="20">
        <v>12</v>
      </c>
      <c r="M321" s="20">
        <v>8</v>
      </c>
      <c r="N321" s="20">
        <v>5</v>
      </c>
      <c r="O321" s="20">
        <v>10</v>
      </c>
      <c r="P321" s="20">
        <v>725</v>
      </c>
      <c r="Q321" s="21">
        <v>0</v>
      </c>
      <c r="R321" s="20">
        <v>18</v>
      </c>
      <c r="S321" s="20">
        <f t="shared" si="12"/>
        <v>743</v>
      </c>
      <c r="T321" s="20">
        <v>0</v>
      </c>
      <c r="U321" s="22">
        <v>318</v>
      </c>
      <c r="V321" s="22" t="s">
        <v>371</v>
      </c>
      <c r="W321" s="23" t="s">
        <v>544</v>
      </c>
      <c r="X321" s="21">
        <v>627</v>
      </c>
      <c r="Y321" s="21">
        <v>320</v>
      </c>
      <c r="Z321" s="21">
        <v>307</v>
      </c>
      <c r="AA321" s="21">
        <f t="shared" si="13"/>
        <v>142</v>
      </c>
      <c r="AB321" s="24">
        <f t="shared" si="14"/>
        <v>118.50079744816586</v>
      </c>
    </row>
    <row r="322" spans="1:28" ht="37.5" customHeight="1" x14ac:dyDescent="0.25">
      <c r="A322" s="15">
        <v>320</v>
      </c>
      <c r="B322" s="15">
        <v>256</v>
      </c>
      <c r="C322" s="15">
        <v>174</v>
      </c>
      <c r="D322" s="15">
        <v>117</v>
      </c>
      <c r="E322" s="15">
        <v>1</v>
      </c>
      <c r="F322" s="15">
        <v>2</v>
      </c>
      <c r="G322" s="15">
        <v>0</v>
      </c>
      <c r="H322" s="15">
        <v>0</v>
      </c>
      <c r="I322" s="15">
        <v>1</v>
      </c>
      <c r="J322" s="15">
        <v>1</v>
      </c>
      <c r="K322" s="15">
        <v>0</v>
      </c>
      <c r="L322" s="15">
        <v>1</v>
      </c>
      <c r="M322" s="15">
        <v>1</v>
      </c>
      <c r="N322" s="15">
        <v>4</v>
      </c>
      <c r="O322" s="15">
        <v>0</v>
      </c>
      <c r="P322" s="15">
        <v>558</v>
      </c>
      <c r="Q322" s="16">
        <v>0</v>
      </c>
      <c r="R322" s="15">
        <v>11</v>
      </c>
      <c r="S322" s="15">
        <f t="shared" si="12"/>
        <v>569</v>
      </c>
      <c r="T322" s="15">
        <v>0</v>
      </c>
      <c r="U322" s="17">
        <v>319</v>
      </c>
      <c r="V322" s="17" t="s">
        <v>545</v>
      </c>
      <c r="W322" s="18" t="s">
        <v>546</v>
      </c>
      <c r="X322" s="16">
        <v>951</v>
      </c>
      <c r="Y322" s="16">
        <v>470</v>
      </c>
      <c r="Z322" s="16">
        <v>480</v>
      </c>
      <c r="AA322" s="16">
        <f t="shared" si="13"/>
        <v>82</v>
      </c>
      <c r="AB322" s="19">
        <f t="shared" si="14"/>
        <v>59.831756046267095</v>
      </c>
    </row>
    <row r="323" spans="1:28" ht="37.5" customHeight="1" x14ac:dyDescent="0.25">
      <c r="A323" s="20">
        <v>321</v>
      </c>
      <c r="B323" s="20">
        <v>203</v>
      </c>
      <c r="C323" s="20">
        <v>326</v>
      </c>
      <c r="D323" s="20">
        <v>7</v>
      </c>
      <c r="E323" s="20">
        <v>1</v>
      </c>
      <c r="F323" s="20">
        <v>0</v>
      </c>
      <c r="G323" s="20">
        <v>0</v>
      </c>
      <c r="H323" s="20">
        <v>0</v>
      </c>
      <c r="I323" s="20">
        <v>2</v>
      </c>
      <c r="J323" s="20">
        <v>2</v>
      </c>
      <c r="K323" s="20">
        <v>0</v>
      </c>
      <c r="L323" s="20">
        <v>3</v>
      </c>
      <c r="M323" s="20">
        <v>0</v>
      </c>
      <c r="N323" s="20">
        <v>0</v>
      </c>
      <c r="O323" s="20">
        <v>3</v>
      </c>
      <c r="P323" s="20">
        <v>547</v>
      </c>
      <c r="Q323" s="21">
        <v>0</v>
      </c>
      <c r="R323" s="20">
        <v>11</v>
      </c>
      <c r="S323" s="20">
        <f t="shared" si="12"/>
        <v>558</v>
      </c>
      <c r="T323" s="20">
        <v>0</v>
      </c>
      <c r="U323" s="22">
        <v>320</v>
      </c>
      <c r="V323" s="22" t="s">
        <v>547</v>
      </c>
      <c r="W323" s="23" t="s">
        <v>548</v>
      </c>
      <c r="X323" s="21">
        <v>666</v>
      </c>
      <c r="Y323" s="21">
        <v>340</v>
      </c>
      <c r="Z323" s="21">
        <v>323</v>
      </c>
      <c r="AA323" s="21">
        <f t="shared" si="13"/>
        <v>123</v>
      </c>
      <c r="AB323" s="24">
        <f t="shared" si="14"/>
        <v>83.78378378378379</v>
      </c>
    </row>
    <row r="324" spans="1:28" ht="37.5" customHeight="1" x14ac:dyDescent="0.25">
      <c r="A324" s="20">
        <v>322</v>
      </c>
      <c r="B324" s="20">
        <v>232</v>
      </c>
      <c r="C324" s="20">
        <v>449</v>
      </c>
      <c r="D324" s="20">
        <v>11</v>
      </c>
      <c r="E324" s="20">
        <v>1</v>
      </c>
      <c r="F324" s="20">
        <v>0</v>
      </c>
      <c r="G324" s="20">
        <v>2</v>
      </c>
      <c r="H324" s="20">
        <v>3</v>
      </c>
      <c r="I324" s="20">
        <v>2</v>
      </c>
      <c r="J324" s="20">
        <v>0</v>
      </c>
      <c r="K324" s="20">
        <v>2</v>
      </c>
      <c r="L324" s="20">
        <v>2</v>
      </c>
      <c r="M324" s="20">
        <v>1</v>
      </c>
      <c r="N324" s="20">
        <v>0</v>
      </c>
      <c r="O324" s="20">
        <v>5</v>
      </c>
      <c r="P324" s="20">
        <v>710</v>
      </c>
      <c r="Q324" s="21">
        <v>0</v>
      </c>
      <c r="R324" s="20">
        <v>8</v>
      </c>
      <c r="S324" s="20">
        <f t="shared" ref="S324:S333" si="15">SUM(P324:R324)</f>
        <v>718</v>
      </c>
      <c r="T324" s="20">
        <v>0</v>
      </c>
      <c r="U324" s="22">
        <v>321</v>
      </c>
      <c r="V324" s="22" t="s">
        <v>547</v>
      </c>
      <c r="W324" s="23" t="s">
        <v>549</v>
      </c>
      <c r="X324" s="21">
        <v>661</v>
      </c>
      <c r="Y324" s="21">
        <v>316</v>
      </c>
      <c r="Z324" s="21">
        <v>341</v>
      </c>
      <c r="AA324" s="21">
        <f t="shared" ref="AA324:AA333" si="16">MAX(B324,C324)-MIN(B324,C324)</f>
        <v>217</v>
      </c>
      <c r="AB324" s="24">
        <f t="shared" ref="AB324:AB332" si="17">(S324/X324)*100</f>
        <v>108.62329803328291</v>
      </c>
    </row>
    <row r="325" spans="1:28" ht="37.5" customHeight="1" x14ac:dyDescent="0.25">
      <c r="A325" s="20">
        <v>323</v>
      </c>
      <c r="B325" s="20">
        <v>80</v>
      </c>
      <c r="C325" s="20">
        <v>232</v>
      </c>
      <c r="D325" s="20">
        <v>5</v>
      </c>
      <c r="E325" s="20">
        <v>3</v>
      </c>
      <c r="F325" s="20">
        <v>1</v>
      </c>
      <c r="G325" s="20">
        <v>1</v>
      </c>
      <c r="H325" s="20">
        <v>0</v>
      </c>
      <c r="I325" s="20">
        <v>3</v>
      </c>
      <c r="J325" s="20">
        <v>0</v>
      </c>
      <c r="K325" s="20">
        <v>0</v>
      </c>
      <c r="L325" s="20">
        <v>3</v>
      </c>
      <c r="M325" s="20">
        <v>1</v>
      </c>
      <c r="N325" s="20">
        <v>1</v>
      </c>
      <c r="O325" s="20">
        <v>3</v>
      </c>
      <c r="P325" s="20">
        <v>333</v>
      </c>
      <c r="Q325" s="21">
        <v>0</v>
      </c>
      <c r="R325" s="20">
        <v>13</v>
      </c>
      <c r="S325" s="20">
        <f t="shared" si="15"/>
        <v>346</v>
      </c>
      <c r="T325" s="20">
        <v>0</v>
      </c>
      <c r="U325" s="22">
        <v>322</v>
      </c>
      <c r="V325" s="22" t="s">
        <v>547</v>
      </c>
      <c r="W325" s="23" t="s">
        <v>550</v>
      </c>
      <c r="X325" s="21">
        <v>875</v>
      </c>
      <c r="Y325" s="21">
        <v>447</v>
      </c>
      <c r="Z325" s="21">
        <v>421</v>
      </c>
      <c r="AA325" s="21">
        <f t="shared" si="16"/>
        <v>152</v>
      </c>
      <c r="AB325" s="24">
        <f t="shared" si="17"/>
        <v>39.542857142857137</v>
      </c>
    </row>
    <row r="326" spans="1:28" ht="37.5" customHeight="1" x14ac:dyDescent="0.25">
      <c r="A326" s="20">
        <v>324</v>
      </c>
      <c r="B326" s="20">
        <v>128</v>
      </c>
      <c r="C326" s="20">
        <v>598</v>
      </c>
      <c r="D326" s="20">
        <v>7</v>
      </c>
      <c r="E326" s="20">
        <v>5</v>
      </c>
      <c r="F326" s="20">
        <v>1</v>
      </c>
      <c r="G326" s="20">
        <v>3</v>
      </c>
      <c r="H326" s="20">
        <v>2</v>
      </c>
      <c r="I326" s="20">
        <v>1</v>
      </c>
      <c r="J326" s="20">
        <v>3</v>
      </c>
      <c r="K326" s="20">
        <v>1</v>
      </c>
      <c r="L326" s="20">
        <v>1</v>
      </c>
      <c r="M326" s="20">
        <v>1</v>
      </c>
      <c r="N326" s="20">
        <v>0</v>
      </c>
      <c r="O326" s="20">
        <v>1</v>
      </c>
      <c r="P326" s="20">
        <v>752</v>
      </c>
      <c r="Q326" s="21">
        <v>0</v>
      </c>
      <c r="R326" s="20">
        <v>3</v>
      </c>
      <c r="S326" s="20">
        <f t="shared" si="15"/>
        <v>755</v>
      </c>
      <c r="T326" s="20">
        <v>0</v>
      </c>
      <c r="U326" s="22">
        <v>323</v>
      </c>
      <c r="V326" s="22" t="s">
        <v>551</v>
      </c>
      <c r="W326" s="23" t="s">
        <v>552</v>
      </c>
      <c r="X326" s="21">
        <v>482</v>
      </c>
      <c r="Y326" s="21">
        <v>245</v>
      </c>
      <c r="Z326" s="21">
        <v>236</v>
      </c>
      <c r="AA326" s="21">
        <f t="shared" si="16"/>
        <v>470</v>
      </c>
      <c r="AB326" s="24">
        <f t="shared" si="17"/>
        <v>156.6390041493776</v>
      </c>
    </row>
    <row r="327" spans="1:28" ht="37.5" customHeight="1" x14ac:dyDescent="0.25">
      <c r="A327" s="20">
        <v>325</v>
      </c>
      <c r="B327" s="20">
        <v>146</v>
      </c>
      <c r="C327" s="20">
        <v>375</v>
      </c>
      <c r="D327" s="20">
        <v>70</v>
      </c>
      <c r="E327" s="20">
        <v>1</v>
      </c>
      <c r="F327" s="20">
        <v>0</v>
      </c>
      <c r="G327" s="20">
        <v>0</v>
      </c>
      <c r="H327" s="20">
        <v>0</v>
      </c>
      <c r="I327" s="20">
        <v>2</v>
      </c>
      <c r="J327" s="20">
        <v>2</v>
      </c>
      <c r="K327" s="20">
        <v>0</v>
      </c>
      <c r="L327" s="20">
        <v>5</v>
      </c>
      <c r="M327" s="20">
        <v>0</v>
      </c>
      <c r="N327" s="20">
        <v>1</v>
      </c>
      <c r="O327" s="20">
        <v>2</v>
      </c>
      <c r="P327" s="20">
        <v>604</v>
      </c>
      <c r="Q327" s="21">
        <v>0</v>
      </c>
      <c r="R327" s="20">
        <v>7</v>
      </c>
      <c r="S327" s="20">
        <f t="shared" si="15"/>
        <v>611</v>
      </c>
      <c r="T327" s="20">
        <v>0</v>
      </c>
      <c r="U327" s="22">
        <v>324</v>
      </c>
      <c r="V327" s="22" t="s">
        <v>553</v>
      </c>
      <c r="W327" s="23" t="s">
        <v>554</v>
      </c>
      <c r="X327" s="21">
        <v>945</v>
      </c>
      <c r="Y327" s="21">
        <v>479</v>
      </c>
      <c r="Z327" s="21">
        <v>464</v>
      </c>
      <c r="AA327" s="21">
        <f t="shared" si="16"/>
        <v>229</v>
      </c>
      <c r="AB327" s="24">
        <f t="shared" si="17"/>
        <v>64.656084656084658</v>
      </c>
    </row>
    <row r="328" spans="1:28" ht="37.5" customHeight="1" x14ac:dyDescent="0.25">
      <c r="A328" s="20">
        <v>326</v>
      </c>
      <c r="B328" s="20">
        <v>127</v>
      </c>
      <c r="C328" s="20">
        <v>357</v>
      </c>
      <c r="D328" s="20">
        <v>57</v>
      </c>
      <c r="E328" s="20">
        <v>2</v>
      </c>
      <c r="F328" s="20">
        <v>1</v>
      </c>
      <c r="G328" s="20">
        <v>0</v>
      </c>
      <c r="H328" s="20">
        <v>4</v>
      </c>
      <c r="I328" s="20">
        <v>1</v>
      </c>
      <c r="J328" s="20">
        <v>0</v>
      </c>
      <c r="K328" s="20">
        <v>1</v>
      </c>
      <c r="L328" s="20">
        <v>2</v>
      </c>
      <c r="M328" s="20">
        <v>6</v>
      </c>
      <c r="N328" s="20">
        <v>1</v>
      </c>
      <c r="O328" s="20">
        <v>2</v>
      </c>
      <c r="P328" s="20">
        <v>561</v>
      </c>
      <c r="Q328" s="21">
        <v>0</v>
      </c>
      <c r="R328" s="20">
        <v>6</v>
      </c>
      <c r="S328" s="20">
        <f t="shared" si="15"/>
        <v>567</v>
      </c>
      <c r="T328" s="20">
        <v>0</v>
      </c>
      <c r="U328" s="22">
        <v>325</v>
      </c>
      <c r="V328" s="22" t="s">
        <v>555</v>
      </c>
      <c r="W328" s="23" t="s">
        <v>556</v>
      </c>
      <c r="X328" s="21">
        <v>755</v>
      </c>
      <c r="Y328" s="21">
        <v>401</v>
      </c>
      <c r="Z328" s="21">
        <v>354</v>
      </c>
      <c r="AA328" s="21">
        <f t="shared" si="16"/>
        <v>230</v>
      </c>
      <c r="AB328" s="24">
        <f t="shared" si="17"/>
        <v>75.099337748344368</v>
      </c>
    </row>
    <row r="329" spans="1:28" ht="37.5" customHeight="1" x14ac:dyDescent="0.25">
      <c r="A329" s="20">
        <v>327</v>
      </c>
      <c r="B329" s="20">
        <v>84</v>
      </c>
      <c r="C329" s="20">
        <v>266</v>
      </c>
      <c r="D329" s="20">
        <v>4</v>
      </c>
      <c r="E329" s="20">
        <v>3</v>
      </c>
      <c r="F329" s="20">
        <v>1</v>
      </c>
      <c r="G329" s="20">
        <v>1</v>
      </c>
      <c r="H329" s="20">
        <v>0</v>
      </c>
      <c r="I329" s="20">
        <v>1</v>
      </c>
      <c r="J329" s="20">
        <v>3</v>
      </c>
      <c r="K329" s="20">
        <v>1</v>
      </c>
      <c r="L329" s="20">
        <v>2</v>
      </c>
      <c r="M329" s="20">
        <v>1</v>
      </c>
      <c r="N329" s="20">
        <v>2</v>
      </c>
      <c r="O329" s="20">
        <v>3</v>
      </c>
      <c r="P329" s="20">
        <v>372</v>
      </c>
      <c r="Q329" s="21">
        <v>0</v>
      </c>
      <c r="R329" s="20">
        <v>12</v>
      </c>
      <c r="S329" s="20">
        <f t="shared" si="15"/>
        <v>384</v>
      </c>
      <c r="T329" s="20">
        <v>0</v>
      </c>
      <c r="U329" s="22">
        <v>326</v>
      </c>
      <c r="V329" s="22" t="s">
        <v>557</v>
      </c>
      <c r="W329" s="23" t="s">
        <v>558</v>
      </c>
      <c r="X329" s="21">
        <v>723</v>
      </c>
      <c r="Y329" s="21">
        <v>374</v>
      </c>
      <c r="Z329" s="21">
        <v>344</v>
      </c>
      <c r="AA329" s="21">
        <f t="shared" si="16"/>
        <v>182</v>
      </c>
      <c r="AB329" s="24">
        <f t="shared" si="17"/>
        <v>53.11203319502075</v>
      </c>
    </row>
    <row r="330" spans="1:28" ht="37.5" customHeight="1" x14ac:dyDescent="0.25">
      <c r="A330" s="20">
        <v>328</v>
      </c>
      <c r="B330" s="20">
        <v>40</v>
      </c>
      <c r="C330" s="20">
        <v>56</v>
      </c>
      <c r="D330" s="20">
        <v>3</v>
      </c>
      <c r="E330" s="20">
        <v>2</v>
      </c>
      <c r="F330" s="20">
        <v>0</v>
      </c>
      <c r="G330" s="20">
        <v>0</v>
      </c>
      <c r="H330" s="20">
        <v>1</v>
      </c>
      <c r="I330" s="20">
        <v>1</v>
      </c>
      <c r="J330" s="20">
        <v>0</v>
      </c>
      <c r="K330" s="20">
        <v>2</v>
      </c>
      <c r="L330" s="20">
        <v>6</v>
      </c>
      <c r="M330" s="20">
        <v>1</v>
      </c>
      <c r="N330" s="20">
        <v>1</v>
      </c>
      <c r="O330" s="20">
        <v>2</v>
      </c>
      <c r="P330" s="20">
        <v>115</v>
      </c>
      <c r="Q330" s="21">
        <v>0</v>
      </c>
      <c r="R330" s="20">
        <v>0</v>
      </c>
      <c r="S330" s="20">
        <f t="shared" si="15"/>
        <v>115</v>
      </c>
      <c r="T330" s="20">
        <v>0</v>
      </c>
      <c r="U330" s="22">
        <v>327</v>
      </c>
      <c r="V330" s="22" t="s">
        <v>557</v>
      </c>
      <c r="W330" s="23" t="s">
        <v>559</v>
      </c>
      <c r="X330" s="21">
        <v>519</v>
      </c>
      <c r="Y330" s="21">
        <v>282</v>
      </c>
      <c r="Z330" s="21">
        <v>237</v>
      </c>
      <c r="AA330" s="21">
        <f t="shared" si="16"/>
        <v>16</v>
      </c>
      <c r="AB330" s="24">
        <f t="shared" si="17"/>
        <v>22.157996146435451</v>
      </c>
    </row>
    <row r="331" spans="1:28" ht="37.5" customHeight="1" x14ac:dyDescent="0.25">
      <c r="A331" s="20">
        <v>329</v>
      </c>
      <c r="B331" s="20">
        <v>111</v>
      </c>
      <c r="C331" s="20">
        <v>416</v>
      </c>
      <c r="D331" s="20">
        <v>5</v>
      </c>
      <c r="E331" s="20">
        <v>2</v>
      </c>
      <c r="F331" s="20">
        <v>0</v>
      </c>
      <c r="G331" s="20">
        <v>0</v>
      </c>
      <c r="H331" s="20">
        <v>3</v>
      </c>
      <c r="I331" s="20">
        <v>2</v>
      </c>
      <c r="J331" s="20">
        <v>1</v>
      </c>
      <c r="K331" s="20">
        <v>0</v>
      </c>
      <c r="L331" s="20">
        <v>1</v>
      </c>
      <c r="M331" s="20">
        <v>1</v>
      </c>
      <c r="N331" s="20">
        <v>1</v>
      </c>
      <c r="O331" s="20">
        <v>2</v>
      </c>
      <c r="P331" s="20">
        <v>545</v>
      </c>
      <c r="Q331" s="21">
        <v>0</v>
      </c>
      <c r="R331" s="20">
        <v>6</v>
      </c>
      <c r="S331" s="20">
        <f t="shared" si="15"/>
        <v>551</v>
      </c>
      <c r="T331" s="20">
        <v>0</v>
      </c>
      <c r="U331" s="22">
        <v>328</v>
      </c>
      <c r="V331" s="22" t="s">
        <v>510</v>
      </c>
      <c r="W331" s="23" t="s">
        <v>560</v>
      </c>
      <c r="X331" s="21">
        <v>327</v>
      </c>
      <c r="Y331" s="21">
        <v>181</v>
      </c>
      <c r="Z331" s="21">
        <v>146</v>
      </c>
      <c r="AA331" s="21">
        <f t="shared" si="16"/>
        <v>305</v>
      </c>
      <c r="AB331" s="24">
        <f t="shared" si="17"/>
        <v>168.50152905198777</v>
      </c>
    </row>
    <row r="332" spans="1:28" ht="37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>
        <f t="shared" si="15"/>
        <v>0</v>
      </c>
      <c r="T332" s="4"/>
      <c r="U332" s="6">
        <v>329</v>
      </c>
      <c r="V332" s="6" t="s">
        <v>561</v>
      </c>
      <c r="W332" s="7" t="s">
        <v>368</v>
      </c>
      <c r="X332" s="5">
        <v>649</v>
      </c>
      <c r="Y332" s="5">
        <v>332</v>
      </c>
      <c r="Z332" s="5">
        <v>314</v>
      </c>
      <c r="AA332" s="5">
        <f t="shared" si="16"/>
        <v>0</v>
      </c>
      <c r="AB332" s="12">
        <f t="shared" si="17"/>
        <v>0</v>
      </c>
    </row>
    <row r="333" spans="1:28" ht="37.5" customHeight="1" x14ac:dyDescent="0.25">
      <c r="A333" s="4"/>
      <c r="B333" s="4">
        <f t="shared" ref="B333:T333" si="18">SUM(B1:B331)</f>
        <v>85006</v>
      </c>
      <c r="C333" s="4">
        <f t="shared" si="18"/>
        <v>95602</v>
      </c>
      <c r="D333" s="4">
        <f t="shared" si="18"/>
        <v>22833</v>
      </c>
      <c r="E333" s="4">
        <f t="shared" si="18"/>
        <v>729</v>
      </c>
      <c r="F333" s="4">
        <f t="shared" si="18"/>
        <v>233</v>
      </c>
      <c r="G333" s="4">
        <f t="shared" si="18"/>
        <v>164</v>
      </c>
      <c r="H333" s="4">
        <f t="shared" si="18"/>
        <v>377</v>
      </c>
      <c r="I333" s="4">
        <f t="shared" si="18"/>
        <v>216</v>
      </c>
      <c r="J333" s="4">
        <f t="shared" si="18"/>
        <v>206</v>
      </c>
      <c r="K333" s="4">
        <f t="shared" si="18"/>
        <v>304</v>
      </c>
      <c r="L333" s="4">
        <f t="shared" si="18"/>
        <v>721</v>
      </c>
      <c r="M333" s="4">
        <f t="shared" si="18"/>
        <v>485</v>
      </c>
      <c r="N333" s="4">
        <f t="shared" si="18"/>
        <v>410</v>
      </c>
      <c r="O333" s="4">
        <f t="shared" si="18"/>
        <v>633</v>
      </c>
      <c r="P333" s="4">
        <f t="shared" si="18"/>
        <v>207919</v>
      </c>
      <c r="Q333" s="4">
        <f t="shared" si="18"/>
        <v>0</v>
      </c>
      <c r="R333" s="4">
        <f t="shared" si="18"/>
        <v>1794</v>
      </c>
      <c r="S333" s="4">
        <f t="shared" si="15"/>
        <v>209713</v>
      </c>
      <c r="T333" s="4">
        <f t="shared" si="18"/>
        <v>1</v>
      </c>
      <c r="U333" s="5"/>
      <c r="V333" s="5"/>
      <c r="W333" s="8"/>
      <c r="X333" s="5"/>
      <c r="Y333" s="5"/>
      <c r="Z333" s="5"/>
      <c r="AA333" s="5">
        <f t="shared" si="16"/>
        <v>10596</v>
      </c>
      <c r="AB333" s="12"/>
    </row>
    <row r="334" spans="1:28" ht="37.5" customHeight="1" x14ac:dyDescent="0.25">
      <c r="A334" s="8" t="s">
        <v>19</v>
      </c>
      <c r="B334" s="4">
        <v>85006</v>
      </c>
      <c r="C334" s="4">
        <v>95602</v>
      </c>
      <c r="D334" s="4">
        <v>22833</v>
      </c>
      <c r="E334" s="4">
        <v>729</v>
      </c>
      <c r="F334" s="4">
        <v>233</v>
      </c>
      <c r="G334" s="4">
        <v>164</v>
      </c>
      <c r="H334" s="4">
        <v>377</v>
      </c>
      <c r="I334" s="4">
        <v>216</v>
      </c>
      <c r="J334" s="4">
        <v>206</v>
      </c>
      <c r="K334" s="4">
        <v>304</v>
      </c>
      <c r="L334" s="4">
        <v>721</v>
      </c>
      <c r="M334" s="4">
        <v>485</v>
      </c>
      <c r="N334" s="4">
        <v>410</v>
      </c>
      <c r="O334" s="4">
        <v>633</v>
      </c>
      <c r="P334" s="4">
        <v>207919</v>
      </c>
      <c r="Q334" s="4">
        <v>0</v>
      </c>
      <c r="R334" s="4">
        <v>1794</v>
      </c>
      <c r="S334" s="4"/>
      <c r="T334" s="4">
        <v>1</v>
      </c>
      <c r="U334" s="5"/>
      <c r="V334" s="5"/>
      <c r="W334" s="8"/>
      <c r="X334" s="13"/>
      <c r="Y334" s="13"/>
      <c r="Z334" s="13"/>
      <c r="AA334" s="5"/>
      <c r="AB334" s="12"/>
    </row>
    <row r="335" spans="1:28" ht="37.5" customHeight="1" x14ac:dyDescent="0.25">
      <c r="A335" s="8" t="s">
        <v>20</v>
      </c>
      <c r="B335" s="4">
        <v>708</v>
      </c>
      <c r="C335" s="4">
        <v>1242</v>
      </c>
      <c r="D335" s="4">
        <v>221</v>
      </c>
      <c r="E335" s="4">
        <v>4</v>
      </c>
      <c r="F335" s="4">
        <v>1</v>
      </c>
      <c r="G335" s="4">
        <v>1</v>
      </c>
      <c r="H335" s="4">
        <v>8</v>
      </c>
      <c r="I335" s="4">
        <v>0</v>
      </c>
      <c r="J335" s="4">
        <v>3</v>
      </c>
      <c r="K335" s="4">
        <v>1</v>
      </c>
      <c r="L335" s="4">
        <v>0</v>
      </c>
      <c r="M335" s="4">
        <v>0</v>
      </c>
      <c r="N335" s="4">
        <v>0</v>
      </c>
      <c r="O335" s="4">
        <v>0</v>
      </c>
      <c r="P335" s="4">
        <v>2189</v>
      </c>
      <c r="Q335" s="4">
        <v>175</v>
      </c>
      <c r="R335" s="4">
        <v>7</v>
      </c>
      <c r="S335" s="4"/>
      <c r="T335" s="4">
        <v>0</v>
      </c>
      <c r="U335" s="5"/>
      <c r="V335" s="5"/>
      <c r="W335" s="8"/>
      <c r="X335" s="13"/>
      <c r="Y335" s="13"/>
      <c r="Z335" s="13"/>
      <c r="AA335" s="5"/>
      <c r="AB335" s="12"/>
    </row>
    <row r="336" spans="1:28" ht="37.5" customHeight="1" x14ac:dyDescent="0.25">
      <c r="A336" s="8" t="s">
        <v>21</v>
      </c>
      <c r="B336" s="4">
        <v>85714</v>
      </c>
      <c r="C336" s="4">
        <v>96844</v>
      </c>
      <c r="D336" s="4">
        <v>23054</v>
      </c>
      <c r="E336" s="4">
        <v>733</v>
      </c>
      <c r="F336" s="4">
        <v>234</v>
      </c>
      <c r="G336" s="4">
        <v>165</v>
      </c>
      <c r="H336" s="4">
        <v>385</v>
      </c>
      <c r="I336" s="4">
        <v>216</v>
      </c>
      <c r="J336" s="4">
        <v>209</v>
      </c>
      <c r="K336" s="4">
        <v>305</v>
      </c>
      <c r="L336" s="4">
        <v>721</v>
      </c>
      <c r="M336" s="4">
        <v>485</v>
      </c>
      <c r="N336" s="4">
        <v>410</v>
      </c>
      <c r="O336" s="4">
        <v>633</v>
      </c>
      <c r="P336" s="4">
        <v>210108</v>
      </c>
      <c r="Q336" s="4">
        <v>175</v>
      </c>
      <c r="R336" s="4">
        <v>1801</v>
      </c>
      <c r="S336" s="4"/>
      <c r="T336" s="4">
        <v>1</v>
      </c>
      <c r="U336" s="5"/>
      <c r="V336" s="5"/>
      <c r="W336" s="8"/>
      <c r="X336" s="13"/>
      <c r="Y336" s="13"/>
      <c r="Z336" s="13"/>
      <c r="AA336" s="5"/>
      <c r="AB336" s="12"/>
    </row>
  </sheetData>
  <autoFilter ref="A1:AB336" xr:uid="{00000000-0001-0000-0000-000000000000}"/>
  <conditionalFormatting sqref="B3:B331">
    <cfRule type="expression" dxfId="11" priority="6">
      <formula>B3&gt;C3</formula>
    </cfRule>
  </conditionalFormatting>
  <conditionalFormatting sqref="C3:C331">
    <cfRule type="expression" dxfId="10" priority="5">
      <formula>C3&gt;B3</formula>
    </cfRule>
  </conditionalFormatting>
  <conditionalFormatting sqref="AA3:AA331">
    <cfRule type="cellIs" dxfId="9" priority="3" operator="lessThan">
      <formula>30</formula>
    </cfRule>
    <cfRule type="cellIs" dxfId="8" priority="4" operator="greaterThan">
      <formula>400</formula>
    </cfRule>
  </conditionalFormatting>
  <conditionalFormatting sqref="AB3:AB331">
    <cfRule type="cellIs" dxfId="7" priority="1" operator="lessThan">
      <formula>30</formula>
    </cfRule>
    <cfRule type="cellIs" dxfId="6" priority="2" operator="greaterThan">
      <formula>90</formula>
    </cfRule>
  </conditionalFormatting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0CDD-DD17-4D40-B43F-34BE69D4E733}">
  <dimension ref="A1:AD14"/>
  <sheetViews>
    <sheetView topLeftCell="Z1" workbookViewId="0">
      <selection activeCell="AG2" sqref="AG2"/>
    </sheetView>
  </sheetViews>
  <sheetFormatPr defaultColWidth="15.85546875" defaultRowHeight="56.25" customHeight="1" x14ac:dyDescent="0.25"/>
  <cols>
    <col min="29" max="30" width="15.85546875" style="28"/>
  </cols>
  <sheetData>
    <row r="1" spans="1:30" ht="56.25" customHeight="1" x14ac:dyDescent="0.25">
      <c r="A1" s="1" t="s">
        <v>0</v>
      </c>
      <c r="B1" s="1" t="s">
        <v>1</v>
      </c>
      <c r="C1" s="2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562</v>
      </c>
      <c r="T1" s="1" t="s">
        <v>18</v>
      </c>
      <c r="U1" s="2" t="s">
        <v>22</v>
      </c>
      <c r="V1" s="2" t="s">
        <v>23</v>
      </c>
      <c r="W1" s="2" t="s">
        <v>24</v>
      </c>
      <c r="X1" s="10" t="s">
        <v>563</v>
      </c>
      <c r="Y1" s="10" t="s">
        <v>564</v>
      </c>
      <c r="Z1" s="10" t="s">
        <v>565</v>
      </c>
      <c r="AA1" s="10" t="s">
        <v>566</v>
      </c>
      <c r="AB1" s="26" t="s">
        <v>575</v>
      </c>
      <c r="AC1" s="27" t="s">
        <v>568</v>
      </c>
      <c r="AD1" s="27" t="s">
        <v>567</v>
      </c>
    </row>
    <row r="2" spans="1:30" ht="56.25" customHeight="1" x14ac:dyDescent="0.25">
      <c r="B2" s="14" t="s">
        <v>567</v>
      </c>
      <c r="C2" s="14" t="s">
        <v>568</v>
      </c>
      <c r="D2" s="14" t="s">
        <v>569</v>
      </c>
      <c r="E2" s="14" t="s">
        <v>570</v>
      </c>
      <c r="F2" s="14" t="s">
        <v>571</v>
      </c>
      <c r="G2" s="14" t="s">
        <v>572</v>
      </c>
      <c r="H2" s="14" t="s">
        <v>573</v>
      </c>
      <c r="I2" s="14" t="s">
        <v>574</v>
      </c>
      <c r="J2" s="14" t="s">
        <v>574</v>
      </c>
      <c r="K2" s="14" t="s">
        <v>574</v>
      </c>
      <c r="L2" s="14" t="s">
        <v>574</v>
      </c>
      <c r="M2" s="14" t="s">
        <v>574</v>
      </c>
      <c r="N2" s="14" t="s">
        <v>574</v>
      </c>
      <c r="O2" s="14" t="s">
        <v>574</v>
      </c>
    </row>
    <row r="3" spans="1:30" ht="56.25" customHeight="1" x14ac:dyDescent="0.25">
      <c r="A3" s="20">
        <v>96</v>
      </c>
      <c r="B3" s="20">
        <v>15</v>
      </c>
      <c r="C3" s="20">
        <v>752</v>
      </c>
      <c r="D3" s="20">
        <v>10</v>
      </c>
      <c r="E3" s="20">
        <v>7</v>
      </c>
      <c r="F3" s="20">
        <v>2</v>
      </c>
      <c r="G3" s="20">
        <v>0</v>
      </c>
      <c r="H3" s="20">
        <v>2</v>
      </c>
      <c r="I3" s="20">
        <v>0</v>
      </c>
      <c r="J3" s="20">
        <v>0</v>
      </c>
      <c r="K3" s="20">
        <v>1</v>
      </c>
      <c r="L3" s="20">
        <v>0</v>
      </c>
      <c r="M3" s="20">
        <v>0</v>
      </c>
      <c r="N3" s="20">
        <v>3</v>
      </c>
      <c r="O3" s="20">
        <v>4</v>
      </c>
      <c r="P3" s="20">
        <v>796</v>
      </c>
      <c r="Q3" s="21">
        <v>0</v>
      </c>
      <c r="R3" s="20">
        <v>3</v>
      </c>
      <c r="S3" s="20">
        <v>799</v>
      </c>
      <c r="T3" s="20">
        <v>0</v>
      </c>
      <c r="U3" s="22">
        <v>96</v>
      </c>
      <c r="V3" s="22" t="s">
        <v>198</v>
      </c>
      <c r="W3" s="23" t="s">
        <v>200</v>
      </c>
      <c r="X3" s="21">
        <v>726</v>
      </c>
      <c r="Y3" s="21">
        <v>365</v>
      </c>
      <c r="Z3" s="21">
        <v>361</v>
      </c>
      <c r="AA3" s="21">
        <v>737</v>
      </c>
      <c r="AB3" s="24">
        <v>110.05509641873279</v>
      </c>
      <c r="AC3" s="28">
        <f>IF(C3&gt;B3,AA3,NA())</f>
        <v>737</v>
      </c>
      <c r="AD3" s="28" t="e">
        <f>IF(B3&gt;C3,AA3,NA())</f>
        <v>#N/A</v>
      </c>
    </row>
    <row r="4" spans="1:30" ht="56.25" customHeight="1" x14ac:dyDescent="0.25">
      <c r="A4" s="20">
        <v>161</v>
      </c>
      <c r="B4" s="20">
        <v>55</v>
      </c>
      <c r="C4" s="20">
        <v>841</v>
      </c>
      <c r="D4" s="20">
        <v>17</v>
      </c>
      <c r="E4" s="20">
        <v>15</v>
      </c>
      <c r="F4" s="20">
        <v>1</v>
      </c>
      <c r="G4" s="20">
        <v>0</v>
      </c>
      <c r="H4" s="20">
        <v>1</v>
      </c>
      <c r="I4" s="20">
        <v>1</v>
      </c>
      <c r="J4" s="20">
        <v>0</v>
      </c>
      <c r="K4" s="20">
        <v>0</v>
      </c>
      <c r="L4" s="20">
        <v>0</v>
      </c>
      <c r="M4" s="20">
        <v>2</v>
      </c>
      <c r="N4" s="20">
        <v>1</v>
      </c>
      <c r="O4" s="20">
        <v>4</v>
      </c>
      <c r="P4" s="20">
        <v>938</v>
      </c>
      <c r="Q4" s="21">
        <v>0</v>
      </c>
      <c r="R4" s="20">
        <v>0</v>
      </c>
      <c r="S4" s="20">
        <v>938</v>
      </c>
      <c r="T4" s="20">
        <v>0</v>
      </c>
      <c r="U4" s="22">
        <v>161</v>
      </c>
      <c r="V4" s="22" t="s">
        <v>292</v>
      </c>
      <c r="W4" s="23" t="s">
        <v>307</v>
      </c>
      <c r="X4" s="21">
        <v>1017</v>
      </c>
      <c r="Y4" s="21">
        <v>525</v>
      </c>
      <c r="Z4" s="21">
        <v>492</v>
      </c>
      <c r="AA4" s="21">
        <v>786</v>
      </c>
      <c r="AB4" s="24">
        <v>92.232055063913478</v>
      </c>
      <c r="AC4" s="28">
        <f t="shared" ref="AC4:AC14" si="0">IF(C4&gt;B4,AA4,NA())</f>
        <v>786</v>
      </c>
      <c r="AD4" s="28" t="e">
        <f t="shared" ref="AD4:AD14" si="1">IF(B4&gt;C4,AA4,NA())</f>
        <v>#N/A</v>
      </c>
    </row>
    <row r="5" spans="1:30" ht="56.25" customHeight="1" x14ac:dyDescent="0.25">
      <c r="A5" s="20">
        <v>162</v>
      </c>
      <c r="B5" s="20">
        <v>163</v>
      </c>
      <c r="C5" s="20">
        <v>635</v>
      </c>
      <c r="D5" s="20">
        <v>8</v>
      </c>
      <c r="E5" s="20">
        <v>8</v>
      </c>
      <c r="F5" s="20">
        <v>1</v>
      </c>
      <c r="G5" s="20">
        <v>0</v>
      </c>
      <c r="H5" s="20">
        <v>1</v>
      </c>
      <c r="I5" s="20">
        <v>1</v>
      </c>
      <c r="J5" s="20">
        <v>0</v>
      </c>
      <c r="K5" s="20">
        <v>0</v>
      </c>
      <c r="L5" s="20">
        <v>1</v>
      </c>
      <c r="M5" s="20">
        <v>1</v>
      </c>
      <c r="N5" s="20">
        <v>3</v>
      </c>
      <c r="O5" s="20">
        <v>1</v>
      </c>
      <c r="P5" s="20">
        <v>823</v>
      </c>
      <c r="Q5" s="21">
        <v>0</v>
      </c>
      <c r="R5" s="21">
        <v>8</v>
      </c>
      <c r="S5" s="20">
        <v>831</v>
      </c>
      <c r="T5" s="20">
        <v>0</v>
      </c>
      <c r="U5" s="22">
        <v>162</v>
      </c>
      <c r="V5" s="22" t="s">
        <v>292</v>
      </c>
      <c r="W5" s="23" t="s">
        <v>308</v>
      </c>
      <c r="X5" s="21">
        <v>800</v>
      </c>
      <c r="Y5" s="21">
        <v>414</v>
      </c>
      <c r="Z5" s="21">
        <v>379</v>
      </c>
      <c r="AA5" s="21">
        <v>472</v>
      </c>
      <c r="AB5" s="24">
        <v>103.875</v>
      </c>
      <c r="AC5" s="28">
        <f t="shared" si="0"/>
        <v>472</v>
      </c>
      <c r="AD5" s="28" t="e">
        <f t="shared" si="1"/>
        <v>#N/A</v>
      </c>
    </row>
    <row r="6" spans="1:30" ht="56.25" customHeight="1" x14ac:dyDescent="0.25">
      <c r="A6" s="15">
        <v>195</v>
      </c>
      <c r="B6" s="15">
        <v>720</v>
      </c>
      <c r="C6" s="15">
        <v>296</v>
      </c>
      <c r="D6" s="15">
        <v>45</v>
      </c>
      <c r="E6" s="15">
        <v>1</v>
      </c>
      <c r="F6" s="15">
        <v>0</v>
      </c>
      <c r="G6" s="15">
        <v>0</v>
      </c>
      <c r="H6" s="15">
        <v>1</v>
      </c>
      <c r="I6" s="15">
        <v>1</v>
      </c>
      <c r="J6" s="15">
        <v>2</v>
      </c>
      <c r="K6" s="15">
        <v>1</v>
      </c>
      <c r="L6" s="15">
        <v>3</v>
      </c>
      <c r="M6" s="15">
        <v>3</v>
      </c>
      <c r="N6" s="15">
        <v>1</v>
      </c>
      <c r="O6" s="15">
        <v>3</v>
      </c>
      <c r="P6" s="15">
        <v>1077</v>
      </c>
      <c r="Q6" s="16">
        <v>0</v>
      </c>
      <c r="R6" s="15">
        <v>2</v>
      </c>
      <c r="S6" s="15">
        <v>1079</v>
      </c>
      <c r="T6" s="15">
        <v>0</v>
      </c>
      <c r="U6" s="17">
        <v>195</v>
      </c>
      <c r="V6" s="17" t="s">
        <v>292</v>
      </c>
      <c r="W6" s="18" t="s">
        <v>342</v>
      </c>
      <c r="X6" s="16">
        <v>1002</v>
      </c>
      <c r="Y6" s="16">
        <v>497</v>
      </c>
      <c r="Z6" s="16">
        <v>504</v>
      </c>
      <c r="AA6" s="16">
        <v>424</v>
      </c>
      <c r="AB6" s="19">
        <v>107.68463073852294</v>
      </c>
      <c r="AC6" s="28" t="e">
        <f t="shared" si="0"/>
        <v>#N/A</v>
      </c>
      <c r="AD6" s="28">
        <f t="shared" si="1"/>
        <v>424</v>
      </c>
    </row>
    <row r="7" spans="1:30" ht="56.25" customHeight="1" x14ac:dyDescent="0.25">
      <c r="A7" s="15">
        <v>200</v>
      </c>
      <c r="B7" s="15">
        <v>782</v>
      </c>
      <c r="C7" s="15">
        <v>288</v>
      </c>
      <c r="D7" s="15">
        <v>72</v>
      </c>
      <c r="E7" s="15">
        <v>1</v>
      </c>
      <c r="F7" s="15">
        <v>0</v>
      </c>
      <c r="G7" s="15">
        <v>0</v>
      </c>
      <c r="H7" s="15">
        <v>1</v>
      </c>
      <c r="I7" s="15">
        <v>0</v>
      </c>
      <c r="J7" s="15">
        <v>0</v>
      </c>
      <c r="K7" s="15">
        <v>2</v>
      </c>
      <c r="L7" s="15">
        <v>2</v>
      </c>
      <c r="M7" s="15">
        <v>1</v>
      </c>
      <c r="N7" s="15">
        <v>2</v>
      </c>
      <c r="O7" s="15">
        <v>2</v>
      </c>
      <c r="P7" s="15">
        <v>1153</v>
      </c>
      <c r="Q7" s="16">
        <v>0</v>
      </c>
      <c r="R7" s="15">
        <v>16</v>
      </c>
      <c r="S7" s="15">
        <v>1169</v>
      </c>
      <c r="T7" s="15">
        <v>0</v>
      </c>
      <c r="U7" s="17">
        <v>200</v>
      </c>
      <c r="V7" s="17" t="s">
        <v>292</v>
      </c>
      <c r="W7" s="18" t="s">
        <v>347</v>
      </c>
      <c r="X7" s="16">
        <v>1085</v>
      </c>
      <c r="Y7" s="16">
        <v>528</v>
      </c>
      <c r="Z7" s="16">
        <v>556</v>
      </c>
      <c r="AA7" s="16">
        <v>494</v>
      </c>
      <c r="AB7" s="19">
        <v>107.74193548387096</v>
      </c>
      <c r="AC7" s="28" t="e">
        <f t="shared" si="0"/>
        <v>#N/A</v>
      </c>
      <c r="AD7" s="28">
        <f t="shared" si="1"/>
        <v>494</v>
      </c>
    </row>
    <row r="8" spans="1:30" ht="56.25" customHeight="1" x14ac:dyDescent="0.25">
      <c r="A8" s="20">
        <v>313</v>
      </c>
      <c r="B8" s="20">
        <v>124</v>
      </c>
      <c r="C8" s="20">
        <v>527</v>
      </c>
      <c r="D8" s="20">
        <v>35</v>
      </c>
      <c r="E8" s="20">
        <v>0</v>
      </c>
      <c r="F8" s="20">
        <v>0</v>
      </c>
      <c r="G8" s="20">
        <v>0</v>
      </c>
      <c r="H8" s="20">
        <v>1</v>
      </c>
      <c r="I8" s="20">
        <v>0</v>
      </c>
      <c r="J8" s="20">
        <v>1</v>
      </c>
      <c r="K8" s="20">
        <v>1</v>
      </c>
      <c r="L8" s="20">
        <v>2</v>
      </c>
      <c r="M8" s="20">
        <v>1</v>
      </c>
      <c r="N8" s="20">
        <v>2</v>
      </c>
      <c r="O8" s="20">
        <v>4</v>
      </c>
      <c r="P8" s="20">
        <v>698</v>
      </c>
      <c r="Q8" s="21">
        <v>0</v>
      </c>
      <c r="R8" s="20">
        <v>3</v>
      </c>
      <c r="S8" s="20">
        <v>701</v>
      </c>
      <c r="T8" s="20">
        <v>0</v>
      </c>
      <c r="U8" s="22">
        <v>312</v>
      </c>
      <c r="V8" s="22" t="s">
        <v>417</v>
      </c>
      <c r="W8" s="23" t="s">
        <v>533</v>
      </c>
      <c r="X8" s="21">
        <v>313</v>
      </c>
      <c r="Y8" s="21">
        <v>162</v>
      </c>
      <c r="Z8" s="21">
        <v>150</v>
      </c>
      <c r="AA8" s="21">
        <v>403</v>
      </c>
      <c r="AB8" s="24">
        <v>223.96166134185304</v>
      </c>
      <c r="AC8" s="28">
        <f t="shared" si="0"/>
        <v>403</v>
      </c>
      <c r="AD8" s="28" t="e">
        <f t="shared" si="1"/>
        <v>#N/A</v>
      </c>
    </row>
    <row r="9" spans="1:30" ht="56.25" customHeight="1" x14ac:dyDescent="0.25">
      <c r="A9" s="20">
        <v>315</v>
      </c>
      <c r="B9" s="20">
        <v>107</v>
      </c>
      <c r="C9" s="20">
        <v>659</v>
      </c>
      <c r="D9" s="20">
        <v>16</v>
      </c>
      <c r="E9" s="20">
        <v>0</v>
      </c>
      <c r="F9" s="20">
        <v>2</v>
      </c>
      <c r="G9" s="20">
        <v>0</v>
      </c>
      <c r="H9" s="20">
        <v>1</v>
      </c>
      <c r="I9" s="20">
        <v>1</v>
      </c>
      <c r="J9" s="20">
        <v>1</v>
      </c>
      <c r="K9" s="20">
        <v>3</v>
      </c>
      <c r="L9" s="20">
        <v>2</v>
      </c>
      <c r="M9" s="20">
        <v>4</v>
      </c>
      <c r="N9" s="20">
        <v>2</v>
      </c>
      <c r="O9" s="20">
        <v>2</v>
      </c>
      <c r="P9" s="20">
        <v>800</v>
      </c>
      <c r="Q9" s="21">
        <v>0</v>
      </c>
      <c r="R9" s="20">
        <v>10</v>
      </c>
      <c r="S9" s="20">
        <v>810</v>
      </c>
      <c r="T9" s="20">
        <v>0</v>
      </c>
      <c r="U9" s="22">
        <v>314</v>
      </c>
      <c r="V9" s="22" t="s">
        <v>536</v>
      </c>
      <c r="W9" s="23" t="s">
        <v>537</v>
      </c>
      <c r="X9" s="21">
        <v>450</v>
      </c>
      <c r="Y9" s="21">
        <v>241</v>
      </c>
      <c r="Z9" s="21">
        <v>208</v>
      </c>
      <c r="AA9" s="21">
        <v>552</v>
      </c>
      <c r="AB9" s="24">
        <v>180</v>
      </c>
      <c r="AC9" s="28">
        <f t="shared" si="0"/>
        <v>552</v>
      </c>
      <c r="AD9" s="28" t="e">
        <f t="shared" si="1"/>
        <v>#N/A</v>
      </c>
    </row>
    <row r="10" spans="1:30" ht="56.25" customHeight="1" x14ac:dyDescent="0.25">
      <c r="A10" s="20">
        <v>324</v>
      </c>
      <c r="B10" s="20">
        <v>128</v>
      </c>
      <c r="C10" s="20">
        <v>598</v>
      </c>
      <c r="D10" s="20">
        <v>7</v>
      </c>
      <c r="E10" s="20">
        <v>5</v>
      </c>
      <c r="F10" s="20">
        <v>1</v>
      </c>
      <c r="G10" s="20">
        <v>3</v>
      </c>
      <c r="H10" s="20">
        <v>2</v>
      </c>
      <c r="I10" s="20">
        <v>1</v>
      </c>
      <c r="J10" s="20">
        <v>3</v>
      </c>
      <c r="K10" s="20">
        <v>1</v>
      </c>
      <c r="L10" s="20">
        <v>1</v>
      </c>
      <c r="M10" s="20">
        <v>1</v>
      </c>
      <c r="N10" s="20">
        <v>0</v>
      </c>
      <c r="O10" s="20">
        <v>1</v>
      </c>
      <c r="P10" s="20">
        <v>752</v>
      </c>
      <c r="Q10" s="21">
        <v>0</v>
      </c>
      <c r="R10" s="20">
        <v>3</v>
      </c>
      <c r="S10" s="20">
        <v>755</v>
      </c>
      <c r="T10" s="20">
        <v>0</v>
      </c>
      <c r="U10" s="22">
        <v>323</v>
      </c>
      <c r="V10" s="22" t="s">
        <v>551</v>
      </c>
      <c r="W10" s="23" t="s">
        <v>552</v>
      </c>
      <c r="X10" s="21">
        <v>482</v>
      </c>
      <c r="Y10" s="21">
        <v>245</v>
      </c>
      <c r="Z10" s="21">
        <v>236</v>
      </c>
      <c r="AA10" s="21">
        <v>470</v>
      </c>
      <c r="AB10" s="24">
        <v>156.6390041493776</v>
      </c>
      <c r="AC10" s="28">
        <f t="shared" si="0"/>
        <v>470</v>
      </c>
      <c r="AD10" s="28" t="e">
        <f t="shared" si="1"/>
        <v>#N/A</v>
      </c>
    </row>
    <row r="11" spans="1:30" ht="56.25" customHeight="1" x14ac:dyDescent="0.25">
      <c r="A11" s="20">
        <v>328</v>
      </c>
      <c r="B11" s="20">
        <v>40</v>
      </c>
      <c r="C11" s="20">
        <v>56</v>
      </c>
      <c r="D11" s="20">
        <v>3</v>
      </c>
      <c r="E11" s="20">
        <v>2</v>
      </c>
      <c r="F11" s="20">
        <v>0</v>
      </c>
      <c r="G11" s="20">
        <v>0</v>
      </c>
      <c r="H11" s="20">
        <v>1</v>
      </c>
      <c r="I11" s="20">
        <v>1</v>
      </c>
      <c r="J11" s="20">
        <v>0</v>
      </c>
      <c r="K11" s="20">
        <v>2</v>
      </c>
      <c r="L11" s="20">
        <v>6</v>
      </c>
      <c r="M11" s="20">
        <v>1</v>
      </c>
      <c r="N11" s="20">
        <v>1</v>
      </c>
      <c r="O11" s="20">
        <v>2</v>
      </c>
      <c r="P11" s="20">
        <v>115</v>
      </c>
      <c r="Q11" s="21">
        <v>0</v>
      </c>
      <c r="R11" s="20">
        <v>0</v>
      </c>
      <c r="S11" s="20">
        <f t="shared" ref="S11" si="2">SUM(P11:R11)</f>
        <v>115</v>
      </c>
      <c r="T11" s="20">
        <v>0</v>
      </c>
      <c r="U11" s="22">
        <v>327</v>
      </c>
      <c r="V11" s="22" t="s">
        <v>557</v>
      </c>
      <c r="W11" s="23" t="s">
        <v>559</v>
      </c>
      <c r="X11" s="21">
        <v>519</v>
      </c>
      <c r="Y11" s="21">
        <v>282</v>
      </c>
      <c r="Z11" s="21">
        <v>237</v>
      </c>
      <c r="AA11" s="21">
        <f t="shared" ref="AA11" si="3">MAX(B11,C11)-MIN(B11,C11)</f>
        <v>16</v>
      </c>
      <c r="AB11" s="24">
        <f t="shared" ref="AB11" si="4">(S11/X11)*100</f>
        <v>22.157996146435451</v>
      </c>
      <c r="AC11" s="28">
        <f t="shared" si="0"/>
        <v>16</v>
      </c>
      <c r="AD11" s="28" t="e">
        <f t="shared" si="1"/>
        <v>#N/A</v>
      </c>
    </row>
    <row r="12" spans="1:30" ht="56.25" customHeight="1" x14ac:dyDescent="0.25">
      <c r="A12" s="16">
        <v>48</v>
      </c>
      <c r="B12" s="15">
        <v>133</v>
      </c>
      <c r="C12" s="15">
        <v>123</v>
      </c>
      <c r="D12" s="15">
        <v>7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1</v>
      </c>
      <c r="L12" s="15">
        <v>2</v>
      </c>
      <c r="M12" s="15">
        <v>2</v>
      </c>
      <c r="N12" s="15">
        <v>1</v>
      </c>
      <c r="O12" s="15">
        <v>2</v>
      </c>
      <c r="P12" s="15">
        <v>272</v>
      </c>
      <c r="Q12" s="16">
        <v>0</v>
      </c>
      <c r="R12" s="15">
        <v>4</v>
      </c>
      <c r="S12" s="15">
        <v>276</v>
      </c>
      <c r="T12" s="15">
        <v>0</v>
      </c>
      <c r="U12" s="17">
        <v>48</v>
      </c>
      <c r="V12" s="17" t="s">
        <v>106</v>
      </c>
      <c r="W12" s="18" t="s">
        <v>107</v>
      </c>
      <c r="X12" s="16">
        <v>288</v>
      </c>
      <c r="Y12" s="16">
        <v>150</v>
      </c>
      <c r="Z12" s="16">
        <v>138</v>
      </c>
      <c r="AA12" s="16">
        <v>10</v>
      </c>
      <c r="AB12" s="19">
        <v>95.833333333333343</v>
      </c>
      <c r="AC12" s="28" t="e">
        <f t="shared" si="0"/>
        <v>#N/A</v>
      </c>
      <c r="AD12" s="28">
        <f t="shared" si="1"/>
        <v>10</v>
      </c>
    </row>
    <row r="13" spans="1:30" ht="56.25" customHeight="1" x14ac:dyDescent="0.25">
      <c r="A13" s="15">
        <v>79</v>
      </c>
      <c r="B13" s="15">
        <v>190</v>
      </c>
      <c r="C13" s="15">
        <v>173</v>
      </c>
      <c r="D13" s="15">
        <v>23</v>
      </c>
      <c r="E13" s="15">
        <v>0</v>
      </c>
      <c r="F13" s="15">
        <v>0</v>
      </c>
      <c r="G13" s="15">
        <v>0</v>
      </c>
      <c r="H13" s="15">
        <v>0</v>
      </c>
      <c r="I13" s="15">
        <v>1</v>
      </c>
      <c r="J13" s="15">
        <v>0</v>
      </c>
      <c r="K13" s="15">
        <v>1</v>
      </c>
      <c r="L13" s="15">
        <v>0</v>
      </c>
      <c r="M13" s="15">
        <v>5</v>
      </c>
      <c r="N13" s="15">
        <v>1</v>
      </c>
      <c r="O13" s="15">
        <v>1</v>
      </c>
      <c r="P13" s="15">
        <v>395</v>
      </c>
      <c r="Q13" s="16">
        <v>0</v>
      </c>
      <c r="R13" s="15">
        <v>0</v>
      </c>
      <c r="S13" s="15">
        <v>395</v>
      </c>
      <c r="T13" s="15">
        <v>0</v>
      </c>
      <c r="U13" s="17">
        <v>79</v>
      </c>
      <c r="V13" s="17" t="s">
        <v>167</v>
      </c>
      <c r="W13" s="18" t="s">
        <v>168</v>
      </c>
      <c r="X13" s="16">
        <v>430</v>
      </c>
      <c r="Y13" s="16">
        <v>222</v>
      </c>
      <c r="Z13" s="16">
        <v>208</v>
      </c>
      <c r="AA13" s="16">
        <v>17</v>
      </c>
      <c r="AB13" s="19">
        <v>91.860465116279073</v>
      </c>
      <c r="AC13" s="28" t="e">
        <f t="shared" si="0"/>
        <v>#N/A</v>
      </c>
      <c r="AD13" s="28">
        <f t="shared" si="1"/>
        <v>17</v>
      </c>
    </row>
    <row r="14" spans="1:30" ht="56.25" customHeight="1" x14ac:dyDescent="0.25">
      <c r="A14" s="20">
        <v>120</v>
      </c>
      <c r="B14" s="20">
        <v>219</v>
      </c>
      <c r="C14" s="20">
        <v>246</v>
      </c>
      <c r="D14" s="20">
        <v>191</v>
      </c>
      <c r="E14" s="20">
        <v>3</v>
      </c>
      <c r="F14" s="20">
        <v>1</v>
      </c>
      <c r="G14" s="20">
        <v>1</v>
      </c>
      <c r="H14" s="20">
        <v>1</v>
      </c>
      <c r="I14" s="20">
        <v>2</v>
      </c>
      <c r="J14" s="20">
        <v>1</v>
      </c>
      <c r="K14" s="20">
        <v>3</v>
      </c>
      <c r="L14" s="20">
        <v>2</v>
      </c>
      <c r="M14" s="20">
        <v>3</v>
      </c>
      <c r="N14" s="21">
        <v>2</v>
      </c>
      <c r="O14" s="20">
        <v>1</v>
      </c>
      <c r="P14" s="20">
        <v>676</v>
      </c>
      <c r="Q14" s="21">
        <v>0</v>
      </c>
      <c r="R14" s="20">
        <v>5</v>
      </c>
      <c r="S14" s="20">
        <v>681</v>
      </c>
      <c r="T14" s="20">
        <v>0</v>
      </c>
      <c r="U14" s="22">
        <v>120</v>
      </c>
      <c r="V14" s="22" t="s">
        <v>240</v>
      </c>
      <c r="W14" s="23" t="s">
        <v>242</v>
      </c>
      <c r="X14" s="21">
        <v>464</v>
      </c>
      <c r="Y14" s="21">
        <v>238</v>
      </c>
      <c r="Z14" s="21">
        <v>223</v>
      </c>
      <c r="AA14" s="21">
        <v>27</v>
      </c>
      <c r="AB14" s="24">
        <v>146.76724137931035</v>
      </c>
      <c r="AC14" s="28">
        <f t="shared" si="0"/>
        <v>27</v>
      </c>
      <c r="AD14" s="28" t="e">
        <f t="shared" si="1"/>
        <v>#N/A</v>
      </c>
    </row>
  </sheetData>
  <conditionalFormatting sqref="B3:B14">
    <cfRule type="expression" dxfId="5" priority="6">
      <formula>B3&gt;C3</formula>
    </cfRule>
  </conditionalFormatting>
  <conditionalFormatting sqref="C3:C14">
    <cfRule type="expression" dxfId="4" priority="5">
      <formula>C3&gt;B3</formula>
    </cfRule>
  </conditionalFormatting>
  <conditionalFormatting sqref="AA3:AA14">
    <cfRule type="cellIs" dxfId="3" priority="3" operator="lessThan">
      <formula>30</formula>
    </cfRule>
    <cfRule type="cellIs" dxfId="2" priority="4" operator="greaterThan">
      <formula>400</formula>
    </cfRule>
  </conditionalFormatting>
  <conditionalFormatting sqref="AB3:AB14">
    <cfRule type="cellIs" dxfId="1" priority="1" operator="lessThan">
      <formula>30</formula>
    </cfRule>
    <cfRule type="cellIs" dxfId="0" priority="2" operator="greaterThan">
      <formula>90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2025-06-06T15:50:08Z</dcterms:created>
  <dcterms:modified xsi:type="dcterms:W3CDTF">2025-11-20T07:42:08Z</dcterms:modified>
</cp:coreProperties>
</file>