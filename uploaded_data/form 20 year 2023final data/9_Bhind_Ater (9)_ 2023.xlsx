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209250F3-1C64-4B13-B68C-FF8DADC7D3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4" i="2" l="1"/>
  <c r="AY54" i="2"/>
  <c r="AZ54" i="2"/>
  <c r="AX55" i="2"/>
  <c r="AY55" i="2"/>
  <c r="AZ55" i="2"/>
  <c r="AX56" i="2"/>
  <c r="AY56" i="2"/>
  <c r="AZ56" i="2"/>
  <c r="AX57" i="2"/>
  <c r="AY57" i="2"/>
  <c r="AZ57" i="2"/>
  <c r="AX58" i="2"/>
  <c r="AY58" i="2"/>
  <c r="AZ58" i="2"/>
  <c r="AX59" i="2"/>
  <c r="AY59" i="2"/>
  <c r="AZ59" i="2"/>
  <c r="AX60" i="2"/>
  <c r="AY60" i="2"/>
  <c r="AZ60" i="2"/>
  <c r="AX61" i="2"/>
  <c r="AY61" i="2"/>
  <c r="AZ61" i="2"/>
  <c r="AX62" i="2"/>
  <c r="AY62" i="2"/>
  <c r="AZ62" i="2"/>
  <c r="AX63" i="2"/>
  <c r="AY63" i="2"/>
  <c r="AZ63" i="2"/>
  <c r="AX64" i="2"/>
  <c r="AY64" i="2"/>
  <c r="AZ64" i="2"/>
  <c r="AX65" i="2"/>
  <c r="AY65" i="2"/>
  <c r="AZ65" i="2"/>
  <c r="AX66" i="2"/>
  <c r="AY66" i="2"/>
  <c r="AZ66" i="2"/>
  <c r="AX67" i="2"/>
  <c r="AY67" i="2"/>
  <c r="AZ67" i="2"/>
  <c r="AX68" i="2"/>
  <c r="AY68" i="2"/>
  <c r="AZ68" i="2"/>
  <c r="AX69" i="2"/>
  <c r="AY69" i="2"/>
  <c r="AZ69" i="2"/>
  <c r="AX70" i="2"/>
  <c r="AY70" i="2"/>
  <c r="AZ70" i="2"/>
  <c r="AX71" i="2"/>
  <c r="AY71" i="2"/>
  <c r="AZ71" i="2"/>
  <c r="AX72" i="2"/>
  <c r="AY72" i="2"/>
  <c r="AZ72" i="2"/>
  <c r="AX73" i="2"/>
  <c r="AY73" i="2"/>
  <c r="AZ73" i="2"/>
  <c r="AX74" i="2"/>
  <c r="AY74" i="2"/>
  <c r="AZ74" i="2"/>
  <c r="AX75" i="2"/>
  <c r="AY75" i="2"/>
  <c r="AZ75" i="2"/>
  <c r="AX76" i="2"/>
  <c r="AY76" i="2"/>
  <c r="AZ76" i="2"/>
  <c r="AX77" i="2"/>
  <c r="AY77" i="2"/>
  <c r="AZ77" i="2"/>
  <c r="AX78" i="2"/>
  <c r="AY78" i="2"/>
  <c r="AZ78" i="2"/>
  <c r="AX79" i="2"/>
  <c r="AY79" i="2"/>
  <c r="AZ79" i="2"/>
  <c r="AX80" i="2"/>
  <c r="AY80" i="2"/>
  <c r="AZ80" i="2"/>
  <c r="AX81" i="2"/>
  <c r="AY81" i="2"/>
  <c r="AZ81" i="2"/>
  <c r="AX82" i="2"/>
  <c r="AY82" i="2"/>
  <c r="AZ82" i="2"/>
  <c r="AX83" i="2"/>
  <c r="AY83" i="2"/>
  <c r="AZ83" i="2"/>
  <c r="AX84" i="2"/>
  <c r="AY84" i="2"/>
  <c r="AZ84" i="2"/>
  <c r="AX85" i="2"/>
  <c r="AY85" i="2"/>
  <c r="AZ85" i="2"/>
  <c r="AX86" i="2"/>
  <c r="AY86" i="2"/>
  <c r="AZ86" i="2"/>
  <c r="AX87" i="2"/>
  <c r="AY87" i="2"/>
  <c r="AZ87" i="2"/>
  <c r="AX88" i="2"/>
  <c r="AY88" i="2"/>
  <c r="AZ88" i="2"/>
  <c r="AX89" i="2"/>
  <c r="AY89" i="2"/>
  <c r="AZ89" i="2"/>
  <c r="AX90" i="2"/>
  <c r="AY90" i="2"/>
  <c r="AZ90" i="2"/>
  <c r="AX91" i="2"/>
  <c r="AY91" i="2"/>
  <c r="AZ91" i="2"/>
  <c r="AX92" i="2"/>
  <c r="AY92" i="2"/>
  <c r="AZ92" i="2"/>
  <c r="AX93" i="2"/>
  <c r="AY93" i="2"/>
  <c r="AZ93" i="2"/>
  <c r="AX94" i="2"/>
  <c r="AY94" i="2"/>
  <c r="AZ94" i="2"/>
  <c r="AX95" i="2"/>
  <c r="AY95" i="2"/>
  <c r="AZ95" i="2"/>
  <c r="AX96" i="2"/>
  <c r="AY96" i="2"/>
  <c r="AZ96" i="2"/>
  <c r="AX97" i="2"/>
  <c r="AY97" i="2"/>
  <c r="AZ97" i="2"/>
  <c r="AX98" i="2"/>
  <c r="AY98" i="2"/>
  <c r="AZ98" i="2"/>
  <c r="AX99" i="2"/>
  <c r="AY99" i="2"/>
  <c r="AZ99" i="2"/>
  <c r="AX100" i="2"/>
  <c r="AY100" i="2"/>
  <c r="AZ100" i="2"/>
  <c r="AX101" i="2"/>
  <c r="AY101" i="2"/>
  <c r="AZ101" i="2"/>
  <c r="AX102" i="2"/>
  <c r="AY102" i="2"/>
  <c r="AZ102" i="2"/>
  <c r="AX103" i="2"/>
  <c r="AY103" i="2"/>
  <c r="AZ103" i="2"/>
  <c r="AX104" i="2"/>
  <c r="AY104" i="2"/>
  <c r="AZ104" i="2"/>
  <c r="AX105" i="2"/>
  <c r="AY105" i="2"/>
  <c r="AZ105" i="2"/>
  <c r="AX106" i="2"/>
  <c r="AY106" i="2"/>
  <c r="AZ106" i="2"/>
  <c r="AX107" i="2"/>
  <c r="AY107" i="2"/>
  <c r="AZ107" i="2"/>
  <c r="AX108" i="2"/>
  <c r="AY108" i="2"/>
  <c r="AZ108" i="2"/>
  <c r="AX109" i="2"/>
  <c r="AY109" i="2"/>
  <c r="AZ109" i="2"/>
  <c r="AX110" i="2"/>
  <c r="AY110" i="2"/>
  <c r="AZ110" i="2"/>
  <c r="AX111" i="2"/>
  <c r="AY111" i="2"/>
  <c r="AZ111" i="2"/>
  <c r="AX112" i="2"/>
  <c r="AY112" i="2"/>
  <c r="AZ112" i="2"/>
  <c r="AX113" i="2"/>
  <c r="AY113" i="2"/>
  <c r="AZ113" i="2"/>
  <c r="AX114" i="2"/>
  <c r="AY114" i="2"/>
  <c r="AZ114" i="2"/>
  <c r="AX115" i="2"/>
  <c r="AY115" i="2"/>
  <c r="AZ115" i="2"/>
  <c r="AX116" i="2"/>
  <c r="AY116" i="2"/>
  <c r="AZ116" i="2"/>
  <c r="AX117" i="2"/>
  <c r="AY117" i="2"/>
  <c r="AZ117" i="2"/>
  <c r="AX118" i="2"/>
  <c r="AY118" i="2"/>
  <c r="AZ118" i="2"/>
  <c r="AX119" i="2"/>
  <c r="AY119" i="2"/>
  <c r="AZ119" i="2"/>
  <c r="AX120" i="2"/>
  <c r="AY120" i="2"/>
  <c r="AZ120" i="2"/>
  <c r="AX121" i="2"/>
  <c r="AY121" i="2"/>
  <c r="AZ121" i="2"/>
  <c r="AX122" i="2"/>
  <c r="AY122" i="2"/>
  <c r="AZ122" i="2"/>
  <c r="AX123" i="2"/>
  <c r="AY123" i="2"/>
  <c r="AZ123" i="2"/>
  <c r="AX124" i="2"/>
  <c r="AY124" i="2"/>
  <c r="AZ124" i="2"/>
  <c r="AX125" i="2"/>
  <c r="AY125" i="2"/>
  <c r="AZ125" i="2"/>
  <c r="AX126" i="2"/>
  <c r="AY126" i="2"/>
  <c r="AZ126" i="2"/>
  <c r="AX127" i="2"/>
  <c r="AY127" i="2"/>
  <c r="AZ127" i="2"/>
  <c r="AX128" i="2"/>
  <c r="AY128" i="2"/>
  <c r="AZ128" i="2"/>
  <c r="AX129" i="2"/>
  <c r="AY129" i="2"/>
  <c r="AZ129" i="2"/>
  <c r="AX130" i="2"/>
  <c r="AY130" i="2"/>
  <c r="AZ130" i="2"/>
  <c r="AX131" i="2"/>
  <c r="AY131" i="2"/>
  <c r="AZ131" i="2"/>
  <c r="AX132" i="2"/>
  <c r="AY132" i="2"/>
  <c r="AZ132" i="2"/>
  <c r="AX133" i="2"/>
  <c r="AY133" i="2"/>
  <c r="AZ133" i="2"/>
  <c r="AX134" i="2"/>
  <c r="AY134" i="2"/>
  <c r="AZ134" i="2"/>
  <c r="AX135" i="2"/>
  <c r="AY135" i="2"/>
  <c r="AZ135" i="2"/>
  <c r="AX136" i="2"/>
  <c r="AY136" i="2"/>
  <c r="AZ136" i="2"/>
  <c r="AX137" i="2"/>
  <c r="AY137" i="2"/>
  <c r="AZ137" i="2"/>
  <c r="AX138" i="2"/>
  <c r="AY138" i="2"/>
  <c r="AZ138" i="2"/>
  <c r="AX139" i="2"/>
  <c r="AY139" i="2"/>
  <c r="AZ139" i="2"/>
  <c r="AX140" i="2"/>
  <c r="AY140" i="2"/>
  <c r="AZ140" i="2"/>
  <c r="AX141" i="2"/>
  <c r="AY141" i="2"/>
  <c r="AZ141" i="2"/>
  <c r="AX44" i="2"/>
  <c r="AY44" i="2"/>
  <c r="AZ44" i="2"/>
  <c r="AX45" i="2"/>
  <c r="AY45" i="2"/>
  <c r="AZ45" i="2"/>
  <c r="AX46" i="2"/>
  <c r="AY46" i="2"/>
  <c r="AZ46" i="2"/>
  <c r="AX47" i="2"/>
  <c r="AY47" i="2"/>
  <c r="AZ47" i="2"/>
  <c r="AX48" i="2"/>
  <c r="AY48" i="2"/>
  <c r="AZ48" i="2"/>
  <c r="AX49" i="2"/>
  <c r="AY49" i="2"/>
  <c r="AZ49" i="2"/>
  <c r="AX50" i="2"/>
  <c r="AY50" i="2"/>
  <c r="AZ50" i="2"/>
  <c r="AX51" i="2"/>
  <c r="AY51" i="2"/>
  <c r="AZ51" i="2"/>
  <c r="AX52" i="2"/>
  <c r="AY52" i="2"/>
  <c r="AZ52" i="2"/>
  <c r="AX53" i="2"/>
  <c r="AY53" i="2"/>
  <c r="AZ53" i="2"/>
  <c r="AX43" i="2"/>
  <c r="AY43" i="2"/>
  <c r="AZ43" i="2"/>
  <c r="AX42" i="2"/>
  <c r="AY42" i="2"/>
  <c r="AZ42" i="2"/>
  <c r="AX41" i="2"/>
  <c r="AY41" i="2"/>
  <c r="AZ41" i="2"/>
  <c r="AX40" i="2"/>
  <c r="AY40" i="2"/>
  <c r="AZ40" i="2"/>
  <c r="AX39" i="2"/>
  <c r="AY39" i="2"/>
  <c r="AZ39" i="2"/>
  <c r="AX38" i="2"/>
  <c r="AY38" i="2"/>
  <c r="AZ38" i="2"/>
  <c r="AX37" i="2"/>
  <c r="AY37" i="2"/>
  <c r="AZ37" i="2"/>
  <c r="AX36" i="2"/>
  <c r="AY36" i="2"/>
  <c r="AZ36" i="2"/>
  <c r="AX35" i="2"/>
  <c r="AY35" i="2"/>
  <c r="AZ35" i="2"/>
  <c r="AX34" i="2"/>
  <c r="AY34" i="2"/>
  <c r="AZ34" i="2"/>
  <c r="AX33" i="2"/>
  <c r="AY33" i="2"/>
  <c r="AZ33" i="2"/>
  <c r="AX32" i="2"/>
  <c r="AY32" i="2"/>
  <c r="AZ32" i="2"/>
  <c r="AX31" i="2"/>
  <c r="AY31" i="2"/>
  <c r="AZ31" i="2"/>
  <c r="AX30" i="2"/>
  <c r="AY30" i="2"/>
  <c r="AZ30" i="2"/>
  <c r="AX29" i="2"/>
  <c r="AY29" i="2"/>
  <c r="AZ29" i="2"/>
  <c r="AX28" i="2"/>
  <c r="AY28" i="2"/>
  <c r="AZ28" i="2"/>
  <c r="AX26" i="2"/>
  <c r="AY26" i="2"/>
  <c r="AZ26" i="2"/>
  <c r="AX27" i="2"/>
  <c r="AY27" i="2"/>
  <c r="AZ27" i="2"/>
  <c r="AX25" i="2"/>
  <c r="AY25" i="2"/>
  <c r="AZ25" i="2"/>
  <c r="AX24" i="2"/>
  <c r="AY24" i="2"/>
  <c r="AZ24" i="2"/>
  <c r="AX23" i="2"/>
  <c r="AY23" i="2"/>
  <c r="AZ23" i="2"/>
  <c r="AX22" i="2"/>
  <c r="AY22" i="2"/>
  <c r="AZ22" i="2"/>
  <c r="AX21" i="2"/>
  <c r="AY21" i="2"/>
  <c r="AZ21" i="2"/>
  <c r="AX20" i="2"/>
  <c r="AY20" i="2"/>
  <c r="AZ20" i="2"/>
  <c r="AZ19" i="2"/>
  <c r="AY19" i="2"/>
  <c r="AX19" i="2"/>
  <c r="AZ18" i="2"/>
  <c r="AY18" i="2"/>
  <c r="AX18" i="2"/>
  <c r="AZ17" i="2"/>
  <c r="AY17" i="2"/>
  <c r="AX17" i="2"/>
  <c r="AZ16" i="2"/>
  <c r="AY16" i="2"/>
  <c r="AX16" i="2"/>
  <c r="AZ15" i="2"/>
  <c r="AY15" i="2"/>
  <c r="AX15" i="2"/>
  <c r="AX13" i="2"/>
  <c r="AY13" i="2"/>
  <c r="AZ13" i="2"/>
  <c r="AX14" i="2"/>
  <c r="AY14" i="2"/>
  <c r="AZ14" i="2"/>
  <c r="AZ12" i="2"/>
  <c r="AY12" i="2"/>
  <c r="AX12" i="2"/>
  <c r="AZ11" i="2"/>
  <c r="AY11" i="2"/>
  <c r="AX11" i="2"/>
  <c r="AZ10" i="2"/>
  <c r="AY10" i="2"/>
  <c r="AX10" i="2"/>
  <c r="AZ9" i="2"/>
  <c r="AY9" i="2"/>
  <c r="AX9" i="2"/>
  <c r="AZ8" i="2"/>
  <c r="AY8" i="2"/>
  <c r="AX8" i="2"/>
</calcChain>
</file>

<file path=xl/sharedStrings.xml><?xml version="1.0" encoding="utf-8"?>
<sst xmlns="http://schemas.openxmlformats.org/spreadsheetml/2006/main" count="738" uniqueCount="629">
  <si>
    <t>Serial No.</t>
  </si>
  <si>
    <t>ARVIND BHADORIA</t>
  </si>
  <si>
    <t>HARI SHANKAR FHOGI</t>
  </si>
  <si>
    <t>HEMANT SATYADEV KATARE</t>
  </si>
  <si>
    <t>OM PRAKASH JAREHA</t>
  </si>
  <si>
    <t>MUNNA SINGH BHADOURIA</t>
  </si>
  <si>
    <t>ANIL SINGH</t>
  </si>
  <si>
    <t>ABHISHEK MISHRA</t>
  </si>
  <si>
    <t>ARVIND TYAGI</t>
  </si>
  <si>
    <t>ARUN KATARE</t>
  </si>
  <si>
    <t>UMESH GARG</t>
  </si>
  <si>
    <t>CHANDRAVEER SINGH KUSHWAH</t>
  </si>
  <si>
    <t>CHANDRA PRAKASH SHARMA</t>
  </si>
  <si>
    <t>DHARMENDRA TIWARI</t>
  </si>
  <si>
    <t>NARENDRA SINGH BANSAL</t>
  </si>
  <si>
    <t>NAVAL SINGH</t>
  </si>
  <si>
    <t>PAN SINGH</t>
  </si>
  <si>
    <t>PANKAJ SHARMA</t>
  </si>
  <si>
    <t>BRAJENDER SINGH</t>
  </si>
  <si>
    <t>MAHESH KUMAR</t>
  </si>
  <si>
    <t>MAHESH SINGH YADAV</t>
  </si>
  <si>
    <t>MEERA DEVI</t>
  </si>
  <si>
    <t>RAVI BAGHEL</t>
  </si>
  <si>
    <t>RAJ KISHOR SHARMA</t>
  </si>
  <si>
    <t>RAMDAS GURJAR</t>
  </si>
  <si>
    <t>RAMVILASH</t>
  </si>
  <si>
    <t>RAHUL SHARMA</t>
  </si>
  <si>
    <t>VIJAY SINGH KUSHVAH</t>
  </si>
  <si>
    <t>VINOD KUMAR JATAV</t>
  </si>
  <si>
    <t>SATYA PRAKASH PATHAK</t>
  </si>
  <si>
    <t>SATENDRA SINGH BHADORIYA (CHACHA)</t>
  </si>
  <si>
    <t>SUNEEL KUMAR</t>
  </si>
  <si>
    <t>POOJA-HEERENDRA PRATAP  (PUR)</t>
  </si>
  <si>
    <t>ASHOK SINGH</t>
  </si>
  <si>
    <t>ASHA RAM</t>
  </si>
  <si>
    <t>KESHAV SINGH GURJAR</t>
  </si>
  <si>
    <t>DHARMENDRA SINGH MOURYA</t>
  </si>
  <si>
    <t>RAJEEV</t>
  </si>
  <si>
    <t>RADHAMOHAN</t>
  </si>
  <si>
    <r>
      <rPr>
        <b/>
        <sz val="11"/>
        <rFont val="Calibri"/>
        <family val="2"/>
        <scheme val="minor"/>
      </rPr>
      <t>Total EVM
Votes</t>
    </r>
  </si>
  <si>
    <r>
      <rPr>
        <b/>
        <sz val="11"/>
        <rFont val="Calibri"/>
        <family val="2"/>
        <scheme val="minor"/>
      </rPr>
      <t>Total Votes
Polled</t>
    </r>
  </si>
  <si>
    <r>
      <rPr>
        <b/>
        <sz val="11"/>
        <rFont val="Calibri"/>
        <family val="2"/>
        <scheme val="minor"/>
      </rPr>
      <t>Total Postal Ballot
Votes</t>
    </r>
  </si>
  <si>
    <t>Pollingh Booth no.</t>
  </si>
  <si>
    <t>Total Vaild Votes</t>
  </si>
  <si>
    <t>Total invaild votes</t>
  </si>
  <si>
    <t>Nota</t>
  </si>
  <si>
    <t>Total Votes Polled</t>
  </si>
  <si>
    <t>Total Inventory  Votes</t>
  </si>
  <si>
    <t>क्र.सं.</t>
  </si>
  <si>
    <t>मतदान केन्द्र का परिक्षेत्र</t>
  </si>
  <si>
    <t>भवन जिसमें यह स्थित होगा</t>
  </si>
  <si>
    <t>कछपुरा</t>
  </si>
  <si>
    <t>प्रा.शा.भ. कछपुरा</t>
  </si>
  <si>
    <t>कनेरा न.1</t>
  </si>
  <si>
    <t>मा.शा.भ. कनेरा</t>
  </si>
  <si>
    <t>कनेरा न.2</t>
  </si>
  <si>
    <t>प्रा.वि. बजरिया कनेरा</t>
  </si>
  <si>
    <t>कनेरा नं.3</t>
  </si>
  <si>
    <t>प्रा.शा.भ. मजरा तलिया का पुरा</t>
  </si>
  <si>
    <t>कनेरा नं.4</t>
  </si>
  <si>
    <t>प्रा.शा.भ. मजरा पचौरियन का पुरा (कनेरा)</t>
  </si>
  <si>
    <t>उदातगढ़ नं.1</t>
  </si>
  <si>
    <t>शा.उ.मा.वि. मुख्य मार्ग उदोतगढ़</t>
  </si>
  <si>
    <t>उदोतगढ़ नं.2</t>
  </si>
  <si>
    <t>शा.बा.प्रा.वि. उदोतगढ़</t>
  </si>
  <si>
    <t>उदोतगढ़ नं.3</t>
  </si>
  <si>
    <t>रोहन्दा</t>
  </si>
  <si>
    <t>प्रा.शा.भ. मजरा काछियों का पुरा</t>
  </si>
  <si>
    <t>माधना</t>
  </si>
  <si>
    <t>प्रा.शा.भ. मोधना</t>
  </si>
  <si>
    <t>बठीत नं.1</t>
  </si>
  <si>
    <t>मा.शा.न. बठीत</t>
  </si>
  <si>
    <t>खडीत न.2</t>
  </si>
  <si>
    <t>माशाम कम 2 लठीत</t>
  </si>
  <si>
    <t>खडेरी न.1</t>
  </si>
  <si>
    <t>गाशाभः गजरा बढ़ापुरा</t>
  </si>
  <si>
    <t>नाटेरी न.2</t>
  </si>
  <si>
    <t>प्रा.वि. लतेरी</t>
  </si>
  <si>
    <t>शुक्लपुरा नं.1</t>
  </si>
  <si>
    <t>प्रा.शा.म. पूर्वी शुक्लपुरा</t>
  </si>
  <si>
    <t>शुक्लपुरा न.2</t>
  </si>
  <si>
    <t>प्रा.शा.म. पश्चिमी शुक्तपुरा</t>
  </si>
  <si>
    <t>बूढनपुर</t>
  </si>
  <si>
    <t>मा.शा.भ. यूढनपुर</t>
  </si>
  <si>
    <t>अहरौली काली</t>
  </si>
  <si>
    <t>गा.शा.भ. अहरौली काली</t>
  </si>
  <si>
    <t>गटेर</t>
  </si>
  <si>
    <t>प्रा.शा नगर</t>
  </si>
  <si>
    <t>चीम्हों न.1</t>
  </si>
  <si>
    <t>माशा.भ. दक्षिणीचीमही</t>
  </si>
  <si>
    <t>चौम्हों न.2</t>
  </si>
  <si>
    <t>मा.शा.म. उत्तरीचीम्ही</t>
  </si>
  <si>
    <t>चौम्हों न.3</t>
  </si>
  <si>
    <t xml:space="preserve"> मा.शा.भ. भोम्हा पूर्वी भाग</t>
  </si>
  <si>
    <t>खेराहट</t>
  </si>
  <si>
    <t xml:space="preserve"> प्रा.शा.म. खेराहट</t>
  </si>
  <si>
    <t>नावलीवृन्दावन</t>
  </si>
  <si>
    <t>प्रा.शा.म. नाबलीवृन्दावन</t>
  </si>
  <si>
    <t>अटेर न.1</t>
  </si>
  <si>
    <t>उ.मा.वि. पूर्वी अटेर</t>
  </si>
  <si>
    <t>अटेर नं.2</t>
  </si>
  <si>
    <t>—</t>
  </si>
  <si>
    <t>अटेर न.3</t>
  </si>
  <si>
    <t>उ.मा.वि. पश्मिमी अटेर; शा.मावि. पश्चिमी अहेर</t>
  </si>
  <si>
    <t>अटेर न</t>
  </si>
  <si>
    <t>शानावि दक्षिणी अटेर</t>
  </si>
  <si>
    <t>रपुरा</t>
  </si>
  <si>
    <t>प्रा.शा.भ. रैपुरा</t>
  </si>
  <si>
    <t>सिनोची</t>
  </si>
  <si>
    <t>प्रा.शा. नवनधिनांची</t>
  </si>
  <si>
    <t>कदीरा में 1</t>
  </si>
  <si>
    <t>प्रा.शा.म. कदीरा</t>
  </si>
  <si>
    <t>कदीरा नं.2</t>
  </si>
  <si>
    <t>मा.वि. कदौरा</t>
  </si>
  <si>
    <t>नागलीहार</t>
  </si>
  <si>
    <t>तरस्सीखर</t>
  </si>
  <si>
    <t>अगदपुरा नं.1</t>
  </si>
  <si>
    <t>प्रा.शा नामावलीहार; मध्शाभ तरसौखर; प्रा.शा.म. अंगदपुरा</t>
  </si>
  <si>
    <t>अंगदपुरा न.2</t>
  </si>
  <si>
    <t>प्रा.शा.म.म.जरा बसवा कापुरा (अंगदपुरा)</t>
  </si>
  <si>
    <t>अहरीली घाट</t>
  </si>
  <si>
    <t>माशाभ अहरौली घाट</t>
  </si>
  <si>
    <t>मौरा</t>
  </si>
  <si>
    <t>प्रा.शा.भ. सौरा</t>
  </si>
  <si>
    <t>सोरा</t>
  </si>
  <si>
    <t>मल्लपुरा</t>
  </si>
  <si>
    <t>प्रा.शा.भ. मल्लपुरा</t>
  </si>
  <si>
    <t>निवारी</t>
  </si>
  <si>
    <t>प्रा.शा.म. निवारी</t>
  </si>
  <si>
    <t>खरिका नं.1</t>
  </si>
  <si>
    <t>मा.वि. खरिका</t>
  </si>
  <si>
    <t>खरिका नं.2</t>
  </si>
  <si>
    <t>हाईस्कूल खरिका</t>
  </si>
  <si>
    <t>जम्हारा न.1</t>
  </si>
  <si>
    <t>प्रा.शा.भ. मजरा बघेलन का पुरा (जम्हौरा)</t>
  </si>
  <si>
    <t>जम्हारा नं.2</t>
  </si>
  <si>
    <t>प्रा.शा.भ. मजरा अशोक नगर (जम्हौरा)</t>
  </si>
  <si>
    <t>बलारपुरा नं.1</t>
  </si>
  <si>
    <t>माशाभ पूर्वी बलारपुरा</t>
  </si>
  <si>
    <t>बलारपुरा नं.2</t>
  </si>
  <si>
    <t>बढपुरी</t>
  </si>
  <si>
    <t>बढ़पुरा</t>
  </si>
  <si>
    <t>प्रतापपुरा न.1</t>
  </si>
  <si>
    <t>माशाभ पश्चिमी बलारपुरा; प्रा.शा.भ. बढपुरी; माशाभ बडपुरा; मा.शा.भ. प्रतापपुरा</t>
  </si>
  <si>
    <t>प्रतापपुरा नं.2</t>
  </si>
  <si>
    <t>कन्या प्रा.वि. प्रतापपुरा</t>
  </si>
  <si>
    <t>गोहदूपुरा</t>
  </si>
  <si>
    <t>रतनूपुरा</t>
  </si>
  <si>
    <t>प्रा.शा.भ. गोहदूपुरा; प्रा.शा.भ. रतनूपुरा</t>
  </si>
  <si>
    <t>खेरी</t>
  </si>
  <si>
    <t>प्रा.शा.भ. खेरी</t>
  </si>
  <si>
    <t>हुलापुरा</t>
  </si>
  <si>
    <t>प्रा.शा.भ. हुलापुरा</t>
  </si>
  <si>
    <t>विण्डवा नं.</t>
  </si>
  <si>
    <t>शा.मा.वि. बिष्ठवा</t>
  </si>
  <si>
    <t>विण्डवा नं.2</t>
  </si>
  <si>
    <t>शा. प्रा.वि. विण्डवा</t>
  </si>
  <si>
    <t>सालिंगपुर</t>
  </si>
  <si>
    <t>प्रा.शा.भ. सालिंगपुर</t>
  </si>
  <si>
    <t>रिखपौना नं.1</t>
  </si>
  <si>
    <t>प्रा.शा.भ. कक्ष के खिपौना</t>
  </si>
  <si>
    <t>रिखपीना नं.2</t>
  </si>
  <si>
    <t>प्रा.शा.भ. कक्ष के 2 खिपौना</t>
  </si>
  <si>
    <t>मधेरा</t>
  </si>
  <si>
    <t>प्रा.शा.भ. मघेरा</t>
  </si>
  <si>
    <t>हिम्मतपुरा</t>
  </si>
  <si>
    <t>शा. प्रा.वि. हिम्मतपुरा</t>
  </si>
  <si>
    <t>जमसारा नं.1</t>
  </si>
  <si>
    <t>उ०मा०वि०जमसारा कक्ष क्र. 1</t>
  </si>
  <si>
    <t>जमसारा नं.2</t>
  </si>
  <si>
    <t>आकौन नं.1</t>
  </si>
  <si>
    <t>आकौन नं.2</t>
  </si>
  <si>
    <t>नखलोली</t>
  </si>
  <si>
    <t>चितावली</t>
  </si>
  <si>
    <t>प्रा.शा. भवन नरखलोली; प्रा शा भवनचितावली</t>
  </si>
  <si>
    <t>किखूपुरा नं.1</t>
  </si>
  <si>
    <t>किशूपुरा नं.2</t>
  </si>
  <si>
    <t>किलूपुरा नं.3</t>
  </si>
  <si>
    <t>मा.शा.भ.कक्ष क. 1 पूर्वी किशूपुरा; शा.प्रा.वि. किशपुरा; मा.शा.भ. पश्चिमी फिशूपुरा</t>
  </si>
  <si>
    <t>जोरी कोतवाल</t>
  </si>
  <si>
    <t>मा.शा.भ.जोरी कोतवाल</t>
  </si>
  <si>
    <t>छिडियापुरा</t>
  </si>
  <si>
    <t>प्रा.शा. भवन छिठियापुरा</t>
  </si>
  <si>
    <t>वमनपुरा</t>
  </si>
  <si>
    <t>प्रा.शा.भ. वमनपुरा</t>
  </si>
  <si>
    <t>तोर का पुरा</t>
  </si>
  <si>
    <t>अनुरुद्धपुरा</t>
  </si>
  <si>
    <t>प्रा.शा. भवन अनुरुद्धपुरा</t>
  </si>
  <si>
    <t>रिदौली नं.1</t>
  </si>
  <si>
    <t>मा.शा.भ. रिदीली</t>
  </si>
  <si>
    <t>रिदीली नं.2</t>
  </si>
  <si>
    <t>रमटा</t>
  </si>
  <si>
    <t>प्रा.शा.भ. रमटा</t>
  </si>
  <si>
    <t>देपुरा नं.1</t>
  </si>
  <si>
    <t>प्रा.शा. भवन वैपुरा</t>
  </si>
  <si>
    <t>दैपुरा नं.2</t>
  </si>
  <si>
    <t>प्रा.शा भवन मजरा सुखवासी का पुरा</t>
  </si>
  <si>
    <t>परा नं.1</t>
  </si>
  <si>
    <t>मा.शा.भ. पूर्वीपरा</t>
  </si>
  <si>
    <t>परा नं.2 अतिरिक्त</t>
  </si>
  <si>
    <t>माशाभ. अतिरिक्त कक्ष परा</t>
  </si>
  <si>
    <t>परा नं.3</t>
  </si>
  <si>
    <t>माशा.भ.पश्चिमी परा कया क्र 1</t>
  </si>
  <si>
    <t>परा न.4</t>
  </si>
  <si>
    <t>प्रा.शा.भ. अतिरिक्त कक्ष परा</t>
  </si>
  <si>
    <t>परा नं.5</t>
  </si>
  <si>
    <t>प्रा.शा.भ. फ्रा का पुरा</t>
  </si>
  <si>
    <t>परा न.6</t>
  </si>
  <si>
    <t>सोई नं.1</t>
  </si>
  <si>
    <t>सोई नं.2</t>
  </si>
  <si>
    <t>जनौरा</t>
  </si>
  <si>
    <t>मा.शाभ, सोनेलाल का पुरा; प्रा.शाभ सीई; प्रा.शा. भवन कार्जियन का पुरा; प्रा शा भजनौरा; प्रा.शा.भ. मजरा कमई का पुरा</t>
  </si>
  <si>
    <t>कमई</t>
  </si>
  <si>
    <t>गजना न.1</t>
  </si>
  <si>
    <t>शा.मा.शा.म. उपरी भाग गजना; शा.गा.शा.भ. दक्षिणी भाग गजना</t>
  </si>
  <si>
    <t>गजना न.2</t>
  </si>
  <si>
    <t>दुल्हागन नं.1</t>
  </si>
  <si>
    <t>शा.मा.शा.5. पूर्वीदुल्हागम; शा.मा.शा.5. प० दुल्हागन</t>
  </si>
  <si>
    <t>दुल्हागन नं.2</t>
  </si>
  <si>
    <t>शा.प्रा.शा.भ. मजरा पेरा</t>
  </si>
  <si>
    <t>कल्यान पुरा</t>
  </si>
  <si>
    <t>मटशाभि कल्यान पुरा; प्रा.शा. मवनदन्तंतता</t>
  </si>
  <si>
    <t>सुरपुरा न.1</t>
  </si>
  <si>
    <t>माशा.न सुरपुरा अति कक्ष</t>
  </si>
  <si>
    <t>सुरपुरा न.2</t>
  </si>
  <si>
    <t>जलुआपुरा</t>
  </si>
  <si>
    <t>प्रा.शा.म. जलआपुरा</t>
  </si>
  <si>
    <t>मयारीपुरा</t>
  </si>
  <si>
    <t>मर्नेपुरा</t>
  </si>
  <si>
    <t>प्रा.शा में क्यारीपूरा; माशाभ मर्नपुरा</t>
  </si>
  <si>
    <t>कोसठ न.1</t>
  </si>
  <si>
    <t>शाराजीब गश्री शिक्षा मिशन कोषउ</t>
  </si>
  <si>
    <t>कोराउ नं.2</t>
  </si>
  <si>
    <t>मध्शा.न. कोराठ</t>
  </si>
  <si>
    <t>कोसठ नं.3</t>
  </si>
  <si>
    <t>प्रा.शा.न. 3 मजरा भदौरियन का पुरा</t>
  </si>
  <si>
    <t>विजोरा</t>
  </si>
  <si>
    <t>प्रा.शा.अ. विजोरा</t>
  </si>
  <si>
    <t>निलोंगा</t>
  </si>
  <si>
    <t>परिवाया</t>
  </si>
  <si>
    <t>रमा नं</t>
  </si>
  <si>
    <t>रना नं.2</t>
  </si>
  <si>
    <t>प्रा.शा.भ.नयाचिलोंगा; प्रा.शा न परियामा; ग्रामपंचायत भवन काई करना; शाक मा.वि रमा</t>
  </si>
  <si>
    <t>रमा न.2</t>
  </si>
  <si>
    <t>पा.मा.वि. रमा अतिरिक्त ज्या</t>
  </si>
  <si>
    <t>हमीरा पुरा</t>
  </si>
  <si>
    <t>भगतुआपुरा</t>
  </si>
  <si>
    <t>दतायली</t>
  </si>
  <si>
    <t>भगवन्त पुरा</t>
  </si>
  <si>
    <t>प्रा.शा. नहमीरा पुरा; प्रा.ला. भाभमतुआपुरा; प्रा.शा.म.दत्ताबली; शा.प्रा.वि.भगवन्त पुरा</t>
  </si>
  <si>
    <t>गधेयापुरा</t>
  </si>
  <si>
    <t>एकराया नं.1</t>
  </si>
  <si>
    <t>सकराया नं.2</t>
  </si>
  <si>
    <t>प्रा.सा.म.मीयापुरा; मा.शा.ग. पूर्वीसकराया; गाशान पश्चिमीरा कराया; प्राशान जौरी अहीर</t>
  </si>
  <si>
    <t>जौरी अहीर</t>
  </si>
  <si>
    <t>गदा</t>
  </si>
  <si>
    <t>पंचायत सवत गढ़ा</t>
  </si>
  <si>
    <t>चाचर न.</t>
  </si>
  <si>
    <t>प्रा.शा.अ.चाचर</t>
  </si>
  <si>
    <t>चाचर न.2</t>
  </si>
  <si>
    <t>ग्राम स्वराज सवन चाचर</t>
  </si>
  <si>
    <t>रानीपुरा न.1</t>
  </si>
  <si>
    <t>रानीपुरा नं 2</t>
  </si>
  <si>
    <t>मा.शा.म. का० न०1 रानीपुरा; माशा म काना रानीपुरा</t>
  </si>
  <si>
    <t>बठापुरा</t>
  </si>
  <si>
    <t>प्रा.सा.भ.बठापुरा</t>
  </si>
  <si>
    <t>नरीपुरा</t>
  </si>
  <si>
    <t>पाली नं.1</t>
  </si>
  <si>
    <t>प्रा.शा.म.नरीपुरा; प्रा.शा.म.पाली (Duplicate Serial Number)</t>
  </si>
  <si>
    <t>पाली नंउ</t>
  </si>
  <si>
    <t>प्रा.शा. सवन मजरा जाजेपुरा</t>
  </si>
  <si>
    <t>पाली नं.2</t>
  </si>
  <si>
    <t>प्रा.शा.सवन मजरा कपूरपुरा</t>
  </si>
  <si>
    <t>भीमपुरा</t>
  </si>
  <si>
    <t>गटचैना नं.</t>
  </si>
  <si>
    <t>मटमैना नं.2</t>
  </si>
  <si>
    <t>रानी विरगया नं.1</t>
  </si>
  <si>
    <t>सन्नी विरगां नं.2</t>
  </si>
  <si>
    <t>रानी विरगयां नं.3</t>
  </si>
  <si>
    <t>प्रा. शा.न.भीमपुरा; प्रा.शा.ग.मटीना; प्रा.शा.ग.तोर का पुरा (गटरीना); मा.शा.ग. उत्तरीरानी विरगवां; कन्या प्रा.शा.भवन रानीविरगया; माशान दक्षिणीरानी विरगचा</t>
  </si>
  <si>
    <t>रानी विरगयां न.4</t>
  </si>
  <si>
    <t>प्रा.शा. भवन रामनगर रानीविरगया</t>
  </si>
  <si>
    <t>सिमराव नं.</t>
  </si>
  <si>
    <t>सिमराब न.2</t>
  </si>
  <si>
    <t>निहाली</t>
  </si>
  <si>
    <t>जवासा नं.</t>
  </si>
  <si>
    <t>जयाला नं.2</t>
  </si>
  <si>
    <t>माशा.म. उत्तरी सिमराव; माशा.म. दक्षिणी सिमराब; जआंगनवाती भवन मुख्य मार्ग मिहोनी; माशाम उत्तरी मजस मुरली का पुरा (जवासा); माशाम पशयनी नजरा मुरली का पुरा (जगासा)</t>
  </si>
  <si>
    <t>जबासा नं.3</t>
  </si>
  <si>
    <t>जाता नं.4</t>
  </si>
  <si>
    <t>जगासा न.6</t>
  </si>
  <si>
    <t>जाता नं.</t>
  </si>
  <si>
    <t>जकसा नं.४</t>
  </si>
  <si>
    <t>उ.मा.वि.कमरा मजरा जगन्नाथपुरा (जवासा); उ मा वि. कमरा 2 मजरा जगन्नाथपुरा (जवासा); उ.मा.वि. कमरा 3 मजरा जगन्नाथपुरा (जवासा); प्रा.शा.भ० गजरा कछियाना (जवार); प्रा० शा०. मजरा गवूकापुरा (जवासा); प्रा० शा०म. मजरा मढैया (जयासा); प्रा.सा.म.देहरा</t>
  </si>
  <si>
    <t>देहरा</t>
  </si>
  <si>
    <t>रानीपुरा</t>
  </si>
  <si>
    <t>— (Duplicate Serial Number)</t>
  </si>
  <si>
    <t>बगुलरी</t>
  </si>
  <si>
    <t>मसूरी न</t>
  </si>
  <si>
    <t>मसूरी नं2</t>
  </si>
  <si>
    <t>नरसिहगढ़</t>
  </si>
  <si>
    <t>ईगुरी</t>
  </si>
  <si>
    <t>विजयगज</t>
  </si>
  <si>
    <t>महेवा</t>
  </si>
  <si>
    <t>प्रा. शा. मारानीपुरा; मा.शा.म. उत्तरीमसूरी; महशा.भ. दक्षिणीगसूरी; मध्शाभ. नरसिंहराज; प्रा.ला.म.ईगुरी; प्रा.ला.म.विजयगड; प्रा शा नबगुलरी; प्रा.शा.म.महेवा</t>
  </si>
  <si>
    <t>स्यावली नं. १</t>
  </si>
  <si>
    <t>विरगयां में 1</t>
  </si>
  <si>
    <t>विरगंडा नं 2</t>
  </si>
  <si>
    <t>प्रा.शा.न. स्यावली कक्ष क; प्रा.शा.म.स्यावली कक्ष के 2; प्रा.शा.भ.विरगवां; प्रा.शा.२० ठाकूरन का पुरा</t>
  </si>
  <si>
    <t>पावई नं 1</t>
  </si>
  <si>
    <t>पावई न.2</t>
  </si>
  <si>
    <t>पाली में1</t>
  </si>
  <si>
    <t>माध्यमिक शाला भवन नजरा बाग का पुरा पाली</t>
  </si>
  <si>
    <t>पाबई न3</t>
  </si>
  <si>
    <t>माशान पावई; प्रा.शा.भ. गजरा आदर्शपुरा; प्रा.शा.भ. नयापुरा</t>
  </si>
  <si>
    <t>पचौरपरा</t>
  </si>
  <si>
    <t>गोअरखुर्द नं.1</t>
  </si>
  <si>
    <t>प्रा.शा.म. पिथनपुरा; माशा.म. गोअरखुर्द</t>
  </si>
  <si>
    <t>गोअरखुर्द नं.2</t>
  </si>
  <si>
    <t>प्रा.शा.नं. गोअरखुर्द</t>
  </si>
  <si>
    <t>गोजरकला</t>
  </si>
  <si>
    <t>जंजारीपुरा</t>
  </si>
  <si>
    <t>रखपुरा</t>
  </si>
  <si>
    <t>बिछोली न.</t>
  </si>
  <si>
    <t>बिछोली न. 2</t>
  </si>
  <si>
    <t>बेदीपुरा</t>
  </si>
  <si>
    <t>पीपरी न.1</t>
  </si>
  <si>
    <t>पीपरी नं.2</t>
  </si>
  <si>
    <t>खिदरपुरा</t>
  </si>
  <si>
    <t>नवीन सामुदायिक भवन गोजर कला; प्रा.शा न जंजारीपुरा; प्रा.शा.ग.रगपुरा; प्रा.शा.म. उत्तरी मृगपुरा; प्रा.शा.न. दक्षिणी मृगपुरा; मा.शा.भ.बिछोली कथा क्र. 1; पंचायत भवन बिछीली; मा.शाम बंदीपुरा; शरशहीद सुल्तान सिंह नरवरिया उ.मा.वि. कक्ष क. १ मीपरी; शाशहीद सुल्तान सिंह नरवरिया उ.ना.वि. कक्ष क. 2 पीपरी; प्रा.शा.न.विदरपुरा</t>
  </si>
  <si>
    <t>जॉरी ब्राहमण</t>
  </si>
  <si>
    <t>माशा.म. जोरी ब्राहमण</t>
  </si>
  <si>
    <t>मदनपुरा</t>
  </si>
  <si>
    <t>पाली नं2</t>
  </si>
  <si>
    <t>प्राथमिक शाला नवन मजरा व्यासन का पुरा पाली</t>
  </si>
  <si>
    <t>ऐतहार नं.2</t>
  </si>
  <si>
    <t>चकरपुरा</t>
  </si>
  <si>
    <t>पिथनपुरा</t>
  </si>
  <si>
    <t>महापुर न.2</t>
  </si>
  <si>
    <t>बरोही नं.</t>
  </si>
  <si>
    <t>बरोही नं. 2</t>
  </si>
  <si>
    <t>डोंगरपुरा</t>
  </si>
  <si>
    <t>सुजानपुरा</t>
  </si>
  <si>
    <t>नायय</t>
  </si>
  <si>
    <t>प्रा.शा.भ.मदनपुरा; नवीन शा.प्रा./गाडि रेपुरा; माशा.न. उत्तरीऎतहार; म.सा.म. दक्षिणीऐतहार; प्रा.शा.भ. चकरपुरा; मा.शा.म. महापुर कक्ष क्र. 1; माशान महापुर कज क 2; शाहाइकूल बरोही; शाहाईकुल बरोही (अतिरिक्त कक्ष); प्रायशाम ठोग रपुरा; प्रा.शा.भ. सुजानपुरा; पचायत भवन नायय</t>
  </si>
  <si>
    <t>गोपालपुरा</t>
  </si>
  <si>
    <t>पूर्व</t>
  </si>
  <si>
    <t>प्रसाशा म०सुाई</t>
  </si>
  <si>
    <t>लावन नं.1</t>
  </si>
  <si>
    <t>लावन नं. 2</t>
  </si>
  <si>
    <t>लायन नं. 3</t>
  </si>
  <si>
    <t>माशा.भ. उत्तरी लावन</t>
  </si>
  <si>
    <t>लावन नं. 4</t>
  </si>
  <si>
    <t>अम्लेहडी</t>
  </si>
  <si>
    <t>प्रा० शा.म. अम्लेहडी</t>
  </si>
  <si>
    <t>अम्लेहदा</t>
  </si>
  <si>
    <t>प्रा०शा.म. अम्लेहड़ा</t>
  </si>
  <si>
    <t>पिठीरा नं. १</t>
  </si>
  <si>
    <t>प्रा.शा.म. पिठौरा</t>
  </si>
  <si>
    <t>पिठीरा नं.2</t>
  </si>
  <si>
    <t>मा.शा.भ. पिठीरा</t>
  </si>
  <si>
    <t>पुर नं.1</t>
  </si>
  <si>
    <t>माशा०भ० पूर्वी पुर नवीन</t>
  </si>
  <si>
    <t>पुर न.2</t>
  </si>
  <si>
    <t>माशा.भ. नवीन पशचिमी पुर</t>
  </si>
  <si>
    <t>पुर नं.3</t>
  </si>
  <si>
    <t>कुसमार</t>
  </si>
  <si>
    <t>लग्यनपुरा</t>
  </si>
  <si>
    <t>बीसनपुरा</t>
  </si>
  <si>
    <t>मूरतपुरा</t>
  </si>
  <si>
    <t>माध्यमिक शाला भवन पश्चिमी पुर</t>
  </si>
  <si>
    <t>प्राथमिक शाला भवन मूरतपुरा</t>
  </si>
  <si>
    <t>लहारपुरा</t>
  </si>
  <si>
    <t>प्रा० शा. भ० लहारपुरा</t>
  </si>
  <si>
    <t>जारी</t>
  </si>
  <si>
    <t>प्रा. शा.म० जारी</t>
  </si>
  <si>
    <t>सारू पुरा</t>
  </si>
  <si>
    <t>प्रा०शा.म. सारू पुरा</t>
  </si>
  <si>
    <t>टीकरी</t>
  </si>
  <si>
    <t>प्रा.शा. मण्टीकरी</t>
  </si>
  <si>
    <t>चौकी</t>
  </si>
  <si>
    <t>मा.शा. म०बौकी</t>
  </si>
  <si>
    <t>शरई न.1</t>
  </si>
  <si>
    <t>मा.शा.स. धरई</t>
  </si>
  <si>
    <t>भरई न.2</t>
  </si>
  <si>
    <t>प्रा.शा.म. वरई</t>
  </si>
  <si>
    <t>भुजपुरा नं.1</t>
  </si>
  <si>
    <t>प्रा. शा.म. भुजपुरा</t>
  </si>
  <si>
    <t>भुजपुरा न. 2</t>
  </si>
  <si>
    <t>मा.शा.म. मुजपुरा</t>
  </si>
  <si>
    <t>बक्सीपुरा</t>
  </si>
  <si>
    <t>प्रा. शा. भ० बक्सीपुरा</t>
  </si>
  <si>
    <t>नालीपुरा</t>
  </si>
  <si>
    <t>प्रा०शा. भ. नालीपुरा</t>
  </si>
  <si>
    <t>मुठियाबेठा नं.1</t>
  </si>
  <si>
    <t>मा.शा. भ. मुठियाखेडा</t>
  </si>
  <si>
    <t>मुडियाखेडा नं.2</t>
  </si>
  <si>
    <t>प्रा.शा. भ. मुठिया खेड़ा</t>
  </si>
  <si>
    <t>उदोतपुरा</t>
  </si>
  <si>
    <t>मा.शा. भ. उदोतपुरा</t>
  </si>
  <si>
    <t>कुरथरा नं.1</t>
  </si>
  <si>
    <t>प्रा० शा० भ० कुरथरा</t>
  </si>
  <si>
    <t>कुरथरा न2</t>
  </si>
  <si>
    <t>दीनपुरा नं01</t>
  </si>
  <si>
    <t>दीनपुरा नं02</t>
  </si>
  <si>
    <t>डिठीखुर्द</t>
  </si>
  <si>
    <t>माशाम कुरथरा</t>
  </si>
  <si>
    <t>डिठीकला नं.1</t>
  </si>
  <si>
    <t>प्रा०शा० म० डिठीकला</t>
  </si>
  <si>
    <t>डिठीकला नं.2</t>
  </si>
  <si>
    <t>प्रा.वि. जवाहरपुरा</t>
  </si>
  <si>
    <t>चासठ</t>
  </si>
  <si>
    <t>मिरचोली</t>
  </si>
  <si>
    <t>प्रा० शा०म० चासठ</t>
  </si>
  <si>
    <t>भगवासी न. 1</t>
  </si>
  <si>
    <t>प्रा०० म० भगवानरी कक्ष क. 1</t>
  </si>
  <si>
    <t>भगवासी नं. 2</t>
  </si>
  <si>
    <t>प्रा०शा०भ०भगवासी कक्ष क्र. 2</t>
  </si>
  <si>
    <t>अहंती</t>
  </si>
  <si>
    <t>मदाकुर नं01</t>
  </si>
  <si>
    <t>प्रा० शा०म अहंती</t>
  </si>
  <si>
    <t>सदाकुर नं02</t>
  </si>
  <si>
    <t>प्रा.शाला भवन भदाकुर कक्ष क्र. 1</t>
  </si>
  <si>
    <t>मदाकर नए</t>
  </si>
  <si>
    <t>भदाकुर नं04</t>
  </si>
  <si>
    <t>फूपकला नं01</t>
  </si>
  <si>
    <t>फूपकला नं० 2</t>
  </si>
  <si>
    <t>फूपकला नं03</t>
  </si>
  <si>
    <t>मा००भ० ८०मदाकुर</t>
  </si>
  <si>
    <t>मा.शा.भ. अतिरिक्त कक्ष क्र.1</t>
  </si>
  <si>
    <t>फूपकला त04</t>
  </si>
  <si>
    <t>मा.शा.म. अतिरिक्त कक्ष क्र. 2</t>
  </si>
  <si>
    <t>फूपकला नं० 5</t>
  </si>
  <si>
    <t>फूपकला नं० 6</t>
  </si>
  <si>
    <t>फपकला नं0 7</t>
  </si>
  <si>
    <t>मा०शा०भ० पूर्वी क०नं01 फूप</t>
  </si>
  <si>
    <t>फूपकला न० ৪</t>
  </si>
  <si>
    <t>प्रा० शा० २० क० नं० 2 फूप</t>
  </si>
  <si>
    <t>फूपकला नं० 9</t>
  </si>
  <si>
    <t>फूपकला नं0 10</t>
  </si>
  <si>
    <t>का.न. पंचायत भवन उत्तरी फूप</t>
  </si>
  <si>
    <t>रामगढ़</t>
  </si>
  <si>
    <t>प्रा० शा० भ० रामगढ़</t>
  </si>
  <si>
    <t>बरही नं.1</t>
  </si>
  <si>
    <t>मा० शा०भ० बरही (पूर्वी)</t>
  </si>
  <si>
    <t>समन्ना</t>
  </si>
  <si>
    <t>प्रावशाभ मजरा कचनपुरी</t>
  </si>
  <si>
    <t>सपाठ</t>
  </si>
  <si>
    <t>प्रा०शा०भ० मजरा बिलावर ताल</t>
  </si>
  <si>
    <t>ग्यानप्रा नं01</t>
  </si>
  <si>
    <t>प्रा.शा.भ० ग्यानपुरा</t>
  </si>
  <si>
    <t>ग्यानपुरा नं02</t>
  </si>
  <si>
    <t>प्रा.शा.भ० मजरा कनिकपुरा</t>
  </si>
  <si>
    <t>सराया</t>
  </si>
  <si>
    <t>पंचायत भवन सराया</t>
  </si>
  <si>
    <t>सांकरी नं.1</t>
  </si>
  <si>
    <t>सांकरी नं.2</t>
  </si>
  <si>
    <t>प्रा० शा०भ. मजराकर कंकापुरा शांकरी दक्षिणी</t>
  </si>
  <si>
    <t>काजुई</t>
  </si>
  <si>
    <t>विष्टवा</t>
  </si>
  <si>
    <t>प्रा०शा० भ० काई</t>
  </si>
  <si>
    <t>पूछरी</t>
  </si>
  <si>
    <t>प्रा०शा भ० मजरा दरूआ</t>
  </si>
  <si>
    <t>मानपुरा नं.1</t>
  </si>
  <si>
    <t>मा० शा० भ० ज०भोनपुरा</t>
  </si>
  <si>
    <t>मोनपुरा नं. 2</t>
  </si>
  <si>
    <t>मा०शा०भ० द०भानपुरा कक्ष क्र. 1</t>
  </si>
  <si>
    <t>भोनपुरा नं. 3</t>
  </si>
  <si>
    <t>सफेदपुरा</t>
  </si>
  <si>
    <t>प्रा० शा० भ० सफेदपुरा</t>
  </si>
  <si>
    <t>नहारा</t>
  </si>
  <si>
    <t>प्रा० शा०भ० नहारा</t>
  </si>
  <si>
    <t>स्योडा नं01</t>
  </si>
  <si>
    <t>स्योडा नं0 2</t>
  </si>
  <si>
    <t>स्योडा नं0 3</t>
  </si>
  <si>
    <t>स्योता नं0 4</t>
  </si>
  <si>
    <t>स्योठा नं0 5</t>
  </si>
  <si>
    <t>स्योटा नं0 8</t>
  </si>
  <si>
    <t>मा०शा. भ. पश्चि० स्योठा</t>
  </si>
  <si>
    <t>सींगपुरा नं. 1</t>
  </si>
  <si>
    <t>पंचायत भवन भानपुरा</t>
  </si>
  <si>
    <t>सींगपुरा नं. 2</t>
  </si>
  <si>
    <t>प्रा०शा० भ० मजरा मदनपुरा</t>
  </si>
  <si>
    <t>मीसा</t>
  </si>
  <si>
    <t>प्रा.शा.भ.मजरा किशन की गढ़िया</t>
  </si>
  <si>
    <t>पीला डांडा</t>
  </si>
  <si>
    <t>प्रा०शा०भ० अति. कक्ष पीला डांडा</t>
  </si>
  <si>
    <t>कनावर नं.1</t>
  </si>
  <si>
    <t>प्रा.शा.भ. मजरा घना की गढ़िया</t>
  </si>
  <si>
    <t>कनावर नं02</t>
  </si>
  <si>
    <t>क० प्रा० शा०भ० मजरा चरी (कनावर)</t>
  </si>
  <si>
    <t>Female</t>
  </si>
  <si>
    <t>Male</t>
  </si>
  <si>
    <t>Total Ragistered Voter</t>
  </si>
  <si>
    <t>642 342 298</t>
  </si>
  <si>
    <t>1332 720 569</t>
  </si>
  <si>
    <t>809 429 380</t>
  </si>
  <si>
    <t>1205 647 551</t>
  </si>
  <si>
    <t>757 425 332</t>
  </si>
  <si>
    <t>843 455 388</t>
  </si>
  <si>
    <t>1036 544 491</t>
  </si>
  <si>
    <t>477 248 222</t>
  </si>
  <si>
    <t>1063 580 480</t>
  </si>
  <si>
    <t>587 311 274</t>
  </si>
  <si>
    <t>514 277 237</t>
  </si>
  <si>
    <t>979 520 457</t>
  </si>
  <si>
    <t>1205 641 562</t>
  </si>
  <si>
    <t>1124 611 508</t>
  </si>
  <si>
    <t>1013 538 474</t>
  </si>
  <si>
    <t>675 381 294</t>
  </si>
  <si>
    <t>903 492 394</t>
  </si>
  <si>
    <t>1120 611 508</t>
  </si>
  <si>
    <t>778 403 374</t>
  </si>
  <si>
    <t>1112 600 511</t>
  </si>
  <si>
    <t>731 391 336</t>
  </si>
  <si>
    <t>596 328 266</t>
  </si>
  <si>
    <t>533 296 236</t>
  </si>
  <si>
    <t>774 437 334</t>
  </si>
  <si>
    <t>767 416 344</t>
  </si>
  <si>
    <t>700 390 310</t>
  </si>
  <si>
    <t>542 298 244</t>
  </si>
  <si>
    <t>1197 643 554</t>
  </si>
  <si>
    <t>487 264 218</t>
  </si>
  <si>
    <t>1294 710 581</t>
  </si>
  <si>
    <t>844 469 375</t>
  </si>
  <si>
    <t>702 369 329</t>
  </si>
  <si>
    <t>760 412 343</t>
  </si>
  <si>
    <t>1254 704 544</t>
  </si>
  <si>
    <t>784 424 351</t>
  </si>
  <si>
    <t>694 368 326</t>
  </si>
  <si>
    <t>866 462 396</t>
  </si>
  <si>
    <t>1129 610 517</t>
  </si>
  <si>
    <t>734 388 343</t>
  </si>
  <si>
    <t>524 288 235</t>
  </si>
  <si>
    <t>613 349 264</t>
  </si>
  <si>
    <t>678 366 308</t>
  </si>
  <si>
    <t>673 357 316</t>
  </si>
  <si>
    <t>524 275 245</t>
  </si>
  <si>
    <t>380 205 174</t>
  </si>
  <si>
    <t>655 346 301</t>
  </si>
  <si>
    <t>600 307 293</t>
  </si>
  <si>
    <t>810 426 384</t>
  </si>
  <si>
    <t>290 160 126</t>
  </si>
  <si>
    <t>994 527 460</t>
  </si>
  <si>
    <t>515 279 235</t>
  </si>
  <si>
    <t>873 479 382</t>
  </si>
  <si>
    <t>563 298 262</t>
  </si>
  <si>
    <t>728 385 340</t>
  </si>
  <si>
    <t>697 356 338</t>
  </si>
  <si>
    <t>708 386 322</t>
  </si>
  <si>
    <t>531 282 239</t>
  </si>
  <si>
    <t>1168 622 546</t>
  </si>
  <si>
    <t>1113 584 518</t>
  </si>
  <si>
    <t>795 390 379</t>
  </si>
  <si>
    <t>605 317 284</t>
  </si>
  <si>
    <t>1230 632 597</t>
  </si>
  <si>
    <t>1101 587 507</t>
  </si>
  <si>
    <t>472 242 225</t>
  </si>
  <si>
    <t>666 344 321</t>
  </si>
  <si>
    <t>1020 555 465</t>
  </si>
  <si>
    <t>1027 547 478</t>
  </si>
  <si>
    <t>792 433 350</t>
  </si>
  <si>
    <t>768 417 346</t>
  </si>
  <si>
    <t>872 467 405</t>
  </si>
  <si>
    <t>851 475 371</t>
  </si>
  <si>
    <t>825 446 377</t>
  </si>
  <si>
    <t>614 339 271</t>
  </si>
  <si>
    <t>1256 680 571</t>
  </si>
  <si>
    <t>818 437 381</t>
  </si>
  <si>
    <t>1002 561 440</t>
  </si>
  <si>
    <t>1064 594 466</t>
  </si>
  <si>
    <t>1160 626 520</t>
  </si>
  <si>
    <t>819 453 363</t>
  </si>
  <si>
    <t>700 377 315</t>
  </si>
  <si>
    <t>1156 620 535</t>
  </si>
  <si>
    <t>873 485 388</t>
  </si>
  <si>
    <t>550 313 233</t>
  </si>
  <si>
    <t>964 524 438</t>
  </si>
  <si>
    <t>819 438 375</t>
  </si>
  <si>
    <t>677 357 314</t>
  </si>
  <si>
    <t>775 412 354</t>
  </si>
  <si>
    <t>310 163 147</t>
  </si>
  <si>
    <t>812 425 385</t>
  </si>
  <si>
    <t>981 542 439</t>
  </si>
  <si>
    <t>789 412 377</t>
  </si>
  <si>
    <t>824 449 375</t>
  </si>
  <si>
    <t>915 503 412</t>
  </si>
  <si>
    <t>1088 589 499</t>
  </si>
  <si>
    <t>1190 663 526</t>
  </si>
  <si>
    <t>1000 550 450</t>
  </si>
  <si>
    <t>1276 696 580</t>
  </si>
  <si>
    <t>1020 549 461</t>
  </si>
  <si>
    <t>732 394 338</t>
  </si>
  <si>
    <t>783 425 357</t>
  </si>
  <si>
    <t>553 293 258</t>
  </si>
  <si>
    <t>447 226 217</t>
  </si>
  <si>
    <t>708 374 330</t>
  </si>
  <si>
    <t>1106 605 499</t>
  </si>
  <si>
    <t>1370 746 624</t>
  </si>
  <si>
    <t>1236 698 533</t>
  </si>
  <si>
    <t>1284 725 559</t>
  </si>
  <si>
    <t>880 482 393</t>
  </si>
  <si>
    <t>907 491 414</t>
  </si>
  <si>
    <t>610 340 268</t>
  </si>
  <si>
    <t>869 461 402</t>
  </si>
  <si>
    <t>604 317 282</t>
  </si>
  <si>
    <t>877 446 428</t>
  </si>
  <si>
    <t>910 490 419</t>
  </si>
  <si>
    <t>454 240 214</t>
  </si>
  <si>
    <t>484 253 225</t>
  </si>
  <si>
    <t>833 449 379</t>
  </si>
  <si>
    <t>722 397 325</t>
  </si>
  <si>
    <t>534 293 236</t>
  </si>
  <si>
    <t>641 337 304</t>
  </si>
  <si>
    <t>698 383 308</t>
  </si>
  <si>
    <t>1105 611 494</t>
  </si>
  <si>
    <t>627 350 277</t>
  </si>
  <si>
    <t>1135 587 541</t>
  </si>
  <si>
    <t>757 402 354</t>
  </si>
  <si>
    <t>1117 619 498</t>
  </si>
  <si>
    <t>905 486 419</t>
  </si>
  <si>
    <t>703 380 323</t>
  </si>
  <si>
    <t>1016 559 455</t>
  </si>
  <si>
    <t>801 426 369</t>
  </si>
  <si>
    <t>1012 540 467</t>
  </si>
  <si>
    <t>1188 652 536</t>
  </si>
  <si>
    <t>505 265 234</t>
  </si>
  <si>
    <t>921 511 402</t>
  </si>
  <si>
    <t>826 455 367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</si>
</sst>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4" fillId="0" borderId="4" xfId="0" applyNumberFormat="1" applyFont="1" applyBorder="1" applyAlignment="1">
      <alignment horizontal="center" vertical="center" shrinkToFit="1"/>
    </xf>
    <xf numFmtId="1" fontId="3" fillId="0" borderId="4" xfId="0" applyNumberFormat="1" applyFont="1" applyBorder="1" applyAlignment="1">
      <alignment horizontal="center" vertical="center" shrinkToFit="1"/>
    </xf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95"/>
  <sheetViews>
    <sheetView tabSelected="1" topLeftCell="A279" zoomScaleNormal="100" workbookViewId="0">
      <selection activeCell="AX150" sqref="AX150"/>
    </sheetView>
  </sheetViews>
  <sheetFormatPr defaultColWidth="10.5703125" defaultRowHeight="15" x14ac:dyDescent="0.25"/>
  <cols>
    <col min="45" max="45" width="10.7109375" customWidth="1"/>
    <col min="48" max="48" width="27.28515625" customWidth="1"/>
    <col min="49" max="49" width="18.42578125" customWidth="1"/>
  </cols>
  <sheetData>
    <row r="1" spans="1:53" s="2" customFormat="1" ht="48" customHeight="1" x14ac:dyDescent="0.25">
      <c r="A1" s="1" t="s">
        <v>0</v>
      </c>
      <c r="B1" s="1" t="s">
        <v>42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32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33</v>
      </c>
      <c r="N1" s="6" t="s">
        <v>34</v>
      </c>
      <c r="O1" s="6" t="s">
        <v>10</v>
      </c>
      <c r="P1" s="6" t="s">
        <v>35</v>
      </c>
      <c r="Q1" s="6" t="s">
        <v>11</v>
      </c>
      <c r="R1" s="6" t="s">
        <v>12</v>
      </c>
      <c r="S1" s="6" t="s">
        <v>13</v>
      </c>
      <c r="T1" s="6" t="s">
        <v>36</v>
      </c>
      <c r="U1" s="6" t="s">
        <v>14</v>
      </c>
      <c r="V1" s="6" t="s">
        <v>15</v>
      </c>
      <c r="W1" s="6" t="s">
        <v>16</v>
      </c>
      <c r="X1" s="6" t="s">
        <v>17</v>
      </c>
      <c r="Y1" s="6" t="s">
        <v>18</v>
      </c>
      <c r="Z1" s="6" t="s">
        <v>19</v>
      </c>
      <c r="AA1" s="6" t="s">
        <v>20</v>
      </c>
      <c r="AB1" s="6" t="s">
        <v>21</v>
      </c>
      <c r="AC1" s="6" t="s">
        <v>22</v>
      </c>
      <c r="AD1" s="6" t="s">
        <v>23</v>
      </c>
      <c r="AE1" s="6" t="s">
        <v>37</v>
      </c>
      <c r="AF1" s="6" t="s">
        <v>38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7" t="s">
        <v>43</v>
      </c>
      <c r="AP1" s="7" t="s">
        <v>44</v>
      </c>
      <c r="AQ1" s="7" t="s">
        <v>45</v>
      </c>
      <c r="AR1" s="7" t="s">
        <v>46</v>
      </c>
      <c r="AS1" s="7" t="s">
        <v>47</v>
      </c>
      <c r="AT1" s="8" t="s">
        <v>48</v>
      </c>
      <c r="AU1" s="8" t="s">
        <v>49</v>
      </c>
      <c r="AV1" s="8" t="s">
        <v>50</v>
      </c>
      <c r="AW1" s="10"/>
      <c r="AX1" s="10" t="s">
        <v>493</v>
      </c>
      <c r="AY1" s="10" t="s">
        <v>492</v>
      </c>
      <c r="AZ1" s="10" t="s">
        <v>491</v>
      </c>
      <c r="BA1" s="10"/>
    </row>
    <row r="2" spans="1:53" x14ac:dyDescent="0.25">
      <c r="A2" s="4">
        <v>1</v>
      </c>
      <c r="B2" s="4">
        <v>1</v>
      </c>
      <c r="C2" s="4">
        <v>84</v>
      </c>
      <c r="D2" s="4">
        <v>4</v>
      </c>
      <c r="E2" s="4">
        <v>192</v>
      </c>
      <c r="F2" s="4">
        <v>0</v>
      </c>
      <c r="G2" s="4">
        <v>0</v>
      </c>
      <c r="H2" s="4">
        <v>13</v>
      </c>
      <c r="I2" s="4">
        <v>0</v>
      </c>
      <c r="J2" s="4">
        <v>0</v>
      </c>
      <c r="K2" s="4">
        <v>2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295</v>
      </c>
      <c r="AP2" s="4">
        <v>0</v>
      </c>
      <c r="AQ2" s="4">
        <v>0</v>
      </c>
      <c r="AR2" s="4">
        <v>295</v>
      </c>
      <c r="AS2" s="4">
        <v>0</v>
      </c>
      <c r="AT2" s="9">
        <v>1</v>
      </c>
      <c r="AU2" s="9" t="s">
        <v>51</v>
      </c>
      <c r="AV2" s="9" t="s">
        <v>52</v>
      </c>
      <c r="AW2" s="9"/>
      <c r="AX2" s="9">
        <v>426</v>
      </c>
      <c r="AY2" s="9">
        <v>252</v>
      </c>
      <c r="AZ2" s="9">
        <v>170</v>
      </c>
    </row>
    <row r="3" spans="1:53" x14ac:dyDescent="0.25">
      <c r="A3" s="4">
        <v>2</v>
      </c>
      <c r="B3" s="4">
        <v>2</v>
      </c>
      <c r="C3" s="4">
        <v>106</v>
      </c>
      <c r="D3" s="4">
        <v>3</v>
      </c>
      <c r="E3" s="4">
        <v>354</v>
      </c>
      <c r="F3" s="4">
        <v>3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1</v>
      </c>
      <c r="N3" s="4">
        <v>2</v>
      </c>
      <c r="O3" s="4">
        <v>1</v>
      </c>
      <c r="P3" s="4">
        <v>1</v>
      </c>
      <c r="Q3" s="4">
        <v>1</v>
      </c>
      <c r="R3" s="4">
        <v>3</v>
      </c>
      <c r="S3" s="4">
        <v>0</v>
      </c>
      <c r="T3" s="4">
        <v>0</v>
      </c>
      <c r="U3" s="4">
        <v>0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1</v>
      </c>
      <c r="AG3" s="4">
        <v>0</v>
      </c>
      <c r="AH3" s="4">
        <v>2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481</v>
      </c>
      <c r="AP3" s="4">
        <v>0</v>
      </c>
      <c r="AQ3" s="4">
        <v>0</v>
      </c>
      <c r="AR3" s="4">
        <v>481</v>
      </c>
      <c r="AS3" s="4">
        <v>0</v>
      </c>
      <c r="AT3" s="9">
        <v>2</v>
      </c>
      <c r="AU3" s="9" t="s">
        <v>53</v>
      </c>
      <c r="AV3" s="9" t="s">
        <v>54</v>
      </c>
      <c r="AW3" s="9"/>
      <c r="AX3" s="9">
        <v>853</v>
      </c>
      <c r="AY3">
        <v>482</v>
      </c>
      <c r="AZ3">
        <v>371</v>
      </c>
    </row>
    <row r="4" spans="1:53" x14ac:dyDescent="0.25">
      <c r="A4" s="4">
        <v>3</v>
      </c>
      <c r="B4" s="4">
        <v>3</v>
      </c>
      <c r="C4" s="4">
        <v>209</v>
      </c>
      <c r="D4" s="4">
        <v>2</v>
      </c>
      <c r="E4" s="4">
        <v>399</v>
      </c>
      <c r="F4" s="4">
        <v>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615</v>
      </c>
      <c r="AP4" s="4">
        <v>0</v>
      </c>
      <c r="AQ4" s="4">
        <v>2</v>
      </c>
      <c r="AR4" s="4">
        <v>617</v>
      </c>
      <c r="AS4" s="4">
        <v>0</v>
      </c>
      <c r="AT4" s="9">
        <v>3</v>
      </c>
      <c r="AU4" s="9" t="s">
        <v>55</v>
      </c>
      <c r="AV4" s="9" t="s">
        <v>56</v>
      </c>
      <c r="AW4" s="9"/>
      <c r="AX4" s="9">
        <v>922</v>
      </c>
      <c r="AY4" s="9">
        <v>520</v>
      </c>
      <c r="AZ4" s="9">
        <v>398</v>
      </c>
    </row>
    <row r="5" spans="1:53" x14ac:dyDescent="0.25">
      <c r="A5" s="4">
        <v>4</v>
      </c>
      <c r="B5" s="4">
        <v>4</v>
      </c>
      <c r="C5" s="4">
        <v>159</v>
      </c>
      <c r="D5" s="4">
        <v>0</v>
      </c>
      <c r="E5" s="4">
        <v>282</v>
      </c>
      <c r="F5" s="4">
        <v>1</v>
      </c>
      <c r="G5" s="4">
        <v>0</v>
      </c>
      <c r="H5" s="4">
        <v>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1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446</v>
      </c>
      <c r="AP5" s="4">
        <v>0</v>
      </c>
      <c r="AQ5" s="4">
        <v>0</v>
      </c>
      <c r="AR5" s="4">
        <v>446</v>
      </c>
      <c r="AS5" s="4">
        <v>0</v>
      </c>
      <c r="AT5" s="9">
        <v>4</v>
      </c>
      <c r="AU5" s="9" t="s">
        <v>57</v>
      </c>
      <c r="AV5" s="9" t="s">
        <v>58</v>
      </c>
      <c r="AW5" s="9"/>
      <c r="AX5" s="9">
        <v>761</v>
      </c>
      <c r="AY5">
        <v>415</v>
      </c>
      <c r="AZ5">
        <v>346</v>
      </c>
    </row>
    <row r="6" spans="1:53" ht="25.5" x14ac:dyDescent="0.25">
      <c r="A6" s="4">
        <v>5</v>
      </c>
      <c r="B6" s="4">
        <v>5</v>
      </c>
      <c r="C6" s="4">
        <v>88</v>
      </c>
      <c r="D6" s="4">
        <v>2</v>
      </c>
      <c r="E6" s="4">
        <v>354</v>
      </c>
      <c r="F6" s="4">
        <v>7</v>
      </c>
      <c r="G6" s="4">
        <v>0</v>
      </c>
      <c r="H6" s="4">
        <v>6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5</v>
      </c>
      <c r="O6" s="4">
        <v>0</v>
      </c>
      <c r="P6" s="4">
        <v>3</v>
      </c>
      <c r="Q6" s="4">
        <v>0</v>
      </c>
      <c r="R6" s="4">
        <v>1</v>
      </c>
      <c r="S6" s="4">
        <v>0</v>
      </c>
      <c r="T6" s="4">
        <v>0</v>
      </c>
      <c r="U6" s="4">
        <v>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</v>
      </c>
      <c r="AO6" s="4">
        <v>470</v>
      </c>
      <c r="AP6" s="4">
        <v>0</v>
      </c>
      <c r="AQ6" s="4">
        <v>0</v>
      </c>
      <c r="AR6" s="4">
        <v>470</v>
      </c>
      <c r="AS6" s="4">
        <v>0</v>
      </c>
      <c r="AT6" s="9">
        <v>5</v>
      </c>
      <c r="AU6" s="9" t="s">
        <v>59</v>
      </c>
      <c r="AV6" s="9" t="s">
        <v>60</v>
      </c>
      <c r="AW6" s="9"/>
      <c r="AX6" s="9">
        <v>616</v>
      </c>
      <c r="AY6" s="9">
        <v>322</v>
      </c>
      <c r="AZ6" s="9">
        <v>290</v>
      </c>
    </row>
    <row r="7" spans="1:53" x14ac:dyDescent="0.25">
      <c r="A7" s="4">
        <v>6</v>
      </c>
      <c r="B7" s="4">
        <v>6</v>
      </c>
      <c r="C7" s="4">
        <v>158</v>
      </c>
      <c r="D7" s="4">
        <v>69</v>
      </c>
      <c r="E7" s="4">
        <v>239</v>
      </c>
      <c r="F7" s="4">
        <v>2</v>
      </c>
      <c r="G7" s="4">
        <v>0</v>
      </c>
      <c r="H7" s="4">
        <v>12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</v>
      </c>
      <c r="AL7" s="4">
        <v>0</v>
      </c>
      <c r="AM7" s="4">
        <v>0</v>
      </c>
      <c r="AN7" s="4">
        <v>0</v>
      </c>
      <c r="AO7" s="4">
        <v>482</v>
      </c>
      <c r="AP7" s="4">
        <v>0</v>
      </c>
      <c r="AQ7" s="4">
        <v>1</v>
      </c>
      <c r="AR7" s="4">
        <v>483</v>
      </c>
      <c r="AS7" s="4">
        <v>0</v>
      </c>
      <c r="AT7" s="9">
        <v>6</v>
      </c>
      <c r="AU7" s="9" t="s">
        <v>61</v>
      </c>
      <c r="AV7" s="9" t="s">
        <v>62</v>
      </c>
      <c r="AW7" s="9"/>
      <c r="AX7" s="9">
        <v>759</v>
      </c>
      <c r="AY7">
        <v>397</v>
      </c>
      <c r="AZ7">
        <v>353</v>
      </c>
    </row>
    <row r="8" spans="1:53" x14ac:dyDescent="0.25">
      <c r="A8" s="4">
        <v>7</v>
      </c>
      <c r="B8" s="4">
        <v>7</v>
      </c>
      <c r="C8" s="4">
        <v>110</v>
      </c>
      <c r="D8" s="4">
        <v>1</v>
      </c>
      <c r="E8" s="4">
        <v>220</v>
      </c>
      <c r="F8" s="4">
        <v>0</v>
      </c>
      <c r="G8" s="4">
        <v>0</v>
      </c>
      <c r="H8" s="4">
        <v>10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0</v>
      </c>
      <c r="P8" s="4">
        <v>0</v>
      </c>
      <c r="Q8" s="4">
        <v>1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1</v>
      </c>
      <c r="AO8" s="4">
        <v>346</v>
      </c>
      <c r="AP8" s="4">
        <v>0</v>
      </c>
      <c r="AQ8" s="4">
        <v>1</v>
      </c>
      <c r="AR8" s="4">
        <v>347</v>
      </c>
      <c r="AS8" s="4">
        <v>0</v>
      </c>
      <c r="AT8" s="9">
        <v>7</v>
      </c>
      <c r="AU8" s="9" t="s">
        <v>63</v>
      </c>
      <c r="AV8" s="9" t="s">
        <v>64</v>
      </c>
      <c r="AW8" t="s">
        <v>494</v>
      </c>
      <c r="AX8" s="9" t="str">
        <f>TRIM(MID(AW8,1,FIND(" ",AW8)-1))</f>
        <v>642</v>
      </c>
      <c r="AY8" s="9" t="str">
        <f>TRIM(MID(AW8,FIND(" ",AW8)+1,FIND(" ",AW8,FIND(" ",AW8)+1)-FIND(" ",AW8)-1))</f>
        <v>342</v>
      </c>
      <c r="AZ8" t="str">
        <f>TRIM(RIGHT(AW8,LEN(AW8)-FIND("~",SUBSTITUTE(AW8," ","~",2))))</f>
        <v>298</v>
      </c>
    </row>
    <row r="9" spans="1:53" x14ac:dyDescent="0.25">
      <c r="A9" s="4">
        <v>8</v>
      </c>
      <c r="B9" s="4">
        <v>8</v>
      </c>
      <c r="C9" s="4">
        <v>312</v>
      </c>
      <c r="D9" s="4">
        <v>29</v>
      </c>
      <c r="E9" s="4">
        <v>398</v>
      </c>
      <c r="F9" s="4">
        <v>5</v>
      </c>
      <c r="G9" s="4">
        <v>1</v>
      </c>
      <c r="H9" s="4">
        <v>25</v>
      </c>
      <c r="I9" s="4">
        <v>0</v>
      </c>
      <c r="J9" s="4">
        <v>0</v>
      </c>
      <c r="K9" s="4">
        <v>1</v>
      </c>
      <c r="L9" s="4">
        <v>0</v>
      </c>
      <c r="M9" s="4">
        <v>1</v>
      </c>
      <c r="N9" s="4">
        <v>2</v>
      </c>
      <c r="O9" s="4">
        <v>0</v>
      </c>
      <c r="P9" s="4">
        <v>0</v>
      </c>
      <c r="Q9" s="4">
        <v>0</v>
      </c>
      <c r="R9" s="4">
        <v>3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1</v>
      </c>
      <c r="AC9" s="4">
        <v>2</v>
      </c>
      <c r="AD9" s="4">
        <v>1</v>
      </c>
      <c r="AE9" s="4">
        <v>1</v>
      </c>
      <c r="AF9" s="4">
        <v>0</v>
      </c>
      <c r="AG9" s="4">
        <v>0</v>
      </c>
      <c r="AH9" s="4">
        <v>2</v>
      </c>
      <c r="AI9" s="4">
        <v>1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786</v>
      </c>
      <c r="AP9" s="4">
        <v>0</v>
      </c>
      <c r="AQ9" s="4">
        <v>0</v>
      </c>
      <c r="AR9" s="4">
        <v>786</v>
      </c>
      <c r="AS9" s="4">
        <v>0</v>
      </c>
      <c r="AT9" s="9">
        <v>8</v>
      </c>
      <c r="AU9" s="9" t="s">
        <v>65</v>
      </c>
      <c r="AV9" s="9" t="s">
        <v>62</v>
      </c>
      <c r="AW9" t="s">
        <v>495</v>
      </c>
      <c r="AX9" s="9" t="str">
        <f>TRIM(MID(AW9,1,FIND(" ",AW9)-1))</f>
        <v>1332</v>
      </c>
      <c r="AY9" s="9" t="str">
        <f>TRIM(MID(AW9,FIND(" ",AW9)+1,FIND(" ",AW9,FIND(" ",AW9)+1)-FIND(" ",AW9)-1))</f>
        <v>720</v>
      </c>
      <c r="AZ9" t="str">
        <f>TRIM(RIGHT(AW9,LEN(AW9)-FIND("~",SUBSTITUTE(AW9," ","~",2))))</f>
        <v>569</v>
      </c>
    </row>
    <row r="10" spans="1:53" x14ac:dyDescent="0.25">
      <c r="A10" s="4">
        <v>9</v>
      </c>
      <c r="B10" s="4">
        <v>9</v>
      </c>
      <c r="C10" s="4">
        <v>188</v>
      </c>
      <c r="D10" s="4">
        <v>26</v>
      </c>
      <c r="E10" s="4">
        <v>274</v>
      </c>
      <c r="F10" s="4">
        <v>2</v>
      </c>
      <c r="G10" s="4">
        <v>1</v>
      </c>
      <c r="H10" s="4">
        <v>7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s="4">
        <v>0</v>
      </c>
      <c r="R10" s="4">
        <v>3</v>
      </c>
      <c r="S10" s="4">
        <v>3</v>
      </c>
      <c r="T10" s="4">
        <v>3</v>
      </c>
      <c r="U10" s="4">
        <v>4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5</v>
      </c>
      <c r="AD10" s="4">
        <v>0</v>
      </c>
      <c r="AE10" s="4">
        <v>0</v>
      </c>
      <c r="AF10" s="4">
        <v>1</v>
      </c>
      <c r="AG10" s="4">
        <v>1</v>
      </c>
      <c r="AH10" s="4">
        <v>0</v>
      </c>
      <c r="AI10" s="4">
        <v>2</v>
      </c>
      <c r="AJ10" s="4">
        <v>0</v>
      </c>
      <c r="AK10" s="4">
        <v>2</v>
      </c>
      <c r="AL10" s="4">
        <v>0</v>
      </c>
      <c r="AM10" s="4">
        <v>0</v>
      </c>
      <c r="AN10" s="4">
        <v>0</v>
      </c>
      <c r="AO10" s="4">
        <v>524</v>
      </c>
      <c r="AP10" s="4">
        <v>0</v>
      </c>
      <c r="AQ10" s="4">
        <v>2</v>
      </c>
      <c r="AR10" s="4">
        <v>526</v>
      </c>
      <c r="AS10" s="4">
        <v>0</v>
      </c>
      <c r="AT10" s="9">
        <v>9</v>
      </c>
      <c r="AU10" s="9" t="s">
        <v>66</v>
      </c>
      <c r="AV10" s="9" t="s">
        <v>67</v>
      </c>
      <c r="AW10" t="s">
        <v>496</v>
      </c>
      <c r="AX10" s="9" t="str">
        <f>TRIM(MID(AW10,1,FIND(" ",AW10)-1))</f>
        <v>809</v>
      </c>
      <c r="AY10" s="9" t="str">
        <f>TRIM(MID(AW10,FIND(" ",AW10)+1,FIND(" ",AW10,FIND(" ",AW10)+1)-FIND(" ",AW10)-1))</f>
        <v>429</v>
      </c>
      <c r="AZ10" t="str">
        <f>TRIM(RIGHT(AW10,LEN(AW10)-FIND("~",SUBSTITUTE(AW10," ","~",2))))</f>
        <v>380</v>
      </c>
    </row>
    <row r="11" spans="1:53" x14ac:dyDescent="0.25">
      <c r="A11" s="4">
        <v>10</v>
      </c>
      <c r="B11" s="4">
        <v>10</v>
      </c>
      <c r="C11" s="4">
        <v>226</v>
      </c>
      <c r="D11" s="4">
        <v>53</v>
      </c>
      <c r="E11" s="4">
        <v>498</v>
      </c>
      <c r="F11" s="4">
        <v>4</v>
      </c>
      <c r="G11" s="4">
        <v>2</v>
      </c>
      <c r="H11" s="4">
        <v>8</v>
      </c>
      <c r="I11" s="4">
        <v>3</v>
      </c>
      <c r="J11" s="4">
        <v>0</v>
      </c>
      <c r="K11" s="4">
        <v>1</v>
      </c>
      <c r="L11" s="4">
        <v>1</v>
      </c>
      <c r="M11" s="4">
        <v>3</v>
      </c>
      <c r="N11" s="4">
        <v>5</v>
      </c>
      <c r="O11" s="4">
        <v>5</v>
      </c>
      <c r="P11" s="4">
        <v>2</v>
      </c>
      <c r="Q11" s="4">
        <v>2</v>
      </c>
      <c r="R11" s="4">
        <v>2</v>
      </c>
      <c r="S11" s="4">
        <v>1</v>
      </c>
      <c r="T11" s="4">
        <v>2</v>
      </c>
      <c r="U11" s="4">
        <v>1</v>
      </c>
      <c r="V11" s="4">
        <v>2</v>
      </c>
      <c r="W11" s="4">
        <v>1</v>
      </c>
      <c r="X11" s="4">
        <v>1</v>
      </c>
      <c r="Y11" s="4">
        <v>0</v>
      </c>
      <c r="Z11" s="4">
        <v>1</v>
      </c>
      <c r="AA11" s="4">
        <v>0</v>
      </c>
      <c r="AB11" s="4">
        <v>1</v>
      </c>
      <c r="AC11" s="4">
        <v>1</v>
      </c>
      <c r="AD11" s="4">
        <v>2</v>
      </c>
      <c r="AE11" s="4">
        <v>1</v>
      </c>
      <c r="AF11" s="4">
        <v>3</v>
      </c>
      <c r="AG11" s="4">
        <v>0</v>
      </c>
      <c r="AH11" s="4">
        <v>1</v>
      </c>
      <c r="AI11" s="4">
        <v>1</v>
      </c>
      <c r="AJ11" s="4">
        <v>1</v>
      </c>
      <c r="AK11" s="4">
        <v>0</v>
      </c>
      <c r="AL11" s="4">
        <v>1</v>
      </c>
      <c r="AM11" s="4">
        <v>1</v>
      </c>
      <c r="AN11" s="4">
        <v>1</v>
      </c>
      <c r="AO11" s="4">
        <v>838</v>
      </c>
      <c r="AP11" s="4">
        <v>0</v>
      </c>
      <c r="AQ11" s="4">
        <v>1</v>
      </c>
      <c r="AR11" s="4">
        <v>839</v>
      </c>
      <c r="AS11" s="4">
        <v>0</v>
      </c>
      <c r="AT11" s="9">
        <v>10</v>
      </c>
      <c r="AU11" s="9" t="s">
        <v>68</v>
      </c>
      <c r="AV11" s="9" t="s">
        <v>69</v>
      </c>
      <c r="AW11" t="s">
        <v>497</v>
      </c>
      <c r="AX11" s="9" t="str">
        <f>TRIM(MID(AW11,1,FIND(" ",AW11)-1))</f>
        <v>1205</v>
      </c>
      <c r="AY11" s="9" t="str">
        <f>TRIM(MID(AW11,FIND(" ",AW11)+1,FIND(" ",AW11,FIND(" ",AW11)+1)-FIND(" ",AW11)-1))</f>
        <v>647</v>
      </c>
      <c r="AZ11" t="str">
        <f>TRIM(RIGHT(AW11,LEN(AW11)-FIND("~",SUBSTITUTE(AW11," ","~",2))))</f>
        <v>551</v>
      </c>
    </row>
    <row r="12" spans="1:53" x14ac:dyDescent="0.25">
      <c r="A12" s="4">
        <v>11</v>
      </c>
      <c r="B12" s="4">
        <v>11</v>
      </c>
      <c r="C12" s="4">
        <v>49</v>
      </c>
      <c r="D12" s="4">
        <v>5</v>
      </c>
      <c r="E12" s="4">
        <v>556</v>
      </c>
      <c r="F12" s="4">
        <v>2</v>
      </c>
      <c r="G12" s="4">
        <v>0</v>
      </c>
      <c r="H12" s="4">
        <v>1</v>
      </c>
      <c r="I12" s="4">
        <v>0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4">
        <v>0</v>
      </c>
      <c r="R12" s="4">
        <v>0</v>
      </c>
      <c r="S12" s="4">
        <v>0</v>
      </c>
      <c r="T12" s="4">
        <v>0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1</v>
      </c>
      <c r="AD12" s="4">
        <v>0</v>
      </c>
      <c r="AE12" s="4">
        <v>0</v>
      </c>
      <c r="AF12" s="4">
        <v>0</v>
      </c>
      <c r="AG12" s="4">
        <v>0</v>
      </c>
      <c r="AH12" s="4">
        <v>2</v>
      </c>
      <c r="AI12" s="4">
        <v>0</v>
      </c>
      <c r="AJ12" s="4">
        <v>0</v>
      </c>
      <c r="AK12" s="4">
        <v>1</v>
      </c>
      <c r="AL12" s="4">
        <v>0</v>
      </c>
      <c r="AM12" s="4">
        <v>0</v>
      </c>
      <c r="AN12" s="4">
        <v>0</v>
      </c>
      <c r="AO12" s="4">
        <v>621</v>
      </c>
      <c r="AP12" s="4">
        <v>0</v>
      </c>
      <c r="AQ12" s="4">
        <v>0</v>
      </c>
      <c r="AR12" s="4">
        <v>621</v>
      </c>
      <c r="AS12" s="4">
        <v>0</v>
      </c>
      <c r="AT12" s="9">
        <v>11</v>
      </c>
      <c r="AU12" s="9" t="s">
        <v>70</v>
      </c>
      <c r="AV12" s="9" t="s">
        <v>71</v>
      </c>
      <c r="AW12" t="s">
        <v>498</v>
      </c>
      <c r="AX12" s="9" t="str">
        <f>TRIM(MID(AW12,1,FIND(" ",AW12)-1))</f>
        <v>757</v>
      </c>
      <c r="AY12" s="9" t="str">
        <f>TRIM(MID(AW12,FIND(" ",AW12)+1,FIND(" ",AW12,FIND(" ",AW12)+1)-FIND(" ",AW12)-1))</f>
        <v>425</v>
      </c>
      <c r="AZ12" t="str">
        <f>TRIM(RIGHT(AW12,LEN(AW12)-FIND("~",SUBSTITUTE(AW12," ","~",2))))</f>
        <v>332</v>
      </c>
    </row>
    <row r="13" spans="1:53" x14ac:dyDescent="0.25">
      <c r="A13" s="4">
        <v>12</v>
      </c>
      <c r="B13" s="4">
        <v>12</v>
      </c>
      <c r="C13" s="4">
        <v>78</v>
      </c>
      <c r="D13" s="4">
        <v>38</v>
      </c>
      <c r="E13" s="4">
        <v>482</v>
      </c>
      <c r="F13" s="4">
        <v>1</v>
      </c>
      <c r="G13" s="4">
        <v>1</v>
      </c>
      <c r="H13" s="4">
        <v>3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2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</v>
      </c>
      <c r="AM13" s="4">
        <v>0</v>
      </c>
      <c r="AN13" s="4">
        <v>0</v>
      </c>
      <c r="AO13" s="4">
        <v>612</v>
      </c>
      <c r="AP13" s="4">
        <v>0</v>
      </c>
      <c r="AQ13" s="4">
        <v>0</v>
      </c>
      <c r="AR13" s="4">
        <v>612</v>
      </c>
      <c r="AS13" s="4">
        <v>0</v>
      </c>
      <c r="AT13" s="9">
        <v>12</v>
      </c>
      <c r="AU13" s="9" t="s">
        <v>72</v>
      </c>
      <c r="AV13" s="9" t="s">
        <v>73</v>
      </c>
      <c r="AW13" t="s">
        <v>499</v>
      </c>
      <c r="AX13" s="9" t="str">
        <f t="shared" ref="AX13:AX20" si="0">TRIM(MID(AW13,1,FIND(" ",AW13)-1))</f>
        <v>843</v>
      </c>
      <c r="AY13" s="9" t="str">
        <f t="shared" ref="AY13:AY19" si="1">TRIM(MID(AW13,FIND(" ",AW13)+1,FIND(" ",AW13,FIND(" ",AW13)+1)-FIND(" ",AW13)-1))</f>
        <v>455</v>
      </c>
      <c r="AZ13" t="str">
        <f t="shared" ref="AZ13:AZ19" si="2">TRIM(RIGHT(AW13,LEN(AW13)-FIND("~",SUBSTITUTE(AW13," ","~",2))))</f>
        <v>388</v>
      </c>
    </row>
    <row r="14" spans="1:53" x14ac:dyDescent="0.25">
      <c r="A14" s="4">
        <v>13</v>
      </c>
      <c r="B14" s="4">
        <v>13</v>
      </c>
      <c r="C14" s="4">
        <v>272</v>
      </c>
      <c r="D14" s="4">
        <v>2</v>
      </c>
      <c r="E14" s="4">
        <v>138</v>
      </c>
      <c r="F14" s="4">
        <v>0</v>
      </c>
      <c r="G14" s="4">
        <v>1</v>
      </c>
      <c r="H14" s="4">
        <v>45</v>
      </c>
      <c r="I14" s="4">
        <v>0</v>
      </c>
      <c r="J14" s="4">
        <v>0</v>
      </c>
      <c r="K14" s="4">
        <v>0</v>
      </c>
      <c r="L14" s="4">
        <v>1</v>
      </c>
      <c r="M14" s="4">
        <v>0</v>
      </c>
      <c r="N14" s="4">
        <v>1</v>
      </c>
      <c r="O14" s="4">
        <v>0</v>
      </c>
      <c r="P14" s="4">
        <v>0</v>
      </c>
      <c r="Q14" s="4">
        <v>1</v>
      </c>
      <c r="R14" s="4">
        <v>1</v>
      </c>
      <c r="S14" s="4">
        <v>2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0</v>
      </c>
      <c r="AF14" s="4">
        <v>0</v>
      </c>
      <c r="AG14" s="4">
        <v>1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468</v>
      </c>
      <c r="AP14" s="4">
        <v>0</v>
      </c>
      <c r="AQ14" s="4">
        <v>0</v>
      </c>
      <c r="AR14" s="4">
        <v>468</v>
      </c>
      <c r="AS14" s="4">
        <v>0</v>
      </c>
      <c r="AT14" s="9">
        <v>13</v>
      </c>
      <c r="AU14" s="9" t="s">
        <v>74</v>
      </c>
      <c r="AV14" s="9" t="s">
        <v>75</v>
      </c>
      <c r="AW14" t="s">
        <v>500</v>
      </c>
      <c r="AX14" s="9" t="str">
        <f t="shared" si="0"/>
        <v>1036</v>
      </c>
      <c r="AY14" s="9" t="str">
        <f t="shared" si="1"/>
        <v>544</v>
      </c>
      <c r="AZ14" t="str">
        <f t="shared" si="2"/>
        <v>491</v>
      </c>
    </row>
    <row r="15" spans="1:53" x14ac:dyDescent="0.25">
      <c r="A15" s="4">
        <v>14</v>
      </c>
      <c r="B15" s="4">
        <v>14</v>
      </c>
      <c r="C15" s="4">
        <v>143</v>
      </c>
      <c r="D15" s="4">
        <v>1</v>
      </c>
      <c r="E15" s="4">
        <v>130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3</v>
      </c>
      <c r="P15" s="4">
        <v>2</v>
      </c>
      <c r="Q15" s="4">
        <v>0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1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283</v>
      </c>
      <c r="AP15" s="4">
        <v>0</v>
      </c>
      <c r="AQ15" s="4">
        <v>0</v>
      </c>
      <c r="AR15" s="4">
        <v>283</v>
      </c>
      <c r="AS15" s="4">
        <v>0</v>
      </c>
      <c r="AT15" s="9">
        <v>14</v>
      </c>
      <c r="AU15" s="9" t="s">
        <v>76</v>
      </c>
      <c r="AV15" s="9" t="s">
        <v>77</v>
      </c>
      <c r="AW15" t="s">
        <v>501</v>
      </c>
      <c r="AX15" s="9" t="str">
        <f t="shared" si="0"/>
        <v>477</v>
      </c>
      <c r="AY15" s="9" t="str">
        <f t="shared" si="1"/>
        <v>248</v>
      </c>
      <c r="AZ15" t="str">
        <f t="shared" si="2"/>
        <v>222</v>
      </c>
    </row>
    <row r="16" spans="1:53" x14ac:dyDescent="0.25">
      <c r="A16" s="4">
        <v>15</v>
      </c>
      <c r="B16" s="4">
        <v>15</v>
      </c>
      <c r="C16" s="4">
        <v>199</v>
      </c>
      <c r="D16" s="4">
        <v>19</v>
      </c>
      <c r="E16" s="4">
        <v>346</v>
      </c>
      <c r="F16" s="4">
        <v>1</v>
      </c>
      <c r="G16" s="4">
        <v>1</v>
      </c>
      <c r="H16" s="4">
        <v>21</v>
      </c>
      <c r="I16" s="4">
        <v>0</v>
      </c>
      <c r="J16" s="4">
        <v>0</v>
      </c>
      <c r="K16" s="4">
        <v>0</v>
      </c>
      <c r="L16" s="4">
        <v>0</v>
      </c>
      <c r="M16" s="4">
        <v>2</v>
      </c>
      <c r="N16" s="4">
        <v>1</v>
      </c>
      <c r="O16" s="4">
        <v>0</v>
      </c>
      <c r="P16" s="4">
        <v>0</v>
      </c>
      <c r="Q16" s="4">
        <v>1</v>
      </c>
      <c r="R16" s="4">
        <v>2</v>
      </c>
      <c r="S16" s="4">
        <v>2</v>
      </c>
      <c r="T16" s="4">
        <v>0</v>
      </c>
      <c r="U16" s="4">
        <v>7</v>
      </c>
      <c r="V16" s="4">
        <v>2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1</v>
      </c>
      <c r="AD16" s="4">
        <v>0</v>
      </c>
      <c r="AE16" s="4">
        <v>1</v>
      </c>
      <c r="AF16" s="4">
        <v>1</v>
      </c>
      <c r="AG16" s="4">
        <v>0</v>
      </c>
      <c r="AH16" s="4">
        <v>2</v>
      </c>
      <c r="AI16" s="4">
        <v>1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611</v>
      </c>
      <c r="AP16" s="4">
        <v>0</v>
      </c>
      <c r="AQ16" s="4">
        <v>2</v>
      </c>
      <c r="AR16" s="4">
        <v>613</v>
      </c>
      <c r="AS16" s="4">
        <v>0</v>
      </c>
      <c r="AT16" s="9">
        <v>15</v>
      </c>
      <c r="AU16" s="9" t="s">
        <v>78</v>
      </c>
      <c r="AV16" s="9" t="s">
        <v>79</v>
      </c>
      <c r="AW16" t="s">
        <v>502</v>
      </c>
      <c r="AX16" s="9" t="str">
        <f t="shared" si="0"/>
        <v>1063</v>
      </c>
      <c r="AY16" s="9" t="str">
        <f t="shared" si="1"/>
        <v>580</v>
      </c>
      <c r="AZ16" t="str">
        <f t="shared" si="2"/>
        <v>480</v>
      </c>
    </row>
    <row r="17" spans="1:52" x14ac:dyDescent="0.25">
      <c r="A17" s="4">
        <v>16</v>
      </c>
      <c r="B17" s="4">
        <v>16</v>
      </c>
      <c r="C17" s="4">
        <v>69</v>
      </c>
      <c r="D17" s="4">
        <v>13</v>
      </c>
      <c r="E17" s="4">
        <v>221</v>
      </c>
      <c r="F17" s="4">
        <v>2</v>
      </c>
      <c r="G17" s="4">
        <v>4</v>
      </c>
      <c r="H17" s="4">
        <v>20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2</v>
      </c>
      <c r="O17" s="4">
        <v>0</v>
      </c>
      <c r="P17" s="4">
        <v>2</v>
      </c>
      <c r="Q17" s="4">
        <v>0</v>
      </c>
      <c r="R17" s="4">
        <v>1</v>
      </c>
      <c r="S17" s="4">
        <v>1</v>
      </c>
      <c r="T17" s="4">
        <v>0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337</v>
      </c>
      <c r="AP17" s="4">
        <v>0</v>
      </c>
      <c r="AQ17" s="4">
        <v>2</v>
      </c>
      <c r="AR17" s="4">
        <v>339</v>
      </c>
      <c r="AS17" s="4">
        <v>0</v>
      </c>
      <c r="AT17" s="9">
        <v>16</v>
      </c>
      <c r="AU17" s="9" t="s">
        <v>80</v>
      </c>
      <c r="AV17" s="9" t="s">
        <v>81</v>
      </c>
      <c r="AW17" t="s">
        <v>503</v>
      </c>
      <c r="AX17" s="9" t="str">
        <f t="shared" si="0"/>
        <v>587</v>
      </c>
      <c r="AY17" s="9" t="str">
        <f t="shared" si="1"/>
        <v>311</v>
      </c>
      <c r="AZ17" t="str">
        <f t="shared" si="2"/>
        <v>274</v>
      </c>
    </row>
    <row r="18" spans="1:52" x14ac:dyDescent="0.25">
      <c r="A18" s="4">
        <v>17</v>
      </c>
      <c r="B18" s="4">
        <v>17</v>
      </c>
      <c r="C18" s="4">
        <v>50</v>
      </c>
      <c r="D18" s="4">
        <v>9</v>
      </c>
      <c r="E18" s="4">
        <v>308</v>
      </c>
      <c r="F18" s="4">
        <v>4</v>
      </c>
      <c r="G18" s="4">
        <v>4</v>
      </c>
      <c r="H18" s="4">
        <v>17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1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395</v>
      </c>
      <c r="AP18" s="4">
        <v>0</v>
      </c>
      <c r="AQ18" s="4">
        <v>0</v>
      </c>
      <c r="AR18" s="4">
        <v>395</v>
      </c>
      <c r="AS18" s="4">
        <v>0</v>
      </c>
      <c r="AT18" s="9">
        <v>17</v>
      </c>
      <c r="AU18" s="9" t="s">
        <v>82</v>
      </c>
      <c r="AV18" s="9" t="s">
        <v>83</v>
      </c>
      <c r="AW18" t="s">
        <v>504</v>
      </c>
      <c r="AX18" s="9" t="str">
        <f t="shared" si="0"/>
        <v>514</v>
      </c>
      <c r="AY18" s="9" t="str">
        <f t="shared" si="1"/>
        <v>277</v>
      </c>
      <c r="AZ18" t="str">
        <f t="shared" si="2"/>
        <v>237</v>
      </c>
    </row>
    <row r="19" spans="1:52" ht="25.5" x14ac:dyDescent="0.25">
      <c r="A19" s="4">
        <v>18</v>
      </c>
      <c r="B19" s="4">
        <v>18</v>
      </c>
      <c r="C19" s="4">
        <v>102</v>
      </c>
      <c r="D19" s="4">
        <v>1</v>
      </c>
      <c r="E19" s="4">
        <v>471</v>
      </c>
      <c r="F19" s="4">
        <v>2</v>
      </c>
      <c r="G19" s="4">
        <v>0</v>
      </c>
      <c r="H19" s="4">
        <v>7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2</v>
      </c>
      <c r="S19" s="4">
        <v>2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591</v>
      </c>
      <c r="AP19" s="4">
        <v>0</v>
      </c>
      <c r="AQ19" s="4">
        <v>0</v>
      </c>
      <c r="AR19" s="4">
        <v>591</v>
      </c>
      <c r="AS19" s="4">
        <v>0</v>
      </c>
      <c r="AT19" s="9">
        <v>18</v>
      </c>
      <c r="AU19" s="9" t="s">
        <v>84</v>
      </c>
      <c r="AV19" s="9" t="s">
        <v>85</v>
      </c>
      <c r="AW19" t="s">
        <v>505</v>
      </c>
      <c r="AX19" s="9" t="str">
        <f t="shared" si="0"/>
        <v>979</v>
      </c>
      <c r="AY19" s="9" t="str">
        <f t="shared" si="1"/>
        <v>520</v>
      </c>
      <c r="AZ19" t="str">
        <f t="shared" si="2"/>
        <v>457</v>
      </c>
    </row>
    <row r="20" spans="1:52" x14ac:dyDescent="0.25">
      <c r="A20" s="4">
        <v>19</v>
      </c>
      <c r="B20" s="4">
        <v>19</v>
      </c>
      <c r="C20" s="4">
        <v>375</v>
      </c>
      <c r="D20" s="4">
        <v>3</v>
      </c>
      <c r="E20" s="4">
        <v>199</v>
      </c>
      <c r="F20" s="4">
        <v>3</v>
      </c>
      <c r="G20" s="4">
        <v>1</v>
      </c>
      <c r="H20" s="4">
        <v>23</v>
      </c>
      <c r="I20" s="4">
        <v>1</v>
      </c>
      <c r="J20" s="4">
        <v>1</v>
      </c>
      <c r="K20" s="4">
        <v>0</v>
      </c>
      <c r="L20" s="4">
        <v>0</v>
      </c>
      <c r="M20" s="4">
        <v>2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1</v>
      </c>
      <c r="U20" s="4">
        <v>1</v>
      </c>
      <c r="V20" s="4">
        <v>1</v>
      </c>
      <c r="W20" s="4">
        <v>2</v>
      </c>
      <c r="X20" s="4">
        <v>1</v>
      </c>
      <c r="Y20" s="4">
        <v>0</v>
      </c>
      <c r="Z20" s="4">
        <v>0</v>
      </c>
      <c r="AA20" s="4">
        <v>0</v>
      </c>
      <c r="AB20" s="4">
        <v>1</v>
      </c>
      <c r="AC20" s="4">
        <v>3</v>
      </c>
      <c r="AD20" s="4">
        <v>0</v>
      </c>
      <c r="AE20" s="4">
        <v>0</v>
      </c>
      <c r="AF20" s="4">
        <v>0</v>
      </c>
      <c r="AG20" s="4">
        <v>1</v>
      </c>
      <c r="AH20" s="4">
        <v>2</v>
      </c>
      <c r="AI20" s="4">
        <v>1</v>
      </c>
      <c r="AJ20" s="4">
        <v>1</v>
      </c>
      <c r="AK20" s="4">
        <v>0</v>
      </c>
      <c r="AL20" s="4">
        <v>0</v>
      </c>
      <c r="AM20" s="4">
        <v>0</v>
      </c>
      <c r="AN20" s="4">
        <v>0</v>
      </c>
      <c r="AO20" s="4">
        <v>624</v>
      </c>
      <c r="AP20" s="4">
        <v>0</v>
      </c>
      <c r="AQ20" s="4">
        <v>2</v>
      </c>
      <c r="AR20" s="4">
        <v>626</v>
      </c>
      <c r="AS20" s="4">
        <v>0</v>
      </c>
      <c r="AT20" s="9">
        <v>19</v>
      </c>
      <c r="AU20" s="9" t="s">
        <v>86</v>
      </c>
      <c r="AV20" s="9" t="s">
        <v>87</v>
      </c>
      <c r="AW20" t="s">
        <v>506</v>
      </c>
      <c r="AX20" s="9" t="str">
        <f t="shared" si="0"/>
        <v>1205</v>
      </c>
      <c r="AY20" s="9" t="str">
        <f t="shared" ref="AY20" si="3">TRIM(MID(AW20,FIND(" ",AW20)+1,FIND(" ",AW20,FIND(" ",AW20)+1)-FIND(" ",AW20)-1))</f>
        <v>641</v>
      </c>
      <c r="AZ20" t="str">
        <f t="shared" ref="AZ20" si="4">TRIM(RIGHT(AW20,LEN(AW20)-FIND("~",SUBSTITUTE(AW20," ","~",2))))</f>
        <v>562</v>
      </c>
    </row>
    <row r="21" spans="1:52" x14ac:dyDescent="0.25">
      <c r="A21" s="4">
        <v>20</v>
      </c>
      <c r="B21" s="4">
        <v>20</v>
      </c>
      <c r="C21" s="4">
        <v>406</v>
      </c>
      <c r="D21" s="4">
        <v>21</v>
      </c>
      <c r="E21" s="4">
        <v>166</v>
      </c>
      <c r="F21" s="4">
        <v>0</v>
      </c>
      <c r="G21" s="4">
        <v>1</v>
      </c>
      <c r="H21" s="4">
        <v>38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0</v>
      </c>
      <c r="R21" s="4">
        <v>4</v>
      </c>
      <c r="S21" s="4">
        <v>2</v>
      </c>
      <c r="T21" s="4">
        <v>0</v>
      </c>
      <c r="U21" s="4">
        <v>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</v>
      </c>
      <c r="AD21" s="4">
        <v>0</v>
      </c>
      <c r="AE21" s="4">
        <v>0</v>
      </c>
      <c r="AF21" s="4">
        <v>0</v>
      </c>
      <c r="AG21" s="4">
        <v>1</v>
      </c>
      <c r="AH21" s="4">
        <v>1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643</v>
      </c>
      <c r="AP21" s="4">
        <v>0</v>
      </c>
      <c r="AQ21" s="4">
        <v>1</v>
      </c>
      <c r="AR21" s="4">
        <v>644</v>
      </c>
      <c r="AS21" s="4">
        <v>0</v>
      </c>
      <c r="AT21" s="9">
        <v>20</v>
      </c>
      <c r="AU21" s="9" t="s">
        <v>88</v>
      </c>
      <c r="AV21" s="9" t="s">
        <v>89</v>
      </c>
      <c r="AW21" t="s">
        <v>507</v>
      </c>
      <c r="AX21" s="9" t="str">
        <f>TRIM(MID(AW21,1,FIND(" ",AW21)-1))</f>
        <v>1124</v>
      </c>
      <c r="AY21" s="9" t="str">
        <f t="shared" ref="AY21" si="5">TRIM(MID(AW21,FIND(" ",AW21)+1,FIND(" ",AW21,FIND(" ",AW21)+1)-FIND(" ",AW21)-1))</f>
        <v>611</v>
      </c>
      <c r="AZ21" t="str">
        <f t="shared" ref="AZ21" si="6">TRIM(RIGHT(AW21,LEN(AW21)-FIND("~",SUBSTITUTE(AW21," ","~",2))))</f>
        <v>508</v>
      </c>
    </row>
    <row r="22" spans="1:52" x14ac:dyDescent="0.25">
      <c r="A22" s="4">
        <v>21</v>
      </c>
      <c r="B22" s="4">
        <v>21</v>
      </c>
      <c r="C22" s="4">
        <v>554</v>
      </c>
      <c r="D22" s="4">
        <v>3</v>
      </c>
      <c r="E22" s="4">
        <v>50</v>
      </c>
      <c r="F22" s="4">
        <v>0</v>
      </c>
      <c r="G22" s="4">
        <v>0</v>
      </c>
      <c r="H22" s="4">
        <v>18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3</v>
      </c>
      <c r="S22" s="4">
        <v>0</v>
      </c>
      <c r="T22" s="4">
        <v>0</v>
      </c>
      <c r="U22" s="4">
        <v>1</v>
      </c>
      <c r="V22" s="4">
        <v>0</v>
      </c>
      <c r="W22" s="4">
        <v>1</v>
      </c>
      <c r="X22" s="4">
        <v>1</v>
      </c>
      <c r="Y22" s="4">
        <v>0</v>
      </c>
      <c r="Z22" s="4">
        <v>0</v>
      </c>
      <c r="AA22" s="4">
        <v>0</v>
      </c>
      <c r="AB22" s="4">
        <v>1</v>
      </c>
      <c r="AC22" s="4">
        <v>0</v>
      </c>
      <c r="AD22" s="4">
        <v>1</v>
      </c>
      <c r="AE22" s="4">
        <v>0</v>
      </c>
      <c r="AF22" s="4">
        <v>0</v>
      </c>
      <c r="AG22" s="4">
        <v>1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634</v>
      </c>
      <c r="AP22" s="4">
        <v>0</v>
      </c>
      <c r="AQ22" s="4">
        <v>0</v>
      </c>
      <c r="AR22" s="4">
        <v>634</v>
      </c>
      <c r="AS22" s="4">
        <v>0</v>
      </c>
      <c r="AT22" s="9">
        <v>21</v>
      </c>
      <c r="AU22" s="9" t="s">
        <v>90</v>
      </c>
      <c r="AV22" s="9" t="s">
        <v>91</v>
      </c>
      <c r="AW22" t="s">
        <v>508</v>
      </c>
      <c r="AX22" s="9" t="str">
        <f>TRIM(MID(AW22,1,FIND(" ",AW22)-1))</f>
        <v>1013</v>
      </c>
      <c r="AY22" s="9" t="str">
        <f t="shared" ref="AY22" si="7">TRIM(MID(AW22,FIND(" ",AW22)+1,FIND(" ",AW22,FIND(" ",AW22)+1)-FIND(" ",AW22)-1))</f>
        <v>538</v>
      </c>
      <c r="AZ22" t="str">
        <f t="shared" ref="AZ22" si="8">TRIM(RIGHT(AW22,LEN(AW22)-FIND("~",SUBSTITUTE(AW22," ","~",2))))</f>
        <v>474</v>
      </c>
    </row>
    <row r="23" spans="1:52" x14ac:dyDescent="0.25">
      <c r="A23" s="4">
        <v>22</v>
      </c>
      <c r="B23" s="4">
        <v>22</v>
      </c>
      <c r="C23" s="4">
        <v>360</v>
      </c>
      <c r="D23" s="4">
        <v>2</v>
      </c>
      <c r="E23" s="4">
        <v>24</v>
      </c>
      <c r="F23" s="4">
        <v>0</v>
      </c>
      <c r="G23" s="4">
        <v>0</v>
      </c>
      <c r="H23" s="4">
        <v>39</v>
      </c>
      <c r="I23" s="4">
        <v>1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0</v>
      </c>
      <c r="P23" s="4">
        <v>1</v>
      </c>
      <c r="Q23" s="4">
        <v>0</v>
      </c>
      <c r="R23" s="4">
        <v>2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4</v>
      </c>
      <c r="AJ23" s="4">
        <v>1</v>
      </c>
      <c r="AK23" s="4">
        <v>0</v>
      </c>
      <c r="AL23" s="4">
        <v>0</v>
      </c>
      <c r="AM23" s="4">
        <v>0</v>
      </c>
      <c r="AN23" s="4">
        <v>0</v>
      </c>
      <c r="AO23" s="4">
        <v>438</v>
      </c>
      <c r="AP23" s="4">
        <v>0</v>
      </c>
      <c r="AQ23" s="4">
        <v>0</v>
      </c>
      <c r="AR23" s="4">
        <v>438</v>
      </c>
      <c r="AS23" s="4">
        <v>0</v>
      </c>
      <c r="AT23" s="9">
        <v>22</v>
      </c>
      <c r="AU23" s="9" t="s">
        <v>92</v>
      </c>
      <c r="AV23" s="9" t="s">
        <v>93</v>
      </c>
      <c r="AW23" t="s">
        <v>509</v>
      </c>
      <c r="AX23" s="9" t="str">
        <f>TRIM(MID(AW23,1,FIND(" ",AW23)-1))</f>
        <v>675</v>
      </c>
      <c r="AY23" s="9" t="str">
        <f t="shared" ref="AY23" si="9">TRIM(MID(AW23,FIND(" ",AW23)+1,FIND(" ",AW23,FIND(" ",AW23)+1)-FIND(" ",AW23)-1))</f>
        <v>381</v>
      </c>
      <c r="AZ23" t="str">
        <f t="shared" ref="AZ23" si="10">TRIM(RIGHT(AW23,LEN(AW23)-FIND("~",SUBSTITUTE(AW23," ","~",2))))</f>
        <v>294</v>
      </c>
    </row>
    <row r="24" spans="1:52" x14ac:dyDescent="0.25">
      <c r="A24" s="4">
        <v>23</v>
      </c>
      <c r="B24" s="4">
        <v>23</v>
      </c>
      <c r="C24" s="4">
        <v>265</v>
      </c>
      <c r="D24" s="4">
        <v>1</v>
      </c>
      <c r="E24" s="4">
        <v>257</v>
      </c>
      <c r="F24" s="4">
        <v>0</v>
      </c>
      <c r="G24" s="4">
        <v>0</v>
      </c>
      <c r="H24" s="4">
        <v>10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</v>
      </c>
      <c r="S24" s="4">
        <v>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5</v>
      </c>
      <c r="AJ24" s="4">
        <v>0</v>
      </c>
      <c r="AK24" s="4">
        <v>1</v>
      </c>
      <c r="AL24" s="4">
        <v>0</v>
      </c>
      <c r="AM24" s="4">
        <v>0</v>
      </c>
      <c r="AN24" s="4">
        <v>2</v>
      </c>
      <c r="AO24" s="4">
        <v>544</v>
      </c>
      <c r="AP24" s="4">
        <v>0</v>
      </c>
      <c r="AQ24" s="4">
        <v>3</v>
      </c>
      <c r="AR24" s="4">
        <v>547</v>
      </c>
      <c r="AS24" s="4">
        <v>0</v>
      </c>
      <c r="AT24" s="9">
        <v>23</v>
      </c>
      <c r="AU24" s="9" t="s">
        <v>94</v>
      </c>
      <c r="AV24" s="9" t="s">
        <v>95</v>
      </c>
      <c r="AW24" t="s">
        <v>510</v>
      </c>
      <c r="AX24" s="9" t="str">
        <f>TRIM(MID(AW24,1,FIND(" ",AW24)-1))</f>
        <v>903</v>
      </c>
      <c r="AY24" s="9" t="str">
        <f t="shared" ref="AY24" si="11">TRIM(MID(AW24,FIND(" ",AW24)+1,FIND(" ",AW24,FIND(" ",AW24)+1)-FIND(" ",AW24)-1))</f>
        <v>492</v>
      </c>
      <c r="AZ24" t="str">
        <f t="shared" ref="AZ24" si="12">TRIM(RIGHT(AW24,LEN(AW24)-FIND("~",SUBSTITUTE(AW24," ","~",2))))</f>
        <v>394</v>
      </c>
    </row>
    <row r="25" spans="1:52" ht="25.5" x14ac:dyDescent="0.25">
      <c r="A25" s="4">
        <v>24</v>
      </c>
      <c r="B25" s="4">
        <v>24</v>
      </c>
      <c r="C25" s="4">
        <v>151</v>
      </c>
      <c r="D25" s="4">
        <v>6</v>
      </c>
      <c r="E25" s="4">
        <v>251</v>
      </c>
      <c r="F25" s="4">
        <v>2</v>
      </c>
      <c r="G25" s="4">
        <v>1</v>
      </c>
      <c r="H25" s="4">
        <v>289</v>
      </c>
      <c r="I25" s="4">
        <v>1</v>
      </c>
      <c r="J25" s="4">
        <v>1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705</v>
      </c>
      <c r="AP25" s="4">
        <v>0</v>
      </c>
      <c r="AQ25" s="4">
        <v>0</v>
      </c>
      <c r="AR25" s="4">
        <v>705</v>
      </c>
      <c r="AS25" s="4">
        <v>0</v>
      </c>
      <c r="AT25" s="9">
        <v>24</v>
      </c>
      <c r="AU25" s="9" t="s">
        <v>96</v>
      </c>
      <c r="AV25" s="9" t="s">
        <v>97</v>
      </c>
      <c r="AW25" t="s">
        <v>511</v>
      </c>
      <c r="AX25" s="9" t="str">
        <f>TRIM(MID(AW25,1,FIND(" ",AW25)-1))</f>
        <v>1120</v>
      </c>
      <c r="AY25" s="9" t="str">
        <f t="shared" ref="AY25" si="13">TRIM(MID(AW25,FIND(" ",AW25)+1,FIND(" ",AW25,FIND(" ",AW25)+1)-FIND(" ",AW25)-1))</f>
        <v>611</v>
      </c>
      <c r="AZ25" t="str">
        <f t="shared" ref="AZ25" si="14">TRIM(RIGHT(AW25,LEN(AW25)-FIND("~",SUBSTITUTE(AW25," ","~",2))))</f>
        <v>508</v>
      </c>
    </row>
    <row r="26" spans="1:52" x14ac:dyDescent="0.25">
      <c r="A26" s="4">
        <v>25</v>
      </c>
      <c r="B26" s="4">
        <v>25</v>
      </c>
      <c r="C26" s="4">
        <v>113</v>
      </c>
      <c r="D26" s="4">
        <v>3</v>
      </c>
      <c r="E26" s="4">
        <v>444</v>
      </c>
      <c r="F26" s="4">
        <v>12</v>
      </c>
      <c r="G26" s="4">
        <v>3</v>
      </c>
      <c r="H26" s="4">
        <v>12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2</v>
      </c>
      <c r="O26" s="4">
        <v>0</v>
      </c>
      <c r="P26" s="4">
        <v>2</v>
      </c>
      <c r="Q26" s="4">
        <v>0</v>
      </c>
      <c r="R26" s="4">
        <v>7</v>
      </c>
      <c r="S26" s="4">
        <v>1</v>
      </c>
      <c r="T26" s="4">
        <v>0</v>
      </c>
      <c r="U26" s="4">
        <v>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2</v>
      </c>
      <c r="AG26" s="4">
        <v>1</v>
      </c>
      <c r="AH26" s="4">
        <v>3</v>
      </c>
      <c r="AI26" s="4">
        <v>1</v>
      </c>
      <c r="AJ26" s="4">
        <v>0</v>
      </c>
      <c r="AK26" s="4">
        <v>0</v>
      </c>
      <c r="AL26" s="4">
        <v>0</v>
      </c>
      <c r="AM26" s="4">
        <v>0</v>
      </c>
      <c r="AN26" s="4">
        <v>1</v>
      </c>
      <c r="AO26" s="4">
        <v>612</v>
      </c>
      <c r="AP26" s="4">
        <v>0</v>
      </c>
      <c r="AQ26" s="4">
        <v>0</v>
      </c>
      <c r="AR26" s="4">
        <v>612</v>
      </c>
      <c r="AS26" s="4">
        <v>0</v>
      </c>
      <c r="AT26" s="9">
        <v>25</v>
      </c>
      <c r="AU26" s="9" t="s">
        <v>98</v>
      </c>
      <c r="AV26" s="9" t="s">
        <v>99</v>
      </c>
      <c r="AX26" s="9" t="e">
        <f t="shared" ref="AX26:AX31" si="15">TRIM(MID(AW26,1,FIND(" ",AW26)-1))</f>
        <v>#VALUE!</v>
      </c>
      <c r="AY26" s="9" t="e">
        <f t="shared" ref="AY26:AY27" si="16">TRIM(MID(AW26,FIND(" ",AW26)+1,FIND(" ",AW26,FIND(" ",AW26)+1)-FIND(" ",AW26)-1))</f>
        <v>#VALUE!</v>
      </c>
      <c r="AZ26" t="e">
        <f t="shared" ref="AZ26:AZ27" si="17">TRIM(RIGHT(AW26,LEN(AW26)-FIND("~",SUBSTITUTE(AW26," ","~",2))))</f>
        <v>#VALUE!</v>
      </c>
    </row>
    <row r="27" spans="1:52" x14ac:dyDescent="0.25">
      <c r="A27" s="4">
        <v>26</v>
      </c>
      <c r="B27" s="4">
        <v>26</v>
      </c>
      <c r="C27" s="4">
        <v>64</v>
      </c>
      <c r="D27" s="4">
        <v>6</v>
      </c>
      <c r="E27" s="4">
        <v>352</v>
      </c>
      <c r="F27" s="4">
        <v>2</v>
      </c>
      <c r="G27" s="4">
        <v>0</v>
      </c>
      <c r="H27" s="4">
        <v>13</v>
      </c>
      <c r="I27" s="4">
        <v>0</v>
      </c>
      <c r="J27" s="4">
        <v>0</v>
      </c>
      <c r="K27" s="4">
        <v>0</v>
      </c>
      <c r="L27" s="4">
        <v>1</v>
      </c>
      <c r="M27" s="4">
        <v>1</v>
      </c>
      <c r="N27" s="4">
        <v>0</v>
      </c>
      <c r="O27" s="4">
        <v>0</v>
      </c>
      <c r="P27" s="4">
        <v>0</v>
      </c>
      <c r="Q27" s="4">
        <v>3</v>
      </c>
      <c r="R27" s="4">
        <v>3</v>
      </c>
      <c r="S27" s="4">
        <v>1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448</v>
      </c>
      <c r="AP27" s="4">
        <v>0</v>
      </c>
      <c r="AQ27" s="4">
        <v>2</v>
      </c>
      <c r="AR27" s="4">
        <v>450</v>
      </c>
      <c r="AS27" s="4">
        <v>0</v>
      </c>
      <c r="AT27" s="9">
        <v>26</v>
      </c>
      <c r="AU27" s="9" t="s">
        <v>100</v>
      </c>
      <c r="AV27" s="9" t="s">
        <v>101</v>
      </c>
      <c r="AW27" t="s">
        <v>512</v>
      </c>
      <c r="AX27" s="9" t="str">
        <f t="shared" si="15"/>
        <v>778</v>
      </c>
      <c r="AY27" s="9" t="str">
        <f t="shared" si="16"/>
        <v>403</v>
      </c>
      <c r="AZ27" t="str">
        <f t="shared" si="17"/>
        <v>374</v>
      </c>
    </row>
    <row r="28" spans="1:52" ht="25.5" x14ac:dyDescent="0.25">
      <c r="A28" s="4">
        <v>27</v>
      </c>
      <c r="B28" s="4">
        <v>27</v>
      </c>
      <c r="C28" s="4">
        <v>131</v>
      </c>
      <c r="D28" s="4">
        <v>32</v>
      </c>
      <c r="E28" s="4">
        <v>471</v>
      </c>
      <c r="F28" s="4">
        <v>3</v>
      </c>
      <c r="G28" s="4">
        <v>0</v>
      </c>
      <c r="H28" s="4">
        <v>5</v>
      </c>
      <c r="I28" s="4">
        <v>2</v>
      </c>
      <c r="J28" s="4">
        <v>0</v>
      </c>
      <c r="K28" s="4">
        <v>0</v>
      </c>
      <c r="L28" s="4">
        <v>0</v>
      </c>
      <c r="M28" s="4">
        <v>1</v>
      </c>
      <c r="N28" s="4">
        <v>1</v>
      </c>
      <c r="O28" s="4">
        <v>0</v>
      </c>
      <c r="P28" s="4">
        <v>2</v>
      </c>
      <c r="Q28" s="4">
        <v>1</v>
      </c>
      <c r="R28" s="4">
        <v>3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</v>
      </c>
      <c r="AD28" s="4">
        <v>0</v>
      </c>
      <c r="AE28" s="4">
        <v>2</v>
      </c>
      <c r="AF28" s="4">
        <v>0</v>
      </c>
      <c r="AG28" s="4">
        <v>0</v>
      </c>
      <c r="AH28" s="4">
        <v>0</v>
      </c>
      <c r="AI28" s="4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657</v>
      </c>
      <c r="AP28" s="4">
        <v>0</v>
      </c>
      <c r="AQ28" s="4">
        <v>2</v>
      </c>
      <c r="AR28" s="4">
        <v>659</v>
      </c>
      <c r="AS28" s="4">
        <v>0</v>
      </c>
      <c r="AT28" s="9">
        <v>27</v>
      </c>
      <c r="AU28" s="9" t="s">
        <v>102</v>
      </c>
      <c r="AV28" s="9" t="s">
        <v>103</v>
      </c>
      <c r="AW28" t="s">
        <v>513</v>
      </c>
      <c r="AX28" s="9" t="str">
        <f t="shared" si="15"/>
        <v>1112</v>
      </c>
      <c r="AY28" s="9" t="str">
        <f t="shared" ref="AY28" si="18">TRIM(MID(AW28,FIND(" ",AW28)+1,FIND(" ",AW28,FIND(" ",AW28)+1)-FIND(" ",AW28)-1))</f>
        <v>600</v>
      </c>
      <c r="AZ28" t="str">
        <f t="shared" ref="AZ28" si="19">TRIM(RIGHT(AW28,LEN(AW28)-FIND("~",SUBSTITUTE(AW28," ","~",2))))</f>
        <v>511</v>
      </c>
    </row>
    <row r="29" spans="1:52" x14ac:dyDescent="0.25">
      <c r="A29" s="4">
        <v>28</v>
      </c>
      <c r="B29" s="4">
        <v>28</v>
      </c>
      <c r="C29" s="4">
        <v>122</v>
      </c>
      <c r="D29" s="4">
        <v>0</v>
      </c>
      <c r="E29" s="4">
        <v>280</v>
      </c>
      <c r="F29" s="4">
        <v>0</v>
      </c>
      <c r="G29" s="4">
        <v>1</v>
      </c>
      <c r="H29" s="4">
        <v>33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439</v>
      </c>
      <c r="AP29" s="4">
        <v>0</v>
      </c>
      <c r="AQ29" s="4">
        <v>0</v>
      </c>
      <c r="AR29" s="4">
        <v>439</v>
      </c>
      <c r="AS29" s="4">
        <v>0</v>
      </c>
      <c r="AT29" s="9">
        <v>28</v>
      </c>
      <c r="AU29" s="9" t="s">
        <v>104</v>
      </c>
      <c r="AV29" s="9" t="s">
        <v>105</v>
      </c>
      <c r="AW29" t="s">
        <v>514</v>
      </c>
      <c r="AX29" s="9" t="str">
        <f t="shared" si="15"/>
        <v>731</v>
      </c>
      <c r="AY29" s="9" t="str">
        <f t="shared" ref="AY29" si="20">TRIM(MID(AW29,FIND(" ",AW29)+1,FIND(" ",AW29,FIND(" ",AW29)+1)-FIND(" ",AW29)-1))</f>
        <v>391</v>
      </c>
      <c r="AZ29" t="str">
        <f t="shared" ref="AZ29" si="21">TRIM(RIGHT(AW29,LEN(AW29)-FIND("~",SUBSTITUTE(AW29," ","~",2))))</f>
        <v>336</v>
      </c>
    </row>
    <row r="30" spans="1:52" x14ac:dyDescent="0.25">
      <c r="A30" s="4">
        <v>29</v>
      </c>
      <c r="B30" s="4">
        <v>29</v>
      </c>
      <c r="C30" s="4">
        <v>77</v>
      </c>
      <c r="D30" s="4">
        <v>30</v>
      </c>
      <c r="E30" s="4">
        <v>368</v>
      </c>
      <c r="F30" s="4">
        <v>1</v>
      </c>
      <c r="G30" s="4">
        <v>0</v>
      </c>
      <c r="H30" s="4">
        <v>6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1</v>
      </c>
      <c r="R30" s="4">
        <v>0</v>
      </c>
      <c r="S30" s="4">
        <v>0</v>
      </c>
      <c r="T30" s="4">
        <v>1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1</v>
      </c>
      <c r="AJ30" s="4">
        <v>0</v>
      </c>
      <c r="AK30" s="4">
        <v>1</v>
      </c>
      <c r="AL30" s="4">
        <v>0</v>
      </c>
      <c r="AM30" s="4">
        <v>1</v>
      </c>
      <c r="AN30" s="4">
        <v>0</v>
      </c>
      <c r="AO30" s="4">
        <v>489</v>
      </c>
      <c r="AP30" s="4">
        <v>0</v>
      </c>
      <c r="AQ30" s="4">
        <v>0</v>
      </c>
      <c r="AR30" s="4">
        <v>489</v>
      </c>
      <c r="AS30" s="4">
        <v>0</v>
      </c>
      <c r="AT30" s="9">
        <v>29</v>
      </c>
      <c r="AU30" s="9" t="s">
        <v>106</v>
      </c>
      <c r="AV30" s="9" t="s">
        <v>107</v>
      </c>
      <c r="AW30" t="s">
        <v>515</v>
      </c>
      <c r="AX30" s="9" t="str">
        <f t="shared" si="15"/>
        <v>596</v>
      </c>
      <c r="AY30" s="9" t="str">
        <f t="shared" ref="AY30" si="22">TRIM(MID(AW30,FIND(" ",AW30)+1,FIND(" ",AW30,FIND(" ",AW30)+1)-FIND(" ",AW30)-1))</f>
        <v>328</v>
      </c>
      <c r="AZ30" t="str">
        <f t="shared" ref="AZ30" si="23">TRIM(RIGHT(AW30,LEN(AW30)-FIND("~",SUBSTITUTE(AW30," ","~",2))))</f>
        <v>266</v>
      </c>
    </row>
    <row r="31" spans="1:52" x14ac:dyDescent="0.25">
      <c r="A31" s="4">
        <v>30</v>
      </c>
      <c r="B31" s="4">
        <v>30</v>
      </c>
      <c r="C31" s="4">
        <v>125</v>
      </c>
      <c r="D31" s="4">
        <v>24</v>
      </c>
      <c r="E31" s="4">
        <v>173</v>
      </c>
      <c r="F31" s="4">
        <v>0</v>
      </c>
      <c r="G31" s="4">
        <v>0</v>
      </c>
      <c r="H31" s="4">
        <v>1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4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</v>
      </c>
      <c r="AN31" s="4">
        <v>0</v>
      </c>
      <c r="AO31" s="4">
        <v>330</v>
      </c>
      <c r="AP31" s="4">
        <v>0</v>
      </c>
      <c r="AQ31" s="4">
        <v>0</v>
      </c>
      <c r="AR31" s="4">
        <v>330</v>
      </c>
      <c r="AS31" s="4">
        <v>0</v>
      </c>
      <c r="AT31" s="9">
        <v>30</v>
      </c>
      <c r="AU31" s="9" t="s">
        <v>108</v>
      </c>
      <c r="AV31" s="9" t="s">
        <v>109</v>
      </c>
      <c r="AW31" t="s">
        <v>516</v>
      </c>
      <c r="AX31" s="9" t="str">
        <f t="shared" si="15"/>
        <v>533</v>
      </c>
      <c r="AY31" s="9" t="str">
        <f t="shared" ref="AY31" si="24">TRIM(MID(AW31,FIND(" ",AW31)+1,FIND(" ",AW31,FIND(" ",AW31)+1)-FIND(" ",AW31)-1))</f>
        <v>296</v>
      </c>
      <c r="AZ31" t="str">
        <f t="shared" ref="AZ31" si="25">TRIM(RIGHT(AW31,LEN(AW31)-FIND("~",SUBSTITUTE(AW31," ","~",2))))</f>
        <v>236</v>
      </c>
    </row>
    <row r="32" spans="1:52" x14ac:dyDescent="0.25">
      <c r="A32" s="4">
        <v>31</v>
      </c>
      <c r="B32" s="4">
        <v>31</v>
      </c>
      <c r="C32" s="4">
        <v>83</v>
      </c>
      <c r="D32" s="4">
        <v>1</v>
      </c>
      <c r="E32" s="4">
        <v>341</v>
      </c>
      <c r="F32" s="4">
        <v>1</v>
      </c>
      <c r="G32" s="4">
        <v>1</v>
      </c>
      <c r="H32" s="4">
        <v>5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1</v>
      </c>
      <c r="V32" s="4">
        <v>2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436</v>
      </c>
      <c r="AP32" s="4">
        <v>0</v>
      </c>
      <c r="AQ32" s="4">
        <v>0</v>
      </c>
      <c r="AR32" s="4">
        <v>436</v>
      </c>
      <c r="AS32" s="4">
        <v>0</v>
      </c>
      <c r="AT32" s="9">
        <v>31</v>
      </c>
      <c r="AU32" s="9" t="s">
        <v>110</v>
      </c>
      <c r="AV32" s="9" t="s">
        <v>111</v>
      </c>
      <c r="AW32" t="s">
        <v>517</v>
      </c>
      <c r="AX32" s="9" t="str">
        <f t="shared" ref="AX32:AX37" si="26">TRIM(MID(AW32,1,FIND(" ",AW32)-1))</f>
        <v>774</v>
      </c>
      <c r="AY32" s="9" t="str">
        <f t="shared" ref="AY32" si="27">TRIM(MID(AW32,FIND(" ",AW32)+1,FIND(" ",AW32,FIND(" ",AW32)+1)-FIND(" ",AW32)-1))</f>
        <v>437</v>
      </c>
      <c r="AZ32" t="str">
        <f t="shared" ref="AZ32" si="28">TRIM(RIGHT(AW32,LEN(AW32)-FIND("~",SUBSTITUTE(AW32," ","~",2))))</f>
        <v>334</v>
      </c>
    </row>
    <row r="33" spans="1:52" x14ac:dyDescent="0.25">
      <c r="A33" s="4">
        <v>32</v>
      </c>
      <c r="B33" s="4">
        <v>32</v>
      </c>
      <c r="C33" s="4">
        <v>109</v>
      </c>
      <c r="D33" s="4">
        <v>133</v>
      </c>
      <c r="E33" s="4">
        <v>184</v>
      </c>
      <c r="F33" s="4">
        <v>0</v>
      </c>
      <c r="G33" s="4">
        <v>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2</v>
      </c>
      <c r="N33" s="4">
        <v>3</v>
      </c>
      <c r="O33" s="4">
        <v>0</v>
      </c>
      <c r="P33" s="4">
        <v>1</v>
      </c>
      <c r="Q33" s="4">
        <v>0</v>
      </c>
      <c r="R33" s="4">
        <v>4</v>
      </c>
      <c r="S33" s="4">
        <v>6</v>
      </c>
      <c r="T33" s="4">
        <v>1</v>
      </c>
      <c r="U33" s="4">
        <v>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3</v>
      </c>
      <c r="AE33" s="4">
        <v>0</v>
      </c>
      <c r="AF33" s="4">
        <v>0</v>
      </c>
      <c r="AG33" s="4">
        <v>1</v>
      </c>
      <c r="AH33" s="4">
        <v>1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  <c r="AN33" s="4">
        <v>0</v>
      </c>
      <c r="AO33" s="4">
        <v>453</v>
      </c>
      <c r="AP33" s="4">
        <v>0</v>
      </c>
      <c r="AQ33" s="4">
        <v>0</v>
      </c>
      <c r="AR33" s="4">
        <v>453</v>
      </c>
      <c r="AS33" s="4">
        <v>0</v>
      </c>
      <c r="AT33" s="9">
        <v>32</v>
      </c>
      <c r="AU33" s="9" t="s">
        <v>112</v>
      </c>
      <c r="AV33" s="9" t="s">
        <v>113</v>
      </c>
      <c r="AW33" t="s">
        <v>518</v>
      </c>
      <c r="AX33" s="9" t="str">
        <f t="shared" si="26"/>
        <v>767</v>
      </c>
      <c r="AY33" s="9" t="str">
        <f t="shared" ref="AY33" si="29">TRIM(MID(AW33,FIND(" ",AW33)+1,FIND(" ",AW33,FIND(" ",AW33)+1)-FIND(" ",AW33)-1))</f>
        <v>416</v>
      </c>
      <c r="AZ33" t="str">
        <f t="shared" ref="AZ33" si="30">TRIM(RIGHT(AW33,LEN(AW33)-FIND("~",SUBSTITUTE(AW33," ","~",2))))</f>
        <v>344</v>
      </c>
    </row>
    <row r="34" spans="1:52" x14ac:dyDescent="0.25">
      <c r="A34" s="4">
        <v>33</v>
      </c>
      <c r="B34" s="4">
        <v>33</v>
      </c>
      <c r="C34" s="4">
        <v>100</v>
      </c>
      <c r="D34" s="4">
        <v>3</v>
      </c>
      <c r="E34" s="4">
        <v>179</v>
      </c>
      <c r="F34" s="4">
        <v>1</v>
      </c>
      <c r="G34" s="4">
        <v>1</v>
      </c>
      <c r="H34" s="4">
        <v>123</v>
      </c>
      <c r="I34" s="4">
        <v>1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2</v>
      </c>
      <c r="P34" s="4">
        <v>1</v>
      </c>
      <c r="Q34" s="4">
        <v>0</v>
      </c>
      <c r="R34" s="4">
        <v>5</v>
      </c>
      <c r="S34" s="4">
        <v>0</v>
      </c>
      <c r="T34" s="4">
        <v>0</v>
      </c>
      <c r="U34" s="4">
        <v>0</v>
      </c>
      <c r="V34" s="4">
        <v>1</v>
      </c>
      <c r="W34" s="4">
        <v>1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2</v>
      </c>
      <c r="AD34" s="4">
        <v>0</v>
      </c>
      <c r="AE34" s="4">
        <v>1</v>
      </c>
      <c r="AF34" s="4">
        <v>0</v>
      </c>
      <c r="AG34" s="4">
        <v>0</v>
      </c>
      <c r="AH34" s="4">
        <v>0</v>
      </c>
      <c r="AI34" s="4">
        <v>1</v>
      </c>
      <c r="AJ34" s="4">
        <v>1</v>
      </c>
      <c r="AK34" s="4">
        <v>0</v>
      </c>
      <c r="AL34" s="4">
        <v>1</v>
      </c>
      <c r="AM34" s="4">
        <v>0</v>
      </c>
      <c r="AN34" s="4">
        <v>0</v>
      </c>
      <c r="AO34" s="4">
        <v>425</v>
      </c>
      <c r="AP34" s="4">
        <v>0</v>
      </c>
      <c r="AQ34" s="4">
        <v>0</v>
      </c>
      <c r="AR34" s="4">
        <v>425</v>
      </c>
      <c r="AS34" s="4">
        <v>0</v>
      </c>
      <c r="AT34" s="9">
        <v>33</v>
      </c>
      <c r="AU34" s="9" t="s">
        <v>114</v>
      </c>
      <c r="AV34" s="9" t="s">
        <v>101</v>
      </c>
      <c r="AW34" t="s">
        <v>519</v>
      </c>
      <c r="AX34" s="9" t="str">
        <f t="shared" si="26"/>
        <v>700</v>
      </c>
      <c r="AY34" s="9" t="str">
        <f t="shared" ref="AY34" si="31">TRIM(MID(AW34,FIND(" ",AW34)+1,FIND(" ",AW34,FIND(" ",AW34)+1)-FIND(" ",AW34)-1))</f>
        <v>390</v>
      </c>
      <c r="AZ34" t="str">
        <f t="shared" ref="AZ34" si="32">TRIM(RIGHT(AW34,LEN(AW34)-FIND("~",SUBSTITUTE(AW34," ","~",2))))</f>
        <v>310</v>
      </c>
    </row>
    <row r="35" spans="1:52" x14ac:dyDescent="0.25">
      <c r="A35" s="4">
        <v>34</v>
      </c>
      <c r="B35" s="4">
        <v>34</v>
      </c>
      <c r="C35" s="4">
        <v>59</v>
      </c>
      <c r="D35" s="4">
        <v>11</v>
      </c>
      <c r="E35" s="4">
        <v>166</v>
      </c>
      <c r="F35" s="4">
        <v>1</v>
      </c>
      <c r="G35" s="4">
        <v>0</v>
      </c>
      <c r="H35" s="4">
        <v>6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2</v>
      </c>
      <c r="V35" s="4">
        <v>1</v>
      </c>
      <c r="W35" s="4">
        <v>0</v>
      </c>
      <c r="X35" s="4">
        <v>0</v>
      </c>
      <c r="Y35" s="4">
        <v>0</v>
      </c>
      <c r="Z35" s="4">
        <v>1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250</v>
      </c>
      <c r="AP35" s="4">
        <v>0</v>
      </c>
      <c r="AQ35" s="4">
        <v>1</v>
      </c>
      <c r="AR35" s="4">
        <v>251</v>
      </c>
      <c r="AS35" s="4">
        <v>0</v>
      </c>
      <c r="AT35" s="9">
        <v>34</v>
      </c>
      <c r="AU35" s="9" t="s">
        <v>115</v>
      </c>
      <c r="AV35" s="9" t="s">
        <v>101</v>
      </c>
      <c r="AW35" t="s">
        <v>520</v>
      </c>
      <c r="AX35" s="9" t="str">
        <f t="shared" si="26"/>
        <v>542</v>
      </c>
      <c r="AY35" s="9" t="str">
        <f t="shared" ref="AY35" si="33">TRIM(MID(AW35,FIND(" ",AW35)+1,FIND(" ",AW35,FIND(" ",AW35)+1)-FIND(" ",AW35)-1))</f>
        <v>298</v>
      </c>
      <c r="AZ35" t="str">
        <f t="shared" ref="AZ35" si="34">TRIM(RIGHT(AW35,LEN(AW35)-FIND("~",SUBSTITUTE(AW35," ","~",2))))</f>
        <v>244</v>
      </c>
    </row>
    <row r="36" spans="1:52" ht="25.5" x14ac:dyDescent="0.25">
      <c r="A36" s="4">
        <v>35</v>
      </c>
      <c r="B36" s="4">
        <v>35</v>
      </c>
      <c r="C36" s="4">
        <v>608</v>
      </c>
      <c r="D36" s="4">
        <v>1</v>
      </c>
      <c r="E36" s="4">
        <v>127</v>
      </c>
      <c r="F36" s="4">
        <v>1</v>
      </c>
      <c r="G36" s="4">
        <v>0</v>
      </c>
      <c r="H36" s="4">
        <v>87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4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831</v>
      </c>
      <c r="AP36" s="4">
        <v>0</v>
      </c>
      <c r="AQ36" s="4">
        <v>0</v>
      </c>
      <c r="AR36" s="4">
        <v>831</v>
      </c>
      <c r="AS36" s="4">
        <v>0</v>
      </c>
      <c r="AT36" s="9">
        <v>35</v>
      </c>
      <c r="AU36" s="9" t="s">
        <v>116</v>
      </c>
      <c r="AV36" s="9" t="s">
        <v>117</v>
      </c>
      <c r="AW36" t="s">
        <v>521</v>
      </c>
      <c r="AX36" s="9" t="str">
        <f t="shared" si="26"/>
        <v>1197</v>
      </c>
      <c r="AY36" s="9" t="str">
        <f t="shared" ref="AY36" si="35">TRIM(MID(AW36,FIND(" ",AW36)+1,FIND(" ",AW36,FIND(" ",AW36)+1)-FIND(" ",AW36)-1))</f>
        <v>643</v>
      </c>
      <c r="AZ36" t="str">
        <f t="shared" ref="AZ36" si="36">TRIM(RIGHT(AW36,LEN(AW36)-FIND("~",SUBSTITUTE(AW36," ","~",2))))</f>
        <v>554</v>
      </c>
    </row>
    <row r="37" spans="1:52" ht="25.5" x14ac:dyDescent="0.25">
      <c r="A37" s="4">
        <v>36</v>
      </c>
      <c r="B37" s="4">
        <v>36</v>
      </c>
      <c r="C37" s="4">
        <v>133</v>
      </c>
      <c r="D37" s="4">
        <v>8</v>
      </c>
      <c r="E37" s="4">
        <v>131</v>
      </c>
      <c r="F37" s="4">
        <v>2</v>
      </c>
      <c r="G37" s="4">
        <v>0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1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3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</v>
      </c>
      <c r="AN37" s="4">
        <v>0</v>
      </c>
      <c r="AO37" s="4">
        <v>281</v>
      </c>
      <c r="AP37" s="4">
        <v>0</v>
      </c>
      <c r="AQ37" s="4">
        <v>0</v>
      </c>
      <c r="AR37" s="4">
        <v>281</v>
      </c>
      <c r="AS37" s="4">
        <v>0</v>
      </c>
      <c r="AT37" s="9">
        <v>36</v>
      </c>
      <c r="AU37" s="9" t="s">
        <v>118</v>
      </c>
      <c r="AV37" s="9" t="s">
        <v>119</v>
      </c>
      <c r="AW37" t="s">
        <v>522</v>
      </c>
      <c r="AX37" s="9" t="str">
        <f t="shared" si="26"/>
        <v>487</v>
      </c>
      <c r="AY37" s="9" t="str">
        <f t="shared" ref="AY37" si="37">TRIM(MID(AW37,FIND(" ",AW37)+1,FIND(" ",AW37,FIND(" ",AW37)+1)-FIND(" ",AW37)-1))</f>
        <v>264</v>
      </c>
      <c r="AZ37" t="str">
        <f t="shared" ref="AZ37" si="38">TRIM(RIGHT(AW37,LEN(AW37)-FIND("~",SUBSTITUTE(AW37," ","~",2))))</f>
        <v>218</v>
      </c>
    </row>
    <row r="38" spans="1:52" x14ac:dyDescent="0.25">
      <c r="A38" s="4">
        <v>37</v>
      </c>
      <c r="B38" s="4">
        <v>37</v>
      </c>
      <c r="C38" s="4">
        <v>386</v>
      </c>
      <c r="D38" s="4">
        <v>11</v>
      </c>
      <c r="E38" s="4">
        <v>360</v>
      </c>
      <c r="F38" s="4">
        <v>2</v>
      </c>
      <c r="G38" s="4">
        <v>1</v>
      </c>
      <c r="H38" s="4">
        <v>21</v>
      </c>
      <c r="I38" s="4">
        <v>0</v>
      </c>
      <c r="J38" s="4">
        <v>0</v>
      </c>
      <c r="K38" s="4">
        <v>0</v>
      </c>
      <c r="L38" s="4">
        <v>0</v>
      </c>
      <c r="M38" s="4">
        <v>1</v>
      </c>
      <c r="N38" s="4">
        <v>2</v>
      </c>
      <c r="O38" s="4">
        <v>0</v>
      </c>
      <c r="P38" s="4">
        <v>1</v>
      </c>
      <c r="Q38" s="4">
        <v>0</v>
      </c>
      <c r="R38" s="4">
        <v>1</v>
      </c>
      <c r="S38" s="4">
        <v>0</v>
      </c>
      <c r="T38" s="4">
        <v>2</v>
      </c>
      <c r="U38" s="4">
        <v>0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790</v>
      </c>
      <c r="AP38" s="4">
        <v>0</v>
      </c>
      <c r="AQ38" s="4">
        <v>1</v>
      </c>
      <c r="AR38" s="4">
        <v>791</v>
      </c>
      <c r="AS38" s="4">
        <v>0</v>
      </c>
      <c r="AT38" s="9">
        <v>37</v>
      </c>
      <c r="AU38" s="9" t="s">
        <v>120</v>
      </c>
      <c r="AV38" s="9" t="s">
        <v>121</v>
      </c>
      <c r="AW38" t="s">
        <v>523</v>
      </c>
      <c r="AX38" s="9" t="str">
        <f t="shared" ref="AX38" si="39">TRIM(MID(AW38,1,FIND(" ",AW38)-1))</f>
        <v>1294</v>
      </c>
      <c r="AY38" s="9" t="str">
        <f t="shared" ref="AY38" si="40">TRIM(MID(AW38,FIND(" ",AW38)+1,FIND(" ",AW38,FIND(" ",AW38)+1)-FIND(" ",AW38)-1))</f>
        <v>710</v>
      </c>
      <c r="AZ38" t="str">
        <f t="shared" ref="AZ38" si="41">TRIM(RIGHT(AW38,LEN(AW38)-FIND("~",SUBSTITUTE(AW38," ","~",2))))</f>
        <v>581</v>
      </c>
    </row>
    <row r="39" spans="1:52" x14ac:dyDescent="0.25">
      <c r="A39" s="4">
        <v>38</v>
      </c>
      <c r="B39" s="4">
        <v>38</v>
      </c>
      <c r="C39" s="4">
        <v>298</v>
      </c>
      <c r="D39" s="4">
        <v>9</v>
      </c>
      <c r="E39" s="4">
        <v>205</v>
      </c>
      <c r="F39" s="4">
        <v>1</v>
      </c>
      <c r="G39" s="4">
        <v>0</v>
      </c>
      <c r="H39" s="4">
        <v>14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1</v>
      </c>
      <c r="O39" s="4">
        <v>0</v>
      </c>
      <c r="P39" s="4">
        <v>0</v>
      </c>
      <c r="Q39" s="4">
        <v>0</v>
      </c>
      <c r="R39" s="4">
        <v>3</v>
      </c>
      <c r="S39" s="4">
        <v>0</v>
      </c>
      <c r="T39" s="4">
        <v>0</v>
      </c>
      <c r="U39" s="4">
        <v>2</v>
      </c>
      <c r="V39" s="4">
        <v>0</v>
      </c>
      <c r="W39" s="4">
        <v>2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535</v>
      </c>
      <c r="AP39" s="4">
        <v>0</v>
      </c>
      <c r="AQ39" s="4">
        <v>0</v>
      </c>
      <c r="AR39" s="4">
        <v>535</v>
      </c>
      <c r="AS39" s="4">
        <v>0</v>
      </c>
      <c r="AT39" s="9">
        <v>38</v>
      </c>
      <c r="AU39" s="9" t="s">
        <v>122</v>
      </c>
      <c r="AV39" s="9" t="s">
        <v>123</v>
      </c>
      <c r="AW39" t="s">
        <v>524</v>
      </c>
      <c r="AX39" s="9" t="str">
        <f>TRIM(MID(AW39,1,FIND(" ",AW39)-1))</f>
        <v>844</v>
      </c>
      <c r="AY39" s="9" t="str">
        <f t="shared" ref="AY39" si="42">TRIM(MID(AW39,FIND(" ",AW39)+1,FIND(" ",AW39,FIND(" ",AW39)+1)-FIND(" ",AW39)-1))</f>
        <v>469</v>
      </c>
      <c r="AZ39" t="str">
        <f t="shared" ref="AZ39" si="43">TRIM(RIGHT(AW39,LEN(AW39)-FIND("~",SUBSTITUTE(AW39," ","~",2))))</f>
        <v>375</v>
      </c>
    </row>
    <row r="40" spans="1:52" x14ac:dyDescent="0.25">
      <c r="A40" s="4">
        <v>39</v>
      </c>
      <c r="B40" s="4">
        <v>39</v>
      </c>
      <c r="C40" s="4">
        <v>124</v>
      </c>
      <c r="D40" s="4">
        <v>37</v>
      </c>
      <c r="E40" s="4">
        <v>187</v>
      </c>
      <c r="F40" s="4">
        <v>0</v>
      </c>
      <c r="G40" s="4">
        <v>1</v>
      </c>
      <c r="H40" s="4">
        <v>3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1</v>
      </c>
      <c r="O40" s="4">
        <v>0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2</v>
      </c>
      <c r="AC40" s="4">
        <v>1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2</v>
      </c>
      <c r="AJ40" s="4">
        <v>0</v>
      </c>
      <c r="AK40" s="4">
        <v>1</v>
      </c>
      <c r="AL40" s="4">
        <v>1</v>
      </c>
      <c r="AM40" s="4">
        <v>0</v>
      </c>
      <c r="AN40" s="4">
        <v>0</v>
      </c>
      <c r="AO40" s="4">
        <v>364</v>
      </c>
      <c r="AP40" s="4">
        <v>0</v>
      </c>
      <c r="AQ40" s="4">
        <v>2</v>
      </c>
      <c r="AR40" s="4">
        <v>366</v>
      </c>
      <c r="AS40" s="4">
        <v>0</v>
      </c>
      <c r="AT40" s="9">
        <v>39</v>
      </c>
      <c r="AU40" s="9" t="s">
        <v>124</v>
      </c>
      <c r="AV40" s="9" t="s">
        <v>123</v>
      </c>
      <c r="AW40" t="s">
        <v>525</v>
      </c>
      <c r="AX40" s="9" t="str">
        <f>TRIM(MID(AW40,1,FIND(" ",AW40)-1))</f>
        <v>702</v>
      </c>
      <c r="AY40" s="9" t="str">
        <f t="shared" ref="AY40" si="44">TRIM(MID(AW40,FIND(" ",AW40)+1,FIND(" ",AW40,FIND(" ",AW40)+1)-FIND(" ",AW40)-1))</f>
        <v>369</v>
      </c>
      <c r="AZ40" t="str">
        <f t="shared" ref="AZ40" si="45">TRIM(RIGHT(AW40,LEN(AW40)-FIND("~",SUBSTITUTE(AW40," ","~",2))))</f>
        <v>329</v>
      </c>
    </row>
    <row r="41" spans="1:52" x14ac:dyDescent="0.25">
      <c r="A41" s="4">
        <v>40</v>
      </c>
      <c r="B41" s="4">
        <v>40</v>
      </c>
      <c r="C41" s="4">
        <v>261</v>
      </c>
      <c r="D41" s="4">
        <v>50</v>
      </c>
      <c r="E41" s="4">
        <v>276</v>
      </c>
      <c r="F41" s="4">
        <v>3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593</v>
      </c>
      <c r="AP41" s="4">
        <v>0</v>
      </c>
      <c r="AQ41" s="4">
        <v>0</v>
      </c>
      <c r="AR41" s="4">
        <v>593</v>
      </c>
      <c r="AS41" s="4">
        <v>0</v>
      </c>
      <c r="AT41" s="9">
        <v>40</v>
      </c>
      <c r="AU41" s="9" t="s">
        <v>125</v>
      </c>
      <c r="AV41" s="9" t="s">
        <v>126</v>
      </c>
      <c r="AW41" t="s">
        <v>526</v>
      </c>
      <c r="AX41" s="9" t="str">
        <f>TRIM(MID(AW41,1,FIND(" ",AW41)-1))</f>
        <v>760</v>
      </c>
      <c r="AY41" s="9" t="str">
        <f t="shared" ref="AY41" si="46">TRIM(MID(AW41,FIND(" ",AW41)+1,FIND(" ",AW41,FIND(" ",AW41)+1)-FIND(" ",AW41)-1))</f>
        <v>412</v>
      </c>
      <c r="AZ41" t="str">
        <f t="shared" ref="AZ41" si="47">TRIM(RIGHT(AW41,LEN(AW41)-FIND("~",SUBSTITUTE(AW41," ","~",2))))</f>
        <v>343</v>
      </c>
    </row>
    <row r="42" spans="1:52" x14ac:dyDescent="0.25">
      <c r="A42" s="4">
        <v>41</v>
      </c>
      <c r="B42" s="4">
        <v>41</v>
      </c>
      <c r="C42" s="4">
        <v>166</v>
      </c>
      <c r="D42" s="4">
        <v>9</v>
      </c>
      <c r="E42" s="4">
        <v>847</v>
      </c>
      <c r="F42" s="4">
        <v>4</v>
      </c>
      <c r="G42" s="4">
        <v>0</v>
      </c>
      <c r="H42" s="4">
        <v>4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2</v>
      </c>
      <c r="O42" s="4">
        <v>0</v>
      </c>
      <c r="P42" s="4">
        <v>1</v>
      </c>
      <c r="Q42" s="4">
        <v>1</v>
      </c>
      <c r="R42" s="4">
        <v>3</v>
      </c>
      <c r="S42" s="4">
        <v>2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1</v>
      </c>
      <c r="AA42" s="4">
        <v>1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1</v>
      </c>
      <c r="AH42" s="4">
        <v>0</v>
      </c>
      <c r="AI42" s="4">
        <v>0</v>
      </c>
      <c r="AJ42" s="4">
        <v>0</v>
      </c>
      <c r="AK42" s="4">
        <v>1</v>
      </c>
      <c r="AL42" s="4">
        <v>0</v>
      </c>
      <c r="AM42" s="4">
        <v>0</v>
      </c>
      <c r="AN42" s="4">
        <v>0</v>
      </c>
      <c r="AO42" s="4">
        <v>1045</v>
      </c>
      <c r="AP42" s="4">
        <v>0</v>
      </c>
      <c r="AQ42" s="4">
        <v>0</v>
      </c>
      <c r="AR42" s="4">
        <v>1045</v>
      </c>
      <c r="AS42" s="4">
        <v>0</v>
      </c>
      <c r="AT42" s="9">
        <v>41</v>
      </c>
      <c r="AU42" s="9" t="s">
        <v>127</v>
      </c>
      <c r="AV42" s="9" t="s">
        <v>128</v>
      </c>
      <c r="AW42" t="s">
        <v>527</v>
      </c>
      <c r="AX42" s="9" t="str">
        <f>TRIM(MID(AW42,1,FIND(" ",AW42)-1))</f>
        <v>1254</v>
      </c>
      <c r="AY42" s="9" t="str">
        <f t="shared" ref="AY42" si="48">TRIM(MID(AW42,FIND(" ",AW42)+1,FIND(" ",AW42,FIND(" ",AW42)+1)-FIND(" ",AW42)-1))</f>
        <v>704</v>
      </c>
      <c r="AZ42" t="str">
        <f t="shared" ref="AZ42" si="49">TRIM(RIGHT(AW42,LEN(AW42)-FIND("~",SUBSTITUTE(AW42," ","~",2))))</f>
        <v>544</v>
      </c>
    </row>
    <row r="43" spans="1:52" x14ac:dyDescent="0.25">
      <c r="A43" s="4">
        <v>42</v>
      </c>
      <c r="B43" s="4">
        <v>42</v>
      </c>
      <c r="C43" s="4">
        <v>86</v>
      </c>
      <c r="D43" s="4">
        <v>73</v>
      </c>
      <c r="E43" s="4">
        <v>316</v>
      </c>
      <c r="F43" s="4">
        <v>2</v>
      </c>
      <c r="G43" s="4">
        <v>0</v>
      </c>
      <c r="H43" s="4">
        <v>1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1</v>
      </c>
      <c r="O43" s="4">
        <v>2</v>
      </c>
      <c r="P43" s="4">
        <v>2</v>
      </c>
      <c r="Q43" s="4">
        <v>0</v>
      </c>
      <c r="R43" s="4">
        <v>1</v>
      </c>
      <c r="S43" s="4">
        <v>1</v>
      </c>
      <c r="T43" s="4">
        <v>0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2</v>
      </c>
      <c r="AI43" s="4">
        <v>0</v>
      </c>
      <c r="AJ43" s="4">
        <v>0</v>
      </c>
      <c r="AK43" s="4">
        <v>2</v>
      </c>
      <c r="AL43" s="4">
        <v>0</v>
      </c>
      <c r="AM43" s="4">
        <v>0</v>
      </c>
      <c r="AN43" s="4">
        <v>1</v>
      </c>
      <c r="AO43" s="4">
        <v>491</v>
      </c>
      <c r="AP43" s="4">
        <v>0</v>
      </c>
      <c r="AQ43" s="4">
        <v>0</v>
      </c>
      <c r="AR43" s="4">
        <v>491</v>
      </c>
      <c r="AS43" s="4">
        <v>0</v>
      </c>
      <c r="AT43" s="9">
        <v>42</v>
      </c>
      <c r="AU43" s="9" t="s">
        <v>129</v>
      </c>
      <c r="AV43" s="9" t="s">
        <v>130</v>
      </c>
      <c r="AW43" t="s">
        <v>528</v>
      </c>
      <c r="AX43" s="9" t="str">
        <f>TRIM(MID(AW43,1,FIND(" ",AW43)-1))</f>
        <v>784</v>
      </c>
      <c r="AY43" s="9" t="str">
        <f t="shared" ref="AY43" si="50">TRIM(MID(AW43,FIND(" ",AW43)+1,FIND(" ",AW43,FIND(" ",AW43)+1)-FIND(" ",AW43)-1))</f>
        <v>424</v>
      </c>
      <c r="AZ43" t="str">
        <f t="shared" ref="AZ43" si="51">TRIM(RIGHT(AW43,LEN(AW43)-FIND("~",SUBSTITUTE(AW43," ","~",2))))</f>
        <v>351</v>
      </c>
    </row>
    <row r="44" spans="1:52" x14ac:dyDescent="0.25">
      <c r="A44" s="4">
        <v>43</v>
      </c>
      <c r="B44" s="4">
        <v>43</v>
      </c>
      <c r="C44" s="4">
        <v>107</v>
      </c>
      <c r="D44" s="4">
        <v>94</v>
      </c>
      <c r="E44" s="4">
        <v>268</v>
      </c>
      <c r="F44" s="4">
        <v>3</v>
      </c>
      <c r="G44" s="4">
        <v>1</v>
      </c>
      <c r="H44" s="4">
        <v>2</v>
      </c>
      <c r="I44" s="4">
        <v>1</v>
      </c>
      <c r="J44" s="4">
        <v>0</v>
      </c>
      <c r="K44" s="4">
        <v>0</v>
      </c>
      <c r="L44" s="4">
        <v>0</v>
      </c>
      <c r="M44" s="4">
        <v>0</v>
      </c>
      <c r="N44" s="4">
        <v>4</v>
      </c>
      <c r="O44" s="4">
        <v>2</v>
      </c>
      <c r="P44" s="4">
        <v>2</v>
      </c>
      <c r="Q44" s="4">
        <v>1</v>
      </c>
      <c r="R44" s="4">
        <v>2</v>
      </c>
      <c r="S44" s="4">
        <v>2</v>
      </c>
      <c r="T44" s="4">
        <v>0</v>
      </c>
      <c r="U44" s="4">
        <v>3</v>
      </c>
      <c r="V44" s="4">
        <v>0</v>
      </c>
      <c r="W44" s="4">
        <v>0</v>
      </c>
      <c r="X44" s="4">
        <v>1</v>
      </c>
      <c r="Y44" s="4">
        <v>0</v>
      </c>
      <c r="Z44" s="4">
        <v>1</v>
      </c>
      <c r="AA44" s="4">
        <v>0</v>
      </c>
      <c r="AB44" s="4">
        <v>1</v>
      </c>
      <c r="AC44" s="4">
        <v>4</v>
      </c>
      <c r="AD44" s="4">
        <v>1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1</v>
      </c>
      <c r="AL44" s="4">
        <v>0</v>
      </c>
      <c r="AM44" s="4">
        <v>0</v>
      </c>
      <c r="AN44" s="4">
        <v>0</v>
      </c>
      <c r="AO44" s="4">
        <v>502</v>
      </c>
      <c r="AP44" s="4">
        <v>0</v>
      </c>
      <c r="AQ44" s="4">
        <v>0</v>
      </c>
      <c r="AR44" s="4">
        <v>502</v>
      </c>
      <c r="AS44" s="4">
        <v>0</v>
      </c>
      <c r="AT44" s="9">
        <v>43</v>
      </c>
      <c r="AU44" s="9" t="s">
        <v>131</v>
      </c>
      <c r="AV44" s="9" t="s">
        <v>132</v>
      </c>
      <c r="AX44" s="9" t="e">
        <f t="shared" ref="AX44:AX107" si="52">TRIM(MID(AW44,1,FIND(" ",AW44)-1))</f>
        <v>#VALUE!</v>
      </c>
      <c r="AY44" s="9" t="e">
        <f t="shared" ref="AY44:AY53" si="53">TRIM(MID(AW44,FIND(" ",AW44)+1,FIND(" ",AW44,FIND(" ",AW44)+1)-FIND(" ",AW44)-1))</f>
        <v>#VALUE!</v>
      </c>
      <c r="AZ44" t="e">
        <f t="shared" ref="AZ44:AZ53" si="54">TRIM(RIGHT(AW44,LEN(AW44)-FIND("~",SUBSTITUTE(AW44," ","~",2))))</f>
        <v>#VALUE!</v>
      </c>
    </row>
    <row r="45" spans="1:52" ht="25.5" x14ac:dyDescent="0.25">
      <c r="A45" s="4">
        <v>44</v>
      </c>
      <c r="B45" s="4">
        <v>44</v>
      </c>
      <c r="C45" s="4">
        <v>296</v>
      </c>
      <c r="D45" s="4">
        <v>2</v>
      </c>
      <c r="E45" s="4">
        <v>101</v>
      </c>
      <c r="F45" s="4">
        <v>1</v>
      </c>
      <c r="G45" s="4">
        <v>0</v>
      </c>
      <c r="H45" s="4">
        <v>4</v>
      </c>
      <c r="I45" s="4">
        <v>0</v>
      </c>
      <c r="J45" s="4">
        <v>0</v>
      </c>
      <c r="K45" s="4">
        <v>0</v>
      </c>
      <c r="L45" s="4">
        <v>0</v>
      </c>
      <c r="M45" s="4">
        <v>2</v>
      </c>
      <c r="N45" s="4">
        <v>0</v>
      </c>
      <c r="O45" s="4">
        <v>2</v>
      </c>
      <c r="P45" s="4">
        <v>0</v>
      </c>
      <c r="Q45" s="4">
        <v>0</v>
      </c>
      <c r="R45" s="4">
        <v>4</v>
      </c>
      <c r="S45" s="4">
        <v>0</v>
      </c>
      <c r="T45" s="4">
        <v>0</v>
      </c>
      <c r="U45" s="4">
        <v>0</v>
      </c>
      <c r="V45" s="4">
        <v>0</v>
      </c>
      <c r="W45" s="4">
        <v>1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413</v>
      </c>
      <c r="AP45" s="4">
        <v>0</v>
      </c>
      <c r="AQ45" s="4">
        <v>1</v>
      </c>
      <c r="AR45" s="4">
        <v>414</v>
      </c>
      <c r="AS45" s="4">
        <v>0</v>
      </c>
      <c r="AT45" s="9">
        <v>44</v>
      </c>
      <c r="AU45" s="9" t="s">
        <v>133</v>
      </c>
      <c r="AV45" s="9" t="s">
        <v>134</v>
      </c>
      <c r="AW45" t="s">
        <v>529</v>
      </c>
      <c r="AX45" s="9" t="str">
        <f t="shared" si="52"/>
        <v>694</v>
      </c>
      <c r="AY45" s="9" t="str">
        <f t="shared" si="53"/>
        <v>368</v>
      </c>
      <c r="AZ45" t="str">
        <f t="shared" si="54"/>
        <v>326</v>
      </c>
    </row>
    <row r="46" spans="1:52" ht="25.5" x14ac:dyDescent="0.25">
      <c r="A46" s="4">
        <v>45</v>
      </c>
      <c r="B46" s="4">
        <v>45</v>
      </c>
      <c r="C46" s="4">
        <v>297</v>
      </c>
      <c r="D46" s="4">
        <v>5</v>
      </c>
      <c r="E46" s="4">
        <v>197</v>
      </c>
      <c r="F46" s="4">
        <v>3</v>
      </c>
      <c r="G46" s="4">
        <v>0</v>
      </c>
      <c r="H46" s="4">
        <v>36</v>
      </c>
      <c r="I46" s="4">
        <v>0</v>
      </c>
      <c r="J46" s="4">
        <v>0</v>
      </c>
      <c r="K46" s="4">
        <v>0</v>
      </c>
      <c r="L46" s="4">
        <v>1</v>
      </c>
      <c r="M46" s="4">
        <v>1</v>
      </c>
      <c r="N46" s="4">
        <v>1</v>
      </c>
      <c r="O46" s="4">
        <v>0</v>
      </c>
      <c r="P46" s="4">
        <v>0</v>
      </c>
      <c r="Q46" s="4">
        <v>0</v>
      </c>
      <c r="R46" s="4">
        <v>1</v>
      </c>
      <c r="S46" s="4">
        <v>2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0</v>
      </c>
      <c r="AF46" s="4">
        <v>0</v>
      </c>
      <c r="AG46" s="4">
        <v>0</v>
      </c>
      <c r="AH46" s="4">
        <v>2</v>
      </c>
      <c r="AI46" s="4">
        <v>1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550</v>
      </c>
      <c r="AP46" s="4">
        <v>0</v>
      </c>
      <c r="AQ46" s="4">
        <v>1</v>
      </c>
      <c r="AR46" s="4">
        <v>551</v>
      </c>
      <c r="AS46" s="4">
        <v>0</v>
      </c>
      <c r="AT46" s="9">
        <v>45</v>
      </c>
      <c r="AU46" s="9" t="s">
        <v>135</v>
      </c>
      <c r="AV46" s="9" t="s">
        <v>136</v>
      </c>
      <c r="AW46" t="s">
        <v>530</v>
      </c>
      <c r="AX46" s="9" t="str">
        <f t="shared" si="52"/>
        <v>866</v>
      </c>
      <c r="AY46" s="9" t="str">
        <f t="shared" si="53"/>
        <v>462</v>
      </c>
      <c r="AZ46" t="str">
        <f t="shared" si="54"/>
        <v>396</v>
      </c>
    </row>
    <row r="47" spans="1:52" x14ac:dyDescent="0.25">
      <c r="A47" s="4">
        <v>46</v>
      </c>
      <c r="B47" s="4">
        <v>46</v>
      </c>
      <c r="C47" s="4">
        <v>74</v>
      </c>
      <c r="D47" s="4">
        <v>401</v>
      </c>
      <c r="E47" s="4">
        <v>211</v>
      </c>
      <c r="F47" s="4">
        <v>4</v>
      </c>
      <c r="G47" s="4">
        <v>1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>
        <v>0</v>
      </c>
      <c r="T47" s="4">
        <v>3</v>
      </c>
      <c r="U47" s="4">
        <v>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1</v>
      </c>
      <c r="AL47" s="4">
        <v>0</v>
      </c>
      <c r="AM47" s="4">
        <v>0</v>
      </c>
      <c r="AN47" s="4">
        <v>0</v>
      </c>
      <c r="AO47" s="4">
        <v>699</v>
      </c>
      <c r="AP47" s="4">
        <v>0</v>
      </c>
      <c r="AQ47" s="4">
        <v>0</v>
      </c>
      <c r="AR47" s="4">
        <v>699</v>
      </c>
      <c r="AS47" s="4">
        <v>0</v>
      </c>
      <c r="AT47" s="9">
        <v>46</v>
      </c>
      <c r="AU47" s="9" t="s">
        <v>137</v>
      </c>
      <c r="AV47" s="9" t="s">
        <v>138</v>
      </c>
      <c r="AW47" t="s">
        <v>531</v>
      </c>
      <c r="AX47" s="9" t="str">
        <f t="shared" si="52"/>
        <v>1129</v>
      </c>
      <c r="AY47" s="9" t="str">
        <f t="shared" si="53"/>
        <v>610</v>
      </c>
      <c r="AZ47" t="str">
        <f t="shared" si="54"/>
        <v>517</v>
      </c>
    </row>
    <row r="48" spans="1:52" x14ac:dyDescent="0.25">
      <c r="A48" s="4">
        <v>47</v>
      </c>
      <c r="B48" s="4">
        <v>47</v>
      </c>
      <c r="C48" s="4">
        <v>69</v>
      </c>
      <c r="D48" s="4">
        <v>290</v>
      </c>
      <c r="E48" s="4">
        <v>63</v>
      </c>
      <c r="F48" s="4">
        <v>0</v>
      </c>
      <c r="G48" s="4">
        <v>0</v>
      </c>
      <c r="H48" s="4">
        <v>1</v>
      </c>
      <c r="I48" s="4">
        <v>1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  <c r="P48" s="4">
        <v>1</v>
      </c>
      <c r="Q48" s="4">
        <v>1</v>
      </c>
      <c r="R48" s="4">
        <v>3</v>
      </c>
      <c r="S48" s="4">
        <v>2</v>
      </c>
      <c r="T48" s="4">
        <v>2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3</v>
      </c>
      <c r="AD48" s="4">
        <v>0</v>
      </c>
      <c r="AE48" s="4">
        <v>0</v>
      </c>
      <c r="AF48" s="4">
        <v>1</v>
      </c>
      <c r="AG48" s="4">
        <v>0</v>
      </c>
      <c r="AH48" s="4">
        <v>0</v>
      </c>
      <c r="AI48" s="4">
        <v>0</v>
      </c>
      <c r="AJ48" s="4">
        <v>1</v>
      </c>
      <c r="AK48" s="4">
        <v>0</v>
      </c>
      <c r="AL48" s="4">
        <v>0</v>
      </c>
      <c r="AM48" s="4">
        <v>0</v>
      </c>
      <c r="AN48" s="4">
        <v>0</v>
      </c>
      <c r="AO48" s="4">
        <v>440</v>
      </c>
      <c r="AP48" s="4">
        <v>0</v>
      </c>
      <c r="AQ48" s="4">
        <v>0</v>
      </c>
      <c r="AR48" s="4">
        <v>440</v>
      </c>
      <c r="AS48" s="4">
        <v>0</v>
      </c>
      <c r="AT48" s="9">
        <v>47</v>
      </c>
      <c r="AU48" s="9" t="s">
        <v>139</v>
      </c>
      <c r="AV48" s="9" t="s">
        <v>101</v>
      </c>
      <c r="AW48" t="s">
        <v>532</v>
      </c>
      <c r="AX48" s="9" t="str">
        <f t="shared" si="52"/>
        <v>734</v>
      </c>
      <c r="AY48" s="9" t="str">
        <f t="shared" si="53"/>
        <v>388</v>
      </c>
      <c r="AZ48" t="str">
        <f t="shared" si="54"/>
        <v>343</v>
      </c>
    </row>
    <row r="49" spans="1:52" x14ac:dyDescent="0.25">
      <c r="A49" s="4">
        <v>48</v>
      </c>
      <c r="B49" s="4">
        <v>48</v>
      </c>
      <c r="C49" s="4">
        <v>30</v>
      </c>
      <c r="D49" s="4">
        <v>4</v>
      </c>
      <c r="E49" s="4">
        <v>400</v>
      </c>
      <c r="F49" s="4">
        <v>1</v>
      </c>
      <c r="G49" s="4">
        <v>1</v>
      </c>
      <c r="H49" s="4">
        <v>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438</v>
      </c>
      <c r="AP49" s="4">
        <v>0</v>
      </c>
      <c r="AQ49" s="4">
        <v>0</v>
      </c>
      <c r="AR49" s="4">
        <v>438</v>
      </c>
      <c r="AS49" s="4">
        <v>0</v>
      </c>
      <c r="AT49" s="9">
        <v>48</v>
      </c>
      <c r="AU49" s="9" t="s">
        <v>140</v>
      </c>
      <c r="AV49" s="9" t="s">
        <v>101</v>
      </c>
      <c r="AW49" t="s">
        <v>533</v>
      </c>
      <c r="AX49" s="9" t="str">
        <f t="shared" si="52"/>
        <v>524</v>
      </c>
      <c r="AY49" s="9" t="str">
        <f t="shared" si="53"/>
        <v>288</v>
      </c>
      <c r="AZ49" t="str">
        <f t="shared" si="54"/>
        <v>235</v>
      </c>
    </row>
    <row r="50" spans="1:52" x14ac:dyDescent="0.25">
      <c r="A50" s="4">
        <v>49</v>
      </c>
      <c r="B50" s="4">
        <v>49</v>
      </c>
      <c r="C50" s="4">
        <v>55</v>
      </c>
      <c r="D50" s="4">
        <v>7</v>
      </c>
      <c r="E50" s="4">
        <v>281</v>
      </c>
      <c r="F50" s="4">
        <v>1</v>
      </c>
      <c r="G50" s="4">
        <v>1</v>
      </c>
      <c r="H50" s="4">
        <v>8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1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357</v>
      </c>
      <c r="AP50" s="4">
        <v>0</v>
      </c>
      <c r="AQ50" s="4">
        <v>2</v>
      </c>
      <c r="AR50" s="4">
        <v>359</v>
      </c>
      <c r="AS50" s="4">
        <v>0</v>
      </c>
      <c r="AT50" s="9">
        <v>49</v>
      </c>
      <c r="AU50" s="9" t="s">
        <v>141</v>
      </c>
      <c r="AV50" s="9" t="s">
        <v>101</v>
      </c>
      <c r="AW50" t="s">
        <v>534</v>
      </c>
      <c r="AX50" s="9" t="str">
        <f t="shared" si="52"/>
        <v>613</v>
      </c>
      <c r="AY50" s="9" t="str">
        <f t="shared" si="53"/>
        <v>349</v>
      </c>
      <c r="AZ50" t="str">
        <f t="shared" si="54"/>
        <v>264</v>
      </c>
    </row>
    <row r="51" spans="1:52" ht="38.25" x14ac:dyDescent="0.25">
      <c r="A51" s="4">
        <v>50</v>
      </c>
      <c r="B51" s="4">
        <v>50</v>
      </c>
      <c r="C51" s="4">
        <v>106</v>
      </c>
      <c r="D51" s="4">
        <v>14</v>
      </c>
      <c r="E51" s="4">
        <v>416</v>
      </c>
      <c r="F51" s="4">
        <v>1</v>
      </c>
      <c r="G51" s="4">
        <v>1</v>
      </c>
      <c r="H51" s="4">
        <v>5</v>
      </c>
      <c r="I51" s="4">
        <v>0</v>
      </c>
      <c r="J51" s="4">
        <v>0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1</v>
      </c>
      <c r="Q51" s="4">
        <v>1</v>
      </c>
      <c r="R51" s="4">
        <v>1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>
        <v>1</v>
      </c>
      <c r="AI51" s="4">
        <v>0</v>
      </c>
      <c r="AJ51" s="4">
        <v>0</v>
      </c>
      <c r="AK51" s="4">
        <v>1</v>
      </c>
      <c r="AL51" s="4">
        <v>0</v>
      </c>
      <c r="AM51" s="4">
        <v>0</v>
      </c>
      <c r="AN51" s="4">
        <v>1</v>
      </c>
      <c r="AO51" s="4">
        <v>552</v>
      </c>
      <c r="AP51" s="4">
        <v>0</v>
      </c>
      <c r="AQ51" s="4">
        <v>3</v>
      </c>
      <c r="AR51" s="4">
        <v>555</v>
      </c>
      <c r="AS51" s="4">
        <v>0</v>
      </c>
      <c r="AT51" s="9">
        <v>50</v>
      </c>
      <c r="AU51" s="9" t="s">
        <v>142</v>
      </c>
      <c r="AV51" s="9" t="s">
        <v>143</v>
      </c>
      <c r="AW51" t="s">
        <v>535</v>
      </c>
      <c r="AX51" s="9" t="str">
        <f t="shared" si="52"/>
        <v>678</v>
      </c>
      <c r="AY51" s="9" t="str">
        <f t="shared" si="53"/>
        <v>366</v>
      </c>
      <c r="AZ51" t="str">
        <f t="shared" si="54"/>
        <v>308</v>
      </c>
    </row>
    <row r="52" spans="1:52" ht="25.5" x14ac:dyDescent="0.25">
      <c r="A52" s="4">
        <v>51</v>
      </c>
      <c r="B52" s="4">
        <v>51</v>
      </c>
      <c r="C52" s="4">
        <v>76</v>
      </c>
      <c r="D52" s="4">
        <v>84</v>
      </c>
      <c r="E52" s="4">
        <v>247</v>
      </c>
      <c r="F52" s="4">
        <v>3</v>
      </c>
      <c r="G52" s="4">
        <v>4</v>
      </c>
      <c r="H52" s="4">
        <v>3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1</v>
      </c>
      <c r="R52" s="4">
        <v>1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1</v>
      </c>
      <c r="AF52" s="4">
        <v>0</v>
      </c>
      <c r="AG52" s="4">
        <v>0</v>
      </c>
      <c r="AH52" s="4">
        <v>1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427</v>
      </c>
      <c r="AP52" s="4">
        <v>0</v>
      </c>
      <c r="AQ52" s="4">
        <v>0</v>
      </c>
      <c r="AR52" s="4">
        <v>427</v>
      </c>
      <c r="AS52" s="4">
        <v>0</v>
      </c>
      <c r="AT52" s="9">
        <v>51</v>
      </c>
      <c r="AU52" s="9" t="s">
        <v>144</v>
      </c>
      <c r="AV52" s="9" t="s">
        <v>145</v>
      </c>
      <c r="AW52" t="s">
        <v>536</v>
      </c>
      <c r="AX52" s="9" t="str">
        <f t="shared" si="52"/>
        <v>673</v>
      </c>
      <c r="AY52" s="9" t="str">
        <f t="shared" si="53"/>
        <v>357</v>
      </c>
      <c r="AZ52" t="str">
        <f t="shared" si="54"/>
        <v>316</v>
      </c>
    </row>
    <row r="53" spans="1:52" x14ac:dyDescent="0.25">
      <c r="A53" s="4">
        <v>52</v>
      </c>
      <c r="B53" s="4">
        <v>52</v>
      </c>
      <c r="C53" s="4">
        <v>81</v>
      </c>
      <c r="D53" s="4">
        <v>44</v>
      </c>
      <c r="E53" s="4">
        <v>157</v>
      </c>
      <c r="F53" s="4">
        <v>0</v>
      </c>
      <c r="G53" s="4">
        <v>1</v>
      </c>
      <c r="H53" s="4">
        <v>10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294</v>
      </c>
      <c r="AP53" s="4">
        <v>0</v>
      </c>
      <c r="AQ53" s="4">
        <v>0</v>
      </c>
      <c r="AR53" s="4">
        <v>294</v>
      </c>
      <c r="AS53" s="4">
        <v>0</v>
      </c>
      <c r="AT53" s="9">
        <v>52</v>
      </c>
      <c r="AU53" s="9" t="s">
        <v>146</v>
      </c>
      <c r="AV53" s="9" t="s">
        <v>101</v>
      </c>
      <c r="AW53" t="s">
        <v>537</v>
      </c>
      <c r="AX53" s="9" t="str">
        <f t="shared" si="52"/>
        <v>524</v>
      </c>
      <c r="AY53" s="9" t="str">
        <f t="shared" si="53"/>
        <v>275</v>
      </c>
      <c r="AZ53" t="str">
        <f t="shared" si="54"/>
        <v>245</v>
      </c>
    </row>
    <row r="54" spans="1:52" x14ac:dyDescent="0.25">
      <c r="A54" s="4">
        <v>53</v>
      </c>
      <c r="B54" s="4">
        <v>53</v>
      </c>
      <c r="C54" s="4">
        <v>31</v>
      </c>
      <c r="D54" s="4">
        <v>58</v>
      </c>
      <c r="E54" s="4">
        <v>154</v>
      </c>
      <c r="F54" s="4">
        <v>0</v>
      </c>
      <c r="G54" s="4">
        <v>2</v>
      </c>
      <c r="H54" s="4">
        <v>2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2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250</v>
      </c>
      <c r="AP54" s="4">
        <v>0</v>
      </c>
      <c r="AQ54" s="4">
        <v>0</v>
      </c>
      <c r="AR54" s="4">
        <v>250</v>
      </c>
      <c r="AS54" s="4">
        <v>0</v>
      </c>
      <c r="AT54" s="9">
        <v>53</v>
      </c>
      <c r="AU54" s="9" t="s">
        <v>147</v>
      </c>
      <c r="AV54" s="9" t="s">
        <v>148</v>
      </c>
      <c r="AW54" t="s">
        <v>538</v>
      </c>
      <c r="AX54" s="9" t="str">
        <f t="shared" si="52"/>
        <v>380</v>
      </c>
      <c r="AY54" s="9" t="str">
        <f t="shared" ref="AY54:AY117" si="55">TRIM(MID(AW54,FIND(" ",AW54)+1,FIND(" ",AW54,FIND(" ",AW54)+1)-FIND(" ",AW54)-1))</f>
        <v>205</v>
      </c>
      <c r="AZ54" t="str">
        <f t="shared" ref="AZ54:AZ117" si="56">TRIM(RIGHT(AW54,LEN(AW54)-FIND("~",SUBSTITUTE(AW54," ","~",2))))</f>
        <v>174</v>
      </c>
    </row>
    <row r="55" spans="1:52" x14ac:dyDescent="0.25">
      <c r="A55" s="4">
        <v>54</v>
      </c>
      <c r="B55" s="4">
        <v>54</v>
      </c>
      <c r="C55" s="4">
        <v>116</v>
      </c>
      <c r="D55" s="4">
        <v>65</v>
      </c>
      <c r="E55" s="4">
        <v>159</v>
      </c>
      <c r="F55" s="4">
        <v>1</v>
      </c>
      <c r="G55" s="4">
        <v>4</v>
      </c>
      <c r="H55" s="4">
        <v>36</v>
      </c>
      <c r="I55" s="4">
        <v>0</v>
      </c>
      <c r="J55" s="4">
        <v>0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384</v>
      </c>
      <c r="AP55" s="4">
        <v>0</v>
      </c>
      <c r="AQ55" s="4">
        <v>0</v>
      </c>
      <c r="AR55" s="4">
        <v>384</v>
      </c>
      <c r="AS55" s="4">
        <v>0</v>
      </c>
      <c r="AT55" s="9">
        <v>54</v>
      </c>
      <c r="AU55" s="9" t="s">
        <v>149</v>
      </c>
      <c r="AV55" s="9" t="s">
        <v>150</v>
      </c>
      <c r="AW55" t="s">
        <v>539</v>
      </c>
      <c r="AX55" s="9" t="str">
        <f t="shared" si="52"/>
        <v>655</v>
      </c>
      <c r="AY55" s="9" t="str">
        <f t="shared" si="55"/>
        <v>346</v>
      </c>
      <c r="AZ55" t="str">
        <f t="shared" si="56"/>
        <v>301</v>
      </c>
    </row>
    <row r="56" spans="1:52" x14ac:dyDescent="0.25">
      <c r="A56" s="4">
        <v>55</v>
      </c>
      <c r="B56" s="4">
        <v>55</v>
      </c>
      <c r="C56" s="4">
        <v>91</v>
      </c>
      <c r="D56" s="4">
        <v>46</v>
      </c>
      <c r="E56" s="4">
        <v>261</v>
      </c>
      <c r="F56" s="4">
        <v>1</v>
      </c>
      <c r="G56" s="4">
        <v>1</v>
      </c>
      <c r="H56" s="4">
        <v>9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410</v>
      </c>
      <c r="AP56" s="4">
        <v>0</v>
      </c>
      <c r="AQ56" s="4">
        <v>0</v>
      </c>
      <c r="AR56" s="4">
        <v>410</v>
      </c>
      <c r="AS56" s="4">
        <v>0</v>
      </c>
      <c r="AT56" s="9">
        <v>55</v>
      </c>
      <c r="AU56" s="9" t="s">
        <v>151</v>
      </c>
      <c r="AV56" s="9" t="s">
        <v>152</v>
      </c>
      <c r="AW56" t="s">
        <v>540</v>
      </c>
      <c r="AX56" s="9" t="str">
        <f t="shared" si="52"/>
        <v>600</v>
      </c>
      <c r="AY56" s="9" t="str">
        <f t="shared" si="55"/>
        <v>307</v>
      </c>
      <c r="AZ56" t="str">
        <f t="shared" si="56"/>
        <v>293</v>
      </c>
    </row>
    <row r="57" spans="1:52" x14ac:dyDescent="0.25">
      <c r="A57" s="4">
        <v>56</v>
      </c>
      <c r="B57" s="4">
        <v>56</v>
      </c>
      <c r="C57" s="4">
        <v>163</v>
      </c>
      <c r="D57" s="4">
        <v>5</v>
      </c>
      <c r="E57" s="4">
        <v>237</v>
      </c>
      <c r="F57" s="4">
        <v>0</v>
      </c>
      <c r="G57" s="4">
        <v>0</v>
      </c>
      <c r="H57" s="4">
        <v>55</v>
      </c>
      <c r="I57" s="4">
        <v>0</v>
      </c>
      <c r="J57" s="4">
        <v>1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461</v>
      </c>
      <c r="AP57" s="4">
        <v>0</v>
      </c>
      <c r="AQ57" s="4">
        <v>0</v>
      </c>
      <c r="AR57" s="4">
        <v>461</v>
      </c>
      <c r="AS57" s="4">
        <v>0</v>
      </c>
      <c r="AT57" s="9">
        <v>56</v>
      </c>
      <c r="AU57" s="9" t="s">
        <v>153</v>
      </c>
      <c r="AV57" s="9" t="s">
        <v>154</v>
      </c>
      <c r="AW57" t="s">
        <v>541</v>
      </c>
      <c r="AX57" s="9" t="str">
        <f t="shared" si="52"/>
        <v>810</v>
      </c>
      <c r="AY57" s="9" t="str">
        <f t="shared" si="55"/>
        <v>426</v>
      </c>
      <c r="AZ57" t="str">
        <f t="shared" si="56"/>
        <v>384</v>
      </c>
    </row>
    <row r="58" spans="1:52" x14ac:dyDescent="0.25">
      <c r="A58" s="4">
        <v>57</v>
      </c>
      <c r="B58" s="4">
        <v>57</v>
      </c>
      <c r="C58" s="4">
        <v>238</v>
      </c>
      <c r="D58" s="4">
        <v>7</v>
      </c>
      <c r="E58" s="4">
        <v>167</v>
      </c>
      <c r="F58" s="4">
        <v>1</v>
      </c>
      <c r="G58" s="4">
        <v>1</v>
      </c>
      <c r="H58" s="4">
        <v>64</v>
      </c>
      <c r="I58" s="4">
        <v>2</v>
      </c>
      <c r="J58" s="4">
        <v>0</v>
      </c>
      <c r="K58" s="4">
        <v>1</v>
      </c>
      <c r="L58" s="4">
        <v>0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4</v>
      </c>
      <c r="S58" s="4">
        <v>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490</v>
      </c>
      <c r="AP58" s="4">
        <v>0</v>
      </c>
      <c r="AQ58" s="4">
        <v>1</v>
      </c>
      <c r="AR58" s="4">
        <v>491</v>
      </c>
      <c r="AS58" s="4">
        <v>0</v>
      </c>
      <c r="AT58" s="9">
        <v>57</v>
      </c>
      <c r="AU58" s="9" t="s">
        <v>155</v>
      </c>
      <c r="AV58" s="9" t="s">
        <v>156</v>
      </c>
      <c r="AX58" s="9" t="e">
        <f t="shared" si="52"/>
        <v>#VALUE!</v>
      </c>
      <c r="AY58" s="9" t="e">
        <f t="shared" si="55"/>
        <v>#VALUE!</v>
      </c>
      <c r="AZ58" t="e">
        <f t="shared" si="56"/>
        <v>#VALUE!</v>
      </c>
    </row>
    <row r="59" spans="1:52" x14ac:dyDescent="0.25">
      <c r="A59" s="4">
        <v>58</v>
      </c>
      <c r="B59" s="4">
        <v>58</v>
      </c>
      <c r="C59" s="4">
        <v>19</v>
      </c>
      <c r="D59" s="4">
        <v>0</v>
      </c>
      <c r="E59" s="4">
        <v>215</v>
      </c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235</v>
      </c>
      <c r="AP59" s="4">
        <v>0</v>
      </c>
      <c r="AQ59" s="4">
        <v>1</v>
      </c>
      <c r="AR59" s="4">
        <v>236</v>
      </c>
      <c r="AS59" s="4">
        <v>0</v>
      </c>
      <c r="AT59" s="9">
        <v>58</v>
      </c>
      <c r="AU59" s="9" t="s">
        <v>157</v>
      </c>
      <c r="AV59" s="9" t="s">
        <v>158</v>
      </c>
      <c r="AW59" t="s">
        <v>542</v>
      </c>
      <c r="AX59" s="9" t="str">
        <f t="shared" si="52"/>
        <v>290</v>
      </c>
      <c r="AY59" s="9" t="str">
        <f t="shared" si="55"/>
        <v>160</v>
      </c>
      <c r="AZ59" t="str">
        <f t="shared" si="56"/>
        <v>126</v>
      </c>
    </row>
    <row r="60" spans="1:52" x14ac:dyDescent="0.25">
      <c r="A60" s="4">
        <v>59</v>
      </c>
      <c r="B60" s="4">
        <v>59</v>
      </c>
      <c r="C60" s="4">
        <v>241</v>
      </c>
      <c r="D60" s="4">
        <v>8</v>
      </c>
      <c r="E60" s="4">
        <v>318</v>
      </c>
      <c r="F60" s="4">
        <v>0</v>
      </c>
      <c r="G60" s="4">
        <v>0</v>
      </c>
      <c r="H60" s="4">
        <v>29</v>
      </c>
      <c r="I60" s="4">
        <v>0</v>
      </c>
      <c r="J60" s="4">
        <v>0</v>
      </c>
      <c r="K60" s="4">
        <v>2</v>
      </c>
      <c r="L60" s="4">
        <v>1</v>
      </c>
      <c r="M60" s="4">
        <v>0</v>
      </c>
      <c r="N60" s="4">
        <v>1</v>
      </c>
      <c r="O60" s="4">
        <v>2</v>
      </c>
      <c r="P60" s="4">
        <v>0</v>
      </c>
      <c r="Q60" s="4">
        <v>0</v>
      </c>
      <c r="R60" s="4">
        <v>2</v>
      </c>
      <c r="S60" s="4">
        <v>0</v>
      </c>
      <c r="T60" s="4">
        <v>0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  <c r="AG60" s="4">
        <v>0</v>
      </c>
      <c r="AH60" s="4">
        <v>2</v>
      </c>
      <c r="AI60" s="4">
        <v>0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610</v>
      </c>
      <c r="AP60" s="4">
        <v>0</v>
      </c>
      <c r="AQ60" s="4">
        <v>2</v>
      </c>
      <c r="AR60" s="4">
        <v>612</v>
      </c>
      <c r="AS60" s="4">
        <v>0</v>
      </c>
      <c r="AT60" s="9">
        <v>59</v>
      </c>
      <c r="AU60" s="9" t="s">
        <v>159</v>
      </c>
      <c r="AV60" s="9" t="s">
        <v>160</v>
      </c>
      <c r="AW60" t="s">
        <v>543</v>
      </c>
      <c r="AX60" s="9" t="str">
        <f t="shared" si="52"/>
        <v>994</v>
      </c>
      <c r="AY60" s="9" t="str">
        <f t="shared" si="55"/>
        <v>527</v>
      </c>
      <c r="AZ60" t="str">
        <f t="shared" si="56"/>
        <v>460</v>
      </c>
    </row>
    <row r="61" spans="1:52" x14ac:dyDescent="0.25">
      <c r="A61" s="4">
        <v>60</v>
      </c>
      <c r="B61" s="4">
        <v>60</v>
      </c>
      <c r="C61" s="4">
        <v>107</v>
      </c>
      <c r="D61" s="4">
        <v>90</v>
      </c>
      <c r="E61" s="4">
        <v>113</v>
      </c>
      <c r="F61" s="4">
        <v>2</v>
      </c>
      <c r="G61" s="4">
        <v>1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315</v>
      </c>
      <c r="AP61" s="4">
        <v>0</v>
      </c>
      <c r="AQ61" s="4">
        <v>0</v>
      </c>
      <c r="AR61" s="4">
        <v>315</v>
      </c>
      <c r="AS61" s="4">
        <v>0</v>
      </c>
      <c r="AT61" s="9">
        <v>60</v>
      </c>
      <c r="AU61" s="9" t="s">
        <v>161</v>
      </c>
      <c r="AV61" s="9" t="s">
        <v>162</v>
      </c>
      <c r="AW61" t="s">
        <v>544</v>
      </c>
      <c r="AX61" s="9" t="str">
        <f t="shared" si="52"/>
        <v>515</v>
      </c>
      <c r="AY61" s="9" t="str">
        <f t="shared" si="55"/>
        <v>279</v>
      </c>
      <c r="AZ61" t="str">
        <f t="shared" si="56"/>
        <v>235</v>
      </c>
    </row>
    <row r="62" spans="1:52" x14ac:dyDescent="0.25">
      <c r="A62" s="4">
        <v>61</v>
      </c>
      <c r="B62" s="4">
        <v>61</v>
      </c>
      <c r="C62" s="4">
        <v>274</v>
      </c>
      <c r="D62" s="4">
        <v>9</v>
      </c>
      <c r="E62" s="4">
        <v>118</v>
      </c>
      <c r="F62" s="4">
        <v>0</v>
      </c>
      <c r="G62" s="4">
        <v>0</v>
      </c>
      <c r="H62" s="4">
        <v>3</v>
      </c>
      <c r="I62" s="4">
        <v>0</v>
      </c>
      <c r="J62" s="4">
        <v>0</v>
      </c>
      <c r="K62" s="4">
        <v>1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1</v>
      </c>
      <c r="R62" s="4">
        <v>6</v>
      </c>
      <c r="S62" s="4">
        <v>1</v>
      </c>
      <c r="T62" s="4">
        <v>0</v>
      </c>
      <c r="U62" s="4">
        <v>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1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418</v>
      </c>
      <c r="AP62" s="4">
        <v>0</v>
      </c>
      <c r="AQ62" s="4">
        <v>0</v>
      </c>
      <c r="AR62" s="4">
        <v>418</v>
      </c>
      <c r="AS62" s="4">
        <v>0</v>
      </c>
      <c r="AT62" s="9">
        <v>61</v>
      </c>
      <c r="AU62" s="9" t="s">
        <v>163</v>
      </c>
      <c r="AV62" s="9" t="s">
        <v>164</v>
      </c>
      <c r="AW62" t="s">
        <v>545</v>
      </c>
      <c r="AX62" s="9" t="str">
        <f t="shared" si="52"/>
        <v>873</v>
      </c>
      <c r="AY62" s="9" t="str">
        <f t="shared" si="55"/>
        <v>479</v>
      </c>
      <c r="AZ62" t="str">
        <f t="shared" si="56"/>
        <v>382</v>
      </c>
    </row>
    <row r="63" spans="1:52" x14ac:dyDescent="0.25">
      <c r="A63" s="4">
        <v>62</v>
      </c>
      <c r="B63" s="4">
        <v>62</v>
      </c>
      <c r="C63" s="4">
        <v>89</v>
      </c>
      <c r="D63" s="4">
        <v>6</v>
      </c>
      <c r="E63" s="4">
        <v>230</v>
      </c>
      <c r="F63" s="4">
        <v>0</v>
      </c>
      <c r="G63" s="4">
        <v>1</v>
      </c>
      <c r="H63" s="4">
        <v>25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1</v>
      </c>
      <c r="R63" s="4">
        <v>1</v>
      </c>
      <c r="S63" s="4">
        <v>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354</v>
      </c>
      <c r="AP63" s="4">
        <v>0</v>
      </c>
      <c r="AQ63" s="4">
        <v>0</v>
      </c>
      <c r="AR63" s="4">
        <v>354</v>
      </c>
      <c r="AS63" s="4">
        <v>0</v>
      </c>
      <c r="AT63" s="9">
        <v>62</v>
      </c>
      <c r="AU63" s="9" t="s">
        <v>165</v>
      </c>
      <c r="AV63" s="9" t="s">
        <v>166</v>
      </c>
      <c r="AW63" t="s">
        <v>546</v>
      </c>
      <c r="AX63" s="9" t="str">
        <f t="shared" si="52"/>
        <v>563</v>
      </c>
      <c r="AY63" s="9" t="str">
        <f t="shared" si="55"/>
        <v>298</v>
      </c>
      <c r="AZ63" t="str">
        <f t="shared" si="56"/>
        <v>262</v>
      </c>
    </row>
    <row r="64" spans="1:52" x14ac:dyDescent="0.25">
      <c r="A64" s="4">
        <v>63</v>
      </c>
      <c r="B64" s="4">
        <v>63</v>
      </c>
      <c r="C64" s="4">
        <v>165</v>
      </c>
      <c r="D64" s="4">
        <v>97</v>
      </c>
      <c r="E64" s="4">
        <v>124</v>
      </c>
      <c r="F64" s="4">
        <v>0</v>
      </c>
      <c r="G64" s="4">
        <v>8</v>
      </c>
      <c r="H64" s="4">
        <v>10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3</v>
      </c>
      <c r="O64" s="4">
        <v>0</v>
      </c>
      <c r="P64" s="4">
        <v>0</v>
      </c>
      <c r="Q64" s="4">
        <v>1</v>
      </c>
      <c r="R64" s="4">
        <v>3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1</v>
      </c>
      <c r="Y64" s="4">
        <v>0</v>
      </c>
      <c r="Z64" s="4">
        <v>0</v>
      </c>
      <c r="AA64" s="4">
        <v>0</v>
      </c>
      <c r="AB64" s="4">
        <v>0</v>
      </c>
      <c r="AC64" s="4">
        <v>2</v>
      </c>
      <c r="AD64" s="4">
        <v>0</v>
      </c>
      <c r="AE64" s="4">
        <v>0</v>
      </c>
      <c r="AF64" s="4">
        <v>0</v>
      </c>
      <c r="AG64" s="4">
        <v>1</v>
      </c>
      <c r="AH64" s="4">
        <v>1</v>
      </c>
      <c r="AI64" s="4">
        <v>0</v>
      </c>
      <c r="AJ64" s="4">
        <v>0</v>
      </c>
      <c r="AK64" s="4">
        <v>0</v>
      </c>
      <c r="AL64" s="4">
        <v>0</v>
      </c>
      <c r="AM64" s="4">
        <v>1</v>
      </c>
      <c r="AN64" s="4">
        <v>0</v>
      </c>
      <c r="AO64" s="4">
        <v>417</v>
      </c>
      <c r="AP64" s="4">
        <v>0</v>
      </c>
      <c r="AQ64" s="4">
        <v>0</v>
      </c>
      <c r="AR64" s="4">
        <v>417</v>
      </c>
      <c r="AS64" s="4">
        <v>0</v>
      </c>
      <c r="AT64" s="9">
        <v>63</v>
      </c>
      <c r="AU64" s="9" t="s">
        <v>167</v>
      </c>
      <c r="AV64" s="9" t="s">
        <v>168</v>
      </c>
      <c r="AW64" t="s">
        <v>547</v>
      </c>
      <c r="AX64" s="9" t="str">
        <f t="shared" si="52"/>
        <v>728</v>
      </c>
      <c r="AY64" s="9" t="str">
        <f t="shared" si="55"/>
        <v>385</v>
      </c>
      <c r="AZ64" t="str">
        <f t="shared" si="56"/>
        <v>340</v>
      </c>
    </row>
    <row r="65" spans="1:52" x14ac:dyDescent="0.25">
      <c r="A65" s="4">
        <v>64</v>
      </c>
      <c r="B65" s="4">
        <v>64</v>
      </c>
      <c r="C65" s="4">
        <v>51</v>
      </c>
      <c r="D65" s="4">
        <v>268</v>
      </c>
      <c r="E65" s="4">
        <v>108</v>
      </c>
      <c r="F65" s="4">
        <v>0</v>
      </c>
      <c r="G65" s="4">
        <v>0</v>
      </c>
      <c r="H65" s="4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0</v>
      </c>
      <c r="R65" s="4">
        <v>2</v>
      </c>
      <c r="S65" s="4">
        <v>0</v>
      </c>
      <c r="T65" s="4">
        <v>1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0</v>
      </c>
      <c r="AG65" s="4">
        <v>1</v>
      </c>
      <c r="AH65" s="4">
        <v>0</v>
      </c>
      <c r="AI65" s="4">
        <v>0</v>
      </c>
      <c r="AJ65" s="4">
        <v>1</v>
      </c>
      <c r="AK65" s="4">
        <v>1</v>
      </c>
      <c r="AL65" s="4">
        <v>0</v>
      </c>
      <c r="AM65" s="4">
        <v>0</v>
      </c>
      <c r="AN65" s="4">
        <v>0</v>
      </c>
      <c r="AO65" s="4">
        <v>438</v>
      </c>
      <c r="AP65" s="4">
        <v>0</v>
      </c>
      <c r="AQ65" s="4">
        <v>1</v>
      </c>
      <c r="AR65" s="4">
        <v>439</v>
      </c>
      <c r="AS65" s="4">
        <v>0</v>
      </c>
      <c r="AT65" s="9">
        <v>64</v>
      </c>
      <c r="AU65" s="9" t="s">
        <v>169</v>
      </c>
      <c r="AV65" s="9" t="s">
        <v>101</v>
      </c>
      <c r="AW65" t="s">
        <v>548</v>
      </c>
      <c r="AX65" s="9" t="str">
        <f t="shared" si="52"/>
        <v>697</v>
      </c>
      <c r="AY65" s="9" t="str">
        <f t="shared" si="55"/>
        <v>356</v>
      </c>
      <c r="AZ65" t="str">
        <f t="shared" si="56"/>
        <v>338</v>
      </c>
    </row>
    <row r="66" spans="1:52" x14ac:dyDescent="0.25">
      <c r="A66" s="4">
        <v>65</v>
      </c>
      <c r="B66" s="4">
        <v>65</v>
      </c>
      <c r="C66" s="4">
        <v>157</v>
      </c>
      <c r="D66" s="4">
        <v>3</v>
      </c>
      <c r="E66" s="4">
        <v>191</v>
      </c>
      <c r="F66" s="4">
        <v>2</v>
      </c>
      <c r="G66" s="4">
        <v>0</v>
      </c>
      <c r="H66" s="4">
        <v>59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</v>
      </c>
      <c r="O66" s="4">
        <v>0</v>
      </c>
      <c r="P66" s="4">
        <v>1</v>
      </c>
      <c r="Q66" s="4">
        <v>0</v>
      </c>
      <c r="R66" s="4">
        <v>1</v>
      </c>
      <c r="S66" s="4">
        <v>3</v>
      </c>
      <c r="T66" s="4">
        <v>0</v>
      </c>
      <c r="U66" s="4">
        <v>1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421</v>
      </c>
      <c r="AP66" s="4">
        <v>0</v>
      </c>
      <c r="AQ66" s="4">
        <v>0</v>
      </c>
      <c r="AR66" s="4">
        <v>421</v>
      </c>
      <c r="AS66" s="4">
        <v>0</v>
      </c>
      <c r="AT66" s="9">
        <v>65</v>
      </c>
      <c r="AU66" s="9" t="s">
        <v>170</v>
      </c>
      <c r="AV66" s="9" t="s">
        <v>101</v>
      </c>
      <c r="AW66" t="s">
        <v>549</v>
      </c>
      <c r="AX66" s="9" t="str">
        <f t="shared" si="52"/>
        <v>708</v>
      </c>
      <c r="AY66" s="9" t="str">
        <f t="shared" si="55"/>
        <v>386</v>
      </c>
      <c r="AZ66" t="str">
        <f t="shared" si="56"/>
        <v>322</v>
      </c>
    </row>
    <row r="67" spans="1:52" x14ac:dyDescent="0.25">
      <c r="A67" s="4">
        <v>66</v>
      </c>
      <c r="B67" s="4">
        <v>66</v>
      </c>
      <c r="C67" s="4">
        <v>67</v>
      </c>
      <c r="D67" s="4">
        <v>0</v>
      </c>
      <c r="E67" s="4">
        <v>213</v>
      </c>
      <c r="F67" s="4">
        <v>0</v>
      </c>
      <c r="G67" s="4">
        <v>0</v>
      </c>
      <c r="H67" s="4">
        <v>69</v>
      </c>
      <c r="I67" s="4">
        <v>0</v>
      </c>
      <c r="J67" s="4">
        <v>0</v>
      </c>
      <c r="K67" s="4">
        <v>0</v>
      </c>
      <c r="L67" s="4">
        <v>0</v>
      </c>
      <c r="M67" s="4">
        <v>1</v>
      </c>
      <c r="N67" s="4">
        <v>0</v>
      </c>
      <c r="O67" s="4">
        <v>0</v>
      </c>
      <c r="P67" s="4">
        <v>0</v>
      </c>
      <c r="Q67" s="4">
        <v>0</v>
      </c>
      <c r="R67" s="4">
        <v>1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352</v>
      </c>
      <c r="AP67" s="4">
        <v>0</v>
      </c>
      <c r="AQ67" s="4">
        <v>0</v>
      </c>
      <c r="AR67" s="4">
        <v>352</v>
      </c>
      <c r="AS67" s="4">
        <v>0</v>
      </c>
      <c r="AT67" s="9">
        <v>66</v>
      </c>
      <c r="AU67" s="9" t="s">
        <v>171</v>
      </c>
      <c r="AV67" s="9" t="s">
        <v>101</v>
      </c>
      <c r="AW67" t="s">
        <v>550</v>
      </c>
      <c r="AX67" s="9" t="str">
        <f t="shared" si="52"/>
        <v>531</v>
      </c>
      <c r="AY67" s="9" t="str">
        <f t="shared" si="55"/>
        <v>282</v>
      </c>
      <c r="AZ67" t="str">
        <f t="shared" si="56"/>
        <v>239</v>
      </c>
    </row>
    <row r="68" spans="1:52" x14ac:dyDescent="0.25">
      <c r="A68" s="4">
        <v>67</v>
      </c>
      <c r="B68" s="4">
        <v>67</v>
      </c>
      <c r="C68" s="4">
        <v>118</v>
      </c>
      <c r="D68" s="4">
        <v>21</v>
      </c>
      <c r="E68" s="4">
        <v>448</v>
      </c>
      <c r="F68" s="4">
        <v>3</v>
      </c>
      <c r="G68" s="4">
        <v>0</v>
      </c>
      <c r="H68" s="4">
        <v>191</v>
      </c>
      <c r="I68" s="4">
        <v>2</v>
      </c>
      <c r="J68" s="4">
        <v>0</v>
      </c>
      <c r="K68" s="4">
        <v>0</v>
      </c>
      <c r="L68" s="4">
        <v>0</v>
      </c>
      <c r="M68" s="4">
        <v>1</v>
      </c>
      <c r="N68" s="4">
        <v>1</v>
      </c>
      <c r="O68" s="4">
        <v>1</v>
      </c>
      <c r="P68" s="4">
        <v>0</v>
      </c>
      <c r="Q68" s="4">
        <v>0</v>
      </c>
      <c r="R68" s="4">
        <v>2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2</v>
      </c>
      <c r="Y68" s="4">
        <v>0</v>
      </c>
      <c r="Z68" s="4">
        <v>0</v>
      </c>
      <c r="AA68" s="4">
        <v>0</v>
      </c>
      <c r="AB68" s="4">
        <v>1</v>
      </c>
      <c r="AC68" s="4">
        <v>1</v>
      </c>
      <c r="AD68" s="4">
        <v>0</v>
      </c>
      <c r="AE68" s="4">
        <v>0</v>
      </c>
      <c r="AF68" s="4">
        <v>1</v>
      </c>
      <c r="AG68" s="4">
        <v>0</v>
      </c>
      <c r="AH68" s="4">
        <v>1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795</v>
      </c>
      <c r="AP68" s="4">
        <v>0</v>
      </c>
      <c r="AQ68" s="4">
        <v>0</v>
      </c>
      <c r="AR68" s="4">
        <v>795</v>
      </c>
      <c r="AS68" s="4">
        <v>0</v>
      </c>
      <c r="AT68" s="9">
        <v>67</v>
      </c>
      <c r="AU68" s="9" t="s">
        <v>172</v>
      </c>
      <c r="AV68" s="9" t="s">
        <v>101</v>
      </c>
      <c r="AW68" t="s">
        <v>551</v>
      </c>
      <c r="AX68" s="9" t="str">
        <f t="shared" si="52"/>
        <v>1168</v>
      </c>
      <c r="AY68" s="9" t="str">
        <f t="shared" si="55"/>
        <v>622</v>
      </c>
      <c r="AZ68" t="str">
        <f t="shared" si="56"/>
        <v>546</v>
      </c>
    </row>
    <row r="69" spans="1:52" ht="25.5" x14ac:dyDescent="0.25">
      <c r="A69" s="4">
        <v>68</v>
      </c>
      <c r="B69" s="4">
        <v>68</v>
      </c>
      <c r="C69" s="4">
        <v>268</v>
      </c>
      <c r="D69" s="4">
        <v>5</v>
      </c>
      <c r="E69" s="4">
        <v>282</v>
      </c>
      <c r="F69" s="4">
        <v>2</v>
      </c>
      <c r="G69" s="4">
        <v>0</v>
      </c>
      <c r="H69" s="4">
        <v>54</v>
      </c>
      <c r="I69" s="4">
        <v>0</v>
      </c>
      <c r="J69" s="4">
        <v>1</v>
      </c>
      <c r="K69" s="4">
        <v>0</v>
      </c>
      <c r="L69" s="4">
        <v>0</v>
      </c>
      <c r="M69" s="4">
        <v>3</v>
      </c>
      <c r="N69" s="4">
        <v>1</v>
      </c>
      <c r="O69" s="4">
        <v>0</v>
      </c>
      <c r="P69" s="4">
        <v>2</v>
      </c>
      <c r="Q69" s="4">
        <v>1</v>
      </c>
      <c r="R69" s="4">
        <v>2</v>
      </c>
      <c r="S69" s="4">
        <v>4</v>
      </c>
      <c r="T69" s="4">
        <v>0</v>
      </c>
      <c r="U69" s="4">
        <v>1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0</v>
      </c>
      <c r="AD69" s="4">
        <v>1</v>
      </c>
      <c r="AE69" s="4">
        <v>0</v>
      </c>
      <c r="AF69" s="4">
        <v>1</v>
      </c>
      <c r="AG69" s="4">
        <v>1</v>
      </c>
      <c r="AH69" s="4">
        <v>2</v>
      </c>
      <c r="AI69" s="4">
        <v>2</v>
      </c>
      <c r="AJ69" s="4">
        <v>1</v>
      </c>
      <c r="AK69" s="4">
        <v>0</v>
      </c>
      <c r="AL69" s="4">
        <v>0</v>
      </c>
      <c r="AM69" s="4">
        <v>0</v>
      </c>
      <c r="AN69" s="4">
        <v>0</v>
      </c>
      <c r="AO69" s="4">
        <v>638</v>
      </c>
      <c r="AP69" s="4">
        <v>0</v>
      </c>
      <c r="AQ69" s="4">
        <v>2</v>
      </c>
      <c r="AR69" s="4">
        <v>640</v>
      </c>
      <c r="AS69" s="4">
        <v>0</v>
      </c>
      <c r="AT69" s="9">
        <v>68</v>
      </c>
      <c r="AU69" s="9" t="s">
        <v>173</v>
      </c>
      <c r="AV69" s="9" t="s">
        <v>174</v>
      </c>
      <c r="AW69" t="s">
        <v>552</v>
      </c>
      <c r="AX69" s="9" t="str">
        <f t="shared" si="52"/>
        <v>1113</v>
      </c>
      <c r="AY69" s="9" t="str">
        <f t="shared" si="55"/>
        <v>584</v>
      </c>
      <c r="AZ69" t="str">
        <f t="shared" si="56"/>
        <v>518</v>
      </c>
    </row>
    <row r="70" spans="1:52" x14ac:dyDescent="0.25">
      <c r="A70" s="4">
        <v>69</v>
      </c>
      <c r="B70" s="4">
        <v>69</v>
      </c>
      <c r="C70" s="4">
        <v>12</v>
      </c>
      <c r="D70" s="4">
        <v>0</v>
      </c>
      <c r="E70" s="4">
        <v>11</v>
      </c>
      <c r="F70" s="4">
        <v>0</v>
      </c>
      <c r="G70" s="4">
        <v>0</v>
      </c>
      <c r="H70" s="4">
        <v>670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693</v>
      </c>
      <c r="AP70" s="4">
        <v>0</v>
      </c>
      <c r="AQ70" s="4">
        <v>0</v>
      </c>
      <c r="AR70" s="4">
        <v>693</v>
      </c>
      <c r="AS70" s="4">
        <v>0</v>
      </c>
      <c r="AT70" s="9">
        <v>69</v>
      </c>
      <c r="AU70" s="9" t="s">
        <v>175</v>
      </c>
      <c r="AV70" s="9" t="s">
        <v>101</v>
      </c>
      <c r="AW70" t="s">
        <v>553</v>
      </c>
      <c r="AX70" s="9" t="str">
        <f t="shared" si="52"/>
        <v>795</v>
      </c>
      <c r="AY70" s="9" t="str">
        <f t="shared" si="55"/>
        <v>390</v>
      </c>
      <c r="AZ70" t="str">
        <f t="shared" si="56"/>
        <v>379</v>
      </c>
    </row>
    <row r="71" spans="1:52" x14ac:dyDescent="0.25">
      <c r="A71" s="4">
        <v>70</v>
      </c>
      <c r="B71" s="4">
        <v>70</v>
      </c>
      <c r="C71" s="4">
        <v>4</v>
      </c>
      <c r="D71" s="4">
        <v>0</v>
      </c>
      <c r="E71" s="4">
        <v>6</v>
      </c>
      <c r="F71" s="4">
        <v>0</v>
      </c>
      <c r="G71" s="4">
        <v>0</v>
      </c>
      <c r="H71" s="4">
        <v>513</v>
      </c>
      <c r="I71" s="4">
        <v>2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525</v>
      </c>
      <c r="AP71" s="4">
        <v>0</v>
      </c>
      <c r="AQ71" s="4">
        <v>0</v>
      </c>
      <c r="AR71" s="4">
        <v>525</v>
      </c>
      <c r="AS71" s="4">
        <v>0</v>
      </c>
      <c r="AT71" s="9">
        <v>70</v>
      </c>
      <c r="AU71" s="9" t="s">
        <v>176</v>
      </c>
      <c r="AV71" s="9" t="s">
        <v>101</v>
      </c>
      <c r="AW71" t="s">
        <v>554</v>
      </c>
      <c r="AX71" s="9" t="str">
        <f t="shared" si="52"/>
        <v>605</v>
      </c>
      <c r="AY71" s="9" t="str">
        <f t="shared" si="55"/>
        <v>317</v>
      </c>
      <c r="AZ71" t="str">
        <f t="shared" si="56"/>
        <v>284</v>
      </c>
    </row>
    <row r="72" spans="1:52" ht="38.25" x14ac:dyDescent="0.25">
      <c r="A72" s="4">
        <v>71</v>
      </c>
      <c r="B72" s="4">
        <v>71</v>
      </c>
      <c r="C72" s="4">
        <v>91</v>
      </c>
      <c r="D72" s="4">
        <v>10</v>
      </c>
      <c r="E72" s="4">
        <v>80</v>
      </c>
      <c r="F72" s="4">
        <v>0</v>
      </c>
      <c r="G72" s="4">
        <v>1</v>
      </c>
      <c r="H72" s="4">
        <v>379</v>
      </c>
      <c r="I72" s="4">
        <v>1</v>
      </c>
      <c r="J72" s="4">
        <v>1</v>
      </c>
      <c r="K72" s="4">
        <v>1</v>
      </c>
      <c r="L72" s="4">
        <v>2</v>
      </c>
      <c r="M72" s="4">
        <v>0</v>
      </c>
      <c r="N72" s="4">
        <v>1</v>
      </c>
      <c r="O72" s="4">
        <v>0</v>
      </c>
      <c r="P72" s="4">
        <v>1</v>
      </c>
      <c r="Q72" s="4">
        <v>0</v>
      </c>
      <c r="R72" s="4">
        <v>1</v>
      </c>
      <c r="S72" s="4">
        <v>1</v>
      </c>
      <c r="T72" s="4">
        <v>0</v>
      </c>
      <c r="U72" s="4">
        <v>0</v>
      </c>
      <c r="V72" s="4">
        <v>0</v>
      </c>
      <c r="W72" s="4">
        <v>4</v>
      </c>
      <c r="X72" s="4">
        <v>1</v>
      </c>
      <c r="Y72" s="4">
        <v>0</v>
      </c>
      <c r="Z72" s="4">
        <v>0</v>
      </c>
      <c r="AA72" s="4">
        <v>0</v>
      </c>
      <c r="AB72" s="4">
        <v>0</v>
      </c>
      <c r="AC72" s="4">
        <v>1</v>
      </c>
      <c r="AD72" s="4">
        <v>1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577</v>
      </c>
      <c r="AP72" s="4">
        <v>0</v>
      </c>
      <c r="AQ72" s="4">
        <v>0</v>
      </c>
      <c r="AR72" s="4">
        <v>577</v>
      </c>
      <c r="AS72" s="4">
        <v>0</v>
      </c>
      <c r="AT72" s="9">
        <v>71</v>
      </c>
      <c r="AU72" s="9" t="s">
        <v>177</v>
      </c>
      <c r="AV72" s="9" t="s">
        <v>178</v>
      </c>
      <c r="AW72" t="s">
        <v>555</v>
      </c>
      <c r="AX72" s="9" t="str">
        <f t="shared" si="52"/>
        <v>1230</v>
      </c>
      <c r="AY72" s="9" t="str">
        <f t="shared" si="55"/>
        <v>632</v>
      </c>
      <c r="AZ72" t="str">
        <f t="shared" si="56"/>
        <v>597</v>
      </c>
    </row>
    <row r="73" spans="1:52" ht="25.5" x14ac:dyDescent="0.25">
      <c r="A73" s="4">
        <v>72</v>
      </c>
      <c r="B73" s="4">
        <v>72</v>
      </c>
      <c r="C73" s="4">
        <v>170</v>
      </c>
      <c r="D73" s="4">
        <v>17</v>
      </c>
      <c r="E73" s="4">
        <v>623</v>
      </c>
      <c r="F73" s="4">
        <v>6</v>
      </c>
      <c r="G73" s="4">
        <v>0</v>
      </c>
      <c r="H73" s="4">
        <v>32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3</v>
      </c>
      <c r="T73" s="4">
        <v>0</v>
      </c>
      <c r="U73" s="4">
        <v>4</v>
      </c>
      <c r="V73" s="4">
        <v>1</v>
      </c>
      <c r="W73" s="4">
        <v>0</v>
      </c>
      <c r="X73" s="4">
        <v>0</v>
      </c>
      <c r="Y73" s="4">
        <v>1</v>
      </c>
      <c r="Z73" s="4">
        <v>0</v>
      </c>
      <c r="AA73" s="4">
        <v>1</v>
      </c>
      <c r="AB73" s="4">
        <v>0</v>
      </c>
      <c r="AC73" s="4">
        <v>1</v>
      </c>
      <c r="AD73" s="4">
        <v>0</v>
      </c>
      <c r="AE73" s="4">
        <v>0</v>
      </c>
      <c r="AF73" s="4">
        <v>1</v>
      </c>
      <c r="AG73" s="4">
        <v>0</v>
      </c>
      <c r="AH73" s="4">
        <v>1</v>
      </c>
      <c r="AI73" s="4">
        <v>3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869</v>
      </c>
      <c r="AP73" s="4">
        <v>0</v>
      </c>
      <c r="AQ73" s="4">
        <v>1</v>
      </c>
      <c r="AR73" s="4">
        <v>870</v>
      </c>
      <c r="AS73" s="4">
        <v>0</v>
      </c>
      <c r="AT73" s="9">
        <v>72</v>
      </c>
      <c r="AU73" s="9" t="s">
        <v>179</v>
      </c>
      <c r="AV73" s="9" t="s">
        <v>180</v>
      </c>
      <c r="AX73" s="9" t="e">
        <f t="shared" si="52"/>
        <v>#VALUE!</v>
      </c>
      <c r="AY73" s="9" t="e">
        <f t="shared" si="55"/>
        <v>#VALUE!</v>
      </c>
      <c r="AZ73" t="e">
        <f t="shared" si="56"/>
        <v>#VALUE!</v>
      </c>
    </row>
    <row r="74" spans="1:52" x14ac:dyDescent="0.25">
      <c r="A74" s="4">
        <v>73</v>
      </c>
      <c r="B74" s="4">
        <v>73</v>
      </c>
      <c r="C74" s="4">
        <v>52</v>
      </c>
      <c r="D74" s="4">
        <v>6</v>
      </c>
      <c r="E74" s="4">
        <v>247</v>
      </c>
      <c r="F74" s="4">
        <v>2</v>
      </c>
      <c r="G74" s="4">
        <v>0</v>
      </c>
      <c r="H74" s="4">
        <v>8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1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317</v>
      </c>
      <c r="AP74" s="4">
        <v>0</v>
      </c>
      <c r="AQ74" s="4">
        <v>0</v>
      </c>
      <c r="AR74" s="4">
        <v>317</v>
      </c>
      <c r="AS74" s="4">
        <v>0</v>
      </c>
      <c r="AT74" s="9">
        <v>73</v>
      </c>
      <c r="AU74" s="9" t="s">
        <v>181</v>
      </c>
      <c r="AV74" s="9" t="s">
        <v>182</v>
      </c>
      <c r="AX74" s="9" t="e">
        <f t="shared" si="52"/>
        <v>#VALUE!</v>
      </c>
      <c r="AY74" s="9" t="e">
        <f t="shared" si="55"/>
        <v>#VALUE!</v>
      </c>
      <c r="AZ74" t="e">
        <f t="shared" si="56"/>
        <v>#VALUE!</v>
      </c>
    </row>
    <row r="75" spans="1:52" x14ac:dyDescent="0.25">
      <c r="A75" s="4">
        <v>74</v>
      </c>
      <c r="B75" s="4">
        <v>74</v>
      </c>
      <c r="C75" s="4">
        <v>44</v>
      </c>
      <c r="D75" s="4">
        <v>337</v>
      </c>
      <c r="E75" s="4">
        <v>271</v>
      </c>
      <c r="F75" s="4">
        <v>3</v>
      </c>
      <c r="G75" s="4">
        <v>2</v>
      </c>
      <c r="H75" s="4">
        <v>13</v>
      </c>
      <c r="I75" s="4">
        <v>0</v>
      </c>
      <c r="J75" s="4">
        <v>0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  <c r="Q75" s="4">
        <v>0</v>
      </c>
      <c r="R75" s="4">
        <v>2</v>
      </c>
      <c r="S75" s="4">
        <v>0</v>
      </c>
      <c r="T75" s="4">
        <v>0</v>
      </c>
      <c r="U75" s="4">
        <v>0</v>
      </c>
      <c r="V75" s="4">
        <v>1</v>
      </c>
      <c r="W75" s="4">
        <v>0</v>
      </c>
      <c r="X75" s="4">
        <v>0</v>
      </c>
      <c r="Y75" s="4">
        <v>1</v>
      </c>
      <c r="Z75" s="4">
        <v>0</v>
      </c>
      <c r="AA75" s="4">
        <v>0</v>
      </c>
      <c r="AB75" s="4">
        <v>1</v>
      </c>
      <c r="AC75" s="4">
        <v>1</v>
      </c>
      <c r="AD75" s="4">
        <v>1</v>
      </c>
      <c r="AE75" s="4">
        <v>1</v>
      </c>
      <c r="AF75" s="4">
        <v>2</v>
      </c>
      <c r="AG75" s="4">
        <v>0</v>
      </c>
      <c r="AH75" s="4">
        <v>1</v>
      </c>
      <c r="AI75" s="4">
        <v>0</v>
      </c>
      <c r="AJ75" s="4">
        <v>0</v>
      </c>
      <c r="AK75" s="4">
        <v>1</v>
      </c>
      <c r="AL75" s="4">
        <v>0</v>
      </c>
      <c r="AM75" s="4">
        <v>0</v>
      </c>
      <c r="AN75" s="4">
        <v>1</v>
      </c>
      <c r="AO75" s="4">
        <v>685</v>
      </c>
      <c r="AP75" s="4">
        <v>0</v>
      </c>
      <c r="AQ75" s="4">
        <v>1</v>
      </c>
      <c r="AR75" s="4">
        <v>686</v>
      </c>
      <c r="AS75" s="4">
        <v>0</v>
      </c>
      <c r="AT75" s="9">
        <v>74</v>
      </c>
      <c r="AU75" s="9" t="s">
        <v>183</v>
      </c>
      <c r="AV75" s="9" t="s">
        <v>184</v>
      </c>
      <c r="AW75" t="s">
        <v>556</v>
      </c>
      <c r="AX75" s="9" t="str">
        <f t="shared" si="52"/>
        <v>1101</v>
      </c>
      <c r="AY75" s="9" t="str">
        <f t="shared" si="55"/>
        <v>587</v>
      </c>
      <c r="AZ75" t="str">
        <f t="shared" si="56"/>
        <v>507</v>
      </c>
    </row>
    <row r="76" spans="1:52" x14ac:dyDescent="0.25">
      <c r="A76" s="4">
        <v>75</v>
      </c>
      <c r="B76" s="4">
        <v>75</v>
      </c>
      <c r="C76" s="4">
        <v>37</v>
      </c>
      <c r="D76" s="4">
        <v>144</v>
      </c>
      <c r="E76" s="4">
        <v>71</v>
      </c>
      <c r="F76" s="4">
        <v>2</v>
      </c>
      <c r="G76" s="4">
        <v>1</v>
      </c>
      <c r="H76" s="4">
        <v>2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1</v>
      </c>
      <c r="O76" s="4">
        <v>0</v>
      </c>
      <c r="P76" s="4">
        <v>1</v>
      </c>
      <c r="Q76" s="4">
        <v>1</v>
      </c>
      <c r="R76" s="4">
        <v>1</v>
      </c>
      <c r="S76" s="4">
        <v>0</v>
      </c>
      <c r="T76" s="4">
        <v>0</v>
      </c>
      <c r="U76" s="4">
        <v>0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262</v>
      </c>
      <c r="AP76" s="4">
        <v>0</v>
      </c>
      <c r="AQ76" s="4">
        <v>0</v>
      </c>
      <c r="AR76" s="4">
        <v>262</v>
      </c>
      <c r="AS76" s="4">
        <v>0</v>
      </c>
      <c r="AT76" s="9">
        <v>75</v>
      </c>
      <c r="AU76" s="9" t="s">
        <v>185</v>
      </c>
      <c r="AV76" s="9" t="s">
        <v>101</v>
      </c>
      <c r="AW76" t="s">
        <v>557</v>
      </c>
      <c r="AX76" s="9" t="str">
        <f t="shared" si="52"/>
        <v>472</v>
      </c>
      <c r="AY76" s="9" t="str">
        <f t="shared" si="55"/>
        <v>242</v>
      </c>
      <c r="AZ76" t="str">
        <f t="shared" si="56"/>
        <v>225</v>
      </c>
    </row>
    <row r="77" spans="1:52" x14ac:dyDescent="0.25">
      <c r="A77" s="4">
        <v>76</v>
      </c>
      <c r="B77" s="4">
        <v>76</v>
      </c>
      <c r="C77" s="4">
        <v>69</v>
      </c>
      <c r="D77" s="4">
        <v>346</v>
      </c>
      <c r="E77" s="4">
        <v>101</v>
      </c>
      <c r="F77" s="4">
        <v>2</v>
      </c>
      <c r="G77" s="4">
        <v>0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522</v>
      </c>
      <c r="AP77" s="4">
        <v>0</v>
      </c>
      <c r="AQ77" s="4">
        <v>0</v>
      </c>
      <c r="AR77" s="4">
        <v>522</v>
      </c>
      <c r="AS77" s="4">
        <v>0</v>
      </c>
      <c r="AT77" s="9">
        <v>76</v>
      </c>
      <c r="AU77" s="9" t="s">
        <v>186</v>
      </c>
      <c r="AV77" s="9" t="s">
        <v>187</v>
      </c>
      <c r="AW77" t="s">
        <v>558</v>
      </c>
      <c r="AX77" s="9" t="str">
        <f t="shared" si="52"/>
        <v>666</v>
      </c>
      <c r="AY77" s="9" t="str">
        <f t="shared" si="55"/>
        <v>344</v>
      </c>
      <c r="AZ77" t="str">
        <f t="shared" si="56"/>
        <v>321</v>
      </c>
    </row>
    <row r="78" spans="1:52" x14ac:dyDescent="0.25">
      <c r="A78" s="4">
        <v>77</v>
      </c>
      <c r="B78" s="4">
        <v>77</v>
      </c>
      <c r="C78" s="4">
        <v>357</v>
      </c>
      <c r="D78" s="4">
        <v>18</v>
      </c>
      <c r="E78" s="4">
        <v>253</v>
      </c>
      <c r="F78" s="4">
        <v>1</v>
      </c>
      <c r="G78" s="4">
        <v>0</v>
      </c>
      <c r="H78" s="4">
        <v>24</v>
      </c>
      <c r="I78" s="4">
        <v>0</v>
      </c>
      <c r="J78" s="4">
        <v>0</v>
      </c>
      <c r="K78" s="4">
        <v>0</v>
      </c>
      <c r="L78" s="4">
        <v>1</v>
      </c>
      <c r="M78" s="4">
        <v>0</v>
      </c>
      <c r="N78" s="4">
        <v>4</v>
      </c>
      <c r="O78" s="4">
        <v>0</v>
      </c>
      <c r="P78" s="4">
        <v>0</v>
      </c>
      <c r="Q78" s="4">
        <v>1</v>
      </c>
      <c r="R78" s="4">
        <v>5</v>
      </c>
      <c r="S78" s="4">
        <v>1</v>
      </c>
      <c r="T78" s="4">
        <v>0</v>
      </c>
      <c r="U78" s="4">
        <v>1</v>
      </c>
      <c r="V78" s="4">
        <v>0</v>
      </c>
      <c r="W78" s="4">
        <v>0</v>
      </c>
      <c r="X78" s="4">
        <v>0</v>
      </c>
      <c r="Y78" s="4">
        <v>1</v>
      </c>
      <c r="Z78" s="4">
        <v>1</v>
      </c>
      <c r="AA78" s="4">
        <v>0</v>
      </c>
      <c r="AB78" s="4">
        <v>0</v>
      </c>
      <c r="AC78" s="4">
        <v>4</v>
      </c>
      <c r="AD78" s="4">
        <v>0</v>
      </c>
      <c r="AE78" s="4">
        <v>1</v>
      </c>
      <c r="AF78" s="4">
        <v>2</v>
      </c>
      <c r="AG78" s="4">
        <v>0</v>
      </c>
      <c r="AH78" s="4">
        <v>0</v>
      </c>
      <c r="AI78" s="4">
        <v>0</v>
      </c>
      <c r="AJ78" s="4">
        <v>1</v>
      </c>
      <c r="AK78" s="4">
        <v>2</v>
      </c>
      <c r="AL78" s="4">
        <v>0</v>
      </c>
      <c r="AM78" s="4">
        <v>1</v>
      </c>
      <c r="AN78" s="4">
        <v>0</v>
      </c>
      <c r="AO78" s="4">
        <v>679</v>
      </c>
      <c r="AP78" s="4">
        <v>0</v>
      </c>
      <c r="AQ78" s="4">
        <v>1</v>
      </c>
      <c r="AR78" s="4">
        <v>680</v>
      </c>
      <c r="AS78" s="4">
        <v>0</v>
      </c>
      <c r="AT78" s="9">
        <v>77</v>
      </c>
      <c r="AU78" s="9" t="s">
        <v>188</v>
      </c>
      <c r="AV78" s="9" t="s">
        <v>189</v>
      </c>
      <c r="AW78" t="s">
        <v>559</v>
      </c>
      <c r="AX78" s="9" t="str">
        <f t="shared" si="52"/>
        <v>1020</v>
      </c>
      <c r="AY78" s="9" t="str">
        <f t="shared" si="55"/>
        <v>555</v>
      </c>
      <c r="AZ78" t="str">
        <f t="shared" si="56"/>
        <v>465</v>
      </c>
    </row>
    <row r="79" spans="1:52" x14ac:dyDescent="0.25">
      <c r="A79" s="4">
        <v>78</v>
      </c>
      <c r="B79" s="4">
        <v>78</v>
      </c>
      <c r="C79" s="4">
        <v>289</v>
      </c>
      <c r="D79" s="4">
        <v>28</v>
      </c>
      <c r="E79" s="4">
        <v>357</v>
      </c>
      <c r="F79" s="4">
        <v>5</v>
      </c>
      <c r="G79" s="4">
        <v>2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</v>
      </c>
      <c r="O79" s="4">
        <v>2</v>
      </c>
      <c r="P79" s="4">
        <v>0</v>
      </c>
      <c r="Q79" s="4">
        <v>0</v>
      </c>
      <c r="R79" s="4">
        <v>3</v>
      </c>
      <c r="S79" s="4">
        <v>0</v>
      </c>
      <c r="T79" s="4">
        <v>0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2</v>
      </c>
      <c r="AE79" s="4">
        <v>0</v>
      </c>
      <c r="AF79" s="4">
        <v>0</v>
      </c>
      <c r="AG79" s="4">
        <v>0</v>
      </c>
      <c r="AH79" s="4">
        <v>0</v>
      </c>
      <c r="AI79" s="4">
        <v>1</v>
      </c>
      <c r="AJ79" s="4">
        <v>0</v>
      </c>
      <c r="AK79" s="4">
        <v>0</v>
      </c>
      <c r="AL79" s="4">
        <v>1</v>
      </c>
      <c r="AM79" s="4">
        <v>0</v>
      </c>
      <c r="AN79" s="4">
        <v>0</v>
      </c>
      <c r="AO79" s="4">
        <v>695</v>
      </c>
      <c r="AP79" s="4">
        <v>0</v>
      </c>
      <c r="AQ79" s="4">
        <v>0</v>
      </c>
      <c r="AR79" s="4">
        <v>695</v>
      </c>
      <c r="AS79" s="4">
        <v>0</v>
      </c>
      <c r="AT79" s="9">
        <v>78</v>
      </c>
      <c r="AU79" s="9" t="s">
        <v>190</v>
      </c>
      <c r="AV79" s="9" t="s">
        <v>101</v>
      </c>
      <c r="AW79" t="s">
        <v>560</v>
      </c>
      <c r="AX79" s="9" t="str">
        <f t="shared" si="52"/>
        <v>1027</v>
      </c>
      <c r="AY79" s="9" t="str">
        <f t="shared" si="55"/>
        <v>547</v>
      </c>
      <c r="AZ79" t="str">
        <f t="shared" si="56"/>
        <v>478</v>
      </c>
    </row>
    <row r="80" spans="1:52" x14ac:dyDescent="0.25">
      <c r="A80" s="4">
        <v>79</v>
      </c>
      <c r="B80" s="4">
        <v>79</v>
      </c>
      <c r="C80" s="4">
        <v>226</v>
      </c>
      <c r="D80" s="4">
        <v>1</v>
      </c>
      <c r="E80" s="4">
        <v>179</v>
      </c>
      <c r="F80" s="4">
        <v>1</v>
      </c>
      <c r="G80" s="4">
        <v>1</v>
      </c>
      <c r="H80" s="4">
        <v>33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4">
        <v>1</v>
      </c>
      <c r="Q80" s="4">
        <v>0</v>
      </c>
      <c r="R80" s="4">
        <v>3</v>
      </c>
      <c r="S80" s="4">
        <v>4</v>
      </c>
      <c r="T80" s="4">
        <v>0</v>
      </c>
      <c r="U80" s="4">
        <v>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2</v>
      </c>
      <c r="AD80" s="4">
        <v>0</v>
      </c>
      <c r="AE80" s="4">
        <v>0</v>
      </c>
      <c r="AF80" s="4">
        <v>0</v>
      </c>
      <c r="AG80" s="4">
        <v>0</v>
      </c>
      <c r="AH80" s="4">
        <v>4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459</v>
      </c>
      <c r="AP80" s="4">
        <v>0</v>
      </c>
      <c r="AQ80" s="4">
        <v>0</v>
      </c>
      <c r="AR80" s="4">
        <v>459</v>
      </c>
      <c r="AS80" s="4">
        <v>0</v>
      </c>
      <c r="AT80" s="9">
        <v>79</v>
      </c>
      <c r="AU80" s="9" t="s">
        <v>191</v>
      </c>
      <c r="AV80" s="9" t="s">
        <v>192</v>
      </c>
      <c r="AW80" t="s">
        <v>561</v>
      </c>
      <c r="AX80" s="9" t="str">
        <f t="shared" si="52"/>
        <v>792</v>
      </c>
      <c r="AY80" s="9" t="str">
        <f t="shared" si="55"/>
        <v>433</v>
      </c>
      <c r="AZ80" t="str">
        <f t="shared" si="56"/>
        <v>350</v>
      </c>
    </row>
    <row r="81" spans="1:52" x14ac:dyDescent="0.25">
      <c r="A81" s="4">
        <v>80</v>
      </c>
      <c r="B81" s="4">
        <v>80</v>
      </c>
      <c r="C81" s="4">
        <v>67</v>
      </c>
      <c r="D81" s="4">
        <v>37</v>
      </c>
      <c r="E81" s="4">
        <v>262</v>
      </c>
      <c r="F81" s="4">
        <v>4</v>
      </c>
      <c r="G81" s="4">
        <v>1</v>
      </c>
      <c r="H81" s="4">
        <v>6</v>
      </c>
      <c r="I81" s="4">
        <v>0</v>
      </c>
      <c r="J81" s="4">
        <v>0</v>
      </c>
      <c r="K81" s="4">
        <v>0</v>
      </c>
      <c r="L81" s="4">
        <v>0</v>
      </c>
      <c r="M81" s="4">
        <v>1</v>
      </c>
      <c r="N81" s="4">
        <v>3</v>
      </c>
      <c r="O81" s="4">
        <v>1</v>
      </c>
      <c r="P81" s="4">
        <v>3</v>
      </c>
      <c r="Q81" s="4">
        <v>1</v>
      </c>
      <c r="R81" s="4">
        <v>3</v>
      </c>
      <c r="S81" s="4">
        <v>0</v>
      </c>
      <c r="T81" s="4">
        <v>1</v>
      </c>
      <c r="U81" s="4">
        <v>2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</v>
      </c>
      <c r="AD81" s="4">
        <v>0</v>
      </c>
      <c r="AE81" s="4">
        <v>1</v>
      </c>
      <c r="AF81" s="4">
        <v>0</v>
      </c>
      <c r="AG81" s="4">
        <v>1</v>
      </c>
      <c r="AH81" s="4">
        <v>1</v>
      </c>
      <c r="AI81" s="4">
        <v>1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398</v>
      </c>
      <c r="AP81" s="4">
        <v>0</v>
      </c>
      <c r="AQ81" s="4">
        <v>0</v>
      </c>
      <c r="AR81" s="4">
        <v>398</v>
      </c>
      <c r="AS81" s="4">
        <v>0</v>
      </c>
      <c r="AT81" s="9">
        <v>80</v>
      </c>
      <c r="AU81" s="9" t="s">
        <v>193</v>
      </c>
      <c r="AV81" s="9" t="s">
        <v>194</v>
      </c>
      <c r="AW81" t="s">
        <v>562</v>
      </c>
      <c r="AX81" s="9" t="str">
        <f t="shared" si="52"/>
        <v>768</v>
      </c>
      <c r="AY81" s="9" t="str">
        <f t="shared" si="55"/>
        <v>417</v>
      </c>
      <c r="AZ81" t="str">
        <f t="shared" si="56"/>
        <v>346</v>
      </c>
    </row>
    <row r="82" spans="1:52" x14ac:dyDescent="0.25">
      <c r="A82" s="4">
        <v>81</v>
      </c>
      <c r="B82" s="4">
        <v>81</v>
      </c>
      <c r="C82" s="4">
        <v>31</v>
      </c>
      <c r="D82" s="4">
        <v>70</v>
      </c>
      <c r="E82" s="4">
        <v>460</v>
      </c>
      <c r="F82" s="4">
        <v>2</v>
      </c>
      <c r="G82" s="4">
        <v>0</v>
      </c>
      <c r="H82" s="4">
        <v>4</v>
      </c>
      <c r="I82" s="4">
        <v>0</v>
      </c>
      <c r="J82" s="4">
        <v>0</v>
      </c>
      <c r="K82" s="4">
        <v>0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3</v>
      </c>
      <c r="U82" s="4">
        <v>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2</v>
      </c>
      <c r="AI82" s="4">
        <v>0</v>
      </c>
      <c r="AJ82" s="4">
        <v>0</v>
      </c>
      <c r="AK82" s="4">
        <v>0</v>
      </c>
      <c r="AL82" s="4">
        <v>1</v>
      </c>
      <c r="AM82" s="4">
        <v>0</v>
      </c>
      <c r="AN82" s="4">
        <v>0</v>
      </c>
      <c r="AO82" s="4">
        <v>579</v>
      </c>
      <c r="AP82" s="4">
        <v>0</v>
      </c>
      <c r="AQ82" s="4">
        <v>0</v>
      </c>
      <c r="AR82" s="4">
        <v>579</v>
      </c>
      <c r="AS82" s="4">
        <v>0</v>
      </c>
      <c r="AT82" s="9">
        <v>81</v>
      </c>
      <c r="AU82" s="9" t="s">
        <v>195</v>
      </c>
      <c r="AV82" s="9" t="s">
        <v>196</v>
      </c>
      <c r="AX82" s="9" t="e">
        <f t="shared" si="52"/>
        <v>#VALUE!</v>
      </c>
      <c r="AY82" s="9" t="e">
        <f t="shared" si="55"/>
        <v>#VALUE!</v>
      </c>
      <c r="AZ82" t="e">
        <f t="shared" si="56"/>
        <v>#VALUE!</v>
      </c>
    </row>
    <row r="83" spans="1:52" x14ac:dyDescent="0.25">
      <c r="A83" s="4">
        <v>82</v>
      </c>
      <c r="B83" s="4">
        <v>82</v>
      </c>
      <c r="C83" s="4">
        <v>177</v>
      </c>
      <c r="D83" s="4">
        <v>116</v>
      </c>
      <c r="E83" s="4">
        <v>259</v>
      </c>
      <c r="F83" s="4">
        <v>1</v>
      </c>
      <c r="G83" s="4">
        <v>1</v>
      </c>
      <c r="H83" s="4">
        <v>10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</v>
      </c>
      <c r="O83" s="4">
        <v>0</v>
      </c>
      <c r="P83" s="4">
        <v>1</v>
      </c>
      <c r="Q83" s="4">
        <v>0</v>
      </c>
      <c r="R83" s="4">
        <v>3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6</v>
      </c>
      <c r="AD83" s="4">
        <v>0</v>
      </c>
      <c r="AE83" s="4">
        <v>2</v>
      </c>
      <c r="AF83" s="4">
        <v>0</v>
      </c>
      <c r="AG83" s="4">
        <v>0</v>
      </c>
      <c r="AH83" s="4">
        <v>3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581</v>
      </c>
      <c r="AP83" s="4">
        <v>0</v>
      </c>
      <c r="AQ83" s="4">
        <v>0</v>
      </c>
      <c r="AR83" s="4">
        <v>581</v>
      </c>
      <c r="AS83" s="4">
        <v>0</v>
      </c>
      <c r="AT83" s="9">
        <v>82</v>
      </c>
      <c r="AU83" s="9" t="s">
        <v>197</v>
      </c>
      <c r="AV83" s="9" t="s">
        <v>198</v>
      </c>
      <c r="AW83" t="s">
        <v>563</v>
      </c>
      <c r="AX83" s="9" t="str">
        <f t="shared" si="52"/>
        <v>872</v>
      </c>
      <c r="AY83" s="9" t="str">
        <f t="shared" si="55"/>
        <v>467</v>
      </c>
      <c r="AZ83" t="str">
        <f t="shared" si="56"/>
        <v>405</v>
      </c>
    </row>
    <row r="84" spans="1:52" ht="25.5" x14ac:dyDescent="0.25">
      <c r="A84" s="4">
        <v>83</v>
      </c>
      <c r="B84" s="4">
        <v>83</v>
      </c>
      <c r="C84" s="4">
        <v>181</v>
      </c>
      <c r="D84" s="4">
        <v>125</v>
      </c>
      <c r="E84" s="4">
        <v>177</v>
      </c>
      <c r="F84" s="4">
        <v>1</v>
      </c>
      <c r="G84" s="4">
        <v>3</v>
      </c>
      <c r="H84" s="4">
        <v>18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2</v>
      </c>
      <c r="O84" s="4">
        <v>1</v>
      </c>
      <c r="P84" s="4">
        <v>0</v>
      </c>
      <c r="Q84" s="4">
        <v>0</v>
      </c>
      <c r="R84" s="4">
        <v>0</v>
      </c>
      <c r="S84" s="4">
        <v>3</v>
      </c>
      <c r="T84" s="4">
        <v>1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1</v>
      </c>
      <c r="AA84" s="4">
        <v>1</v>
      </c>
      <c r="AB84" s="4">
        <v>0</v>
      </c>
      <c r="AC84" s="4">
        <v>4</v>
      </c>
      <c r="AD84" s="4">
        <v>1</v>
      </c>
      <c r="AE84" s="4">
        <v>0</v>
      </c>
      <c r="AF84" s="4">
        <v>1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523</v>
      </c>
      <c r="AP84" s="4">
        <v>0</v>
      </c>
      <c r="AQ84" s="4">
        <v>0</v>
      </c>
      <c r="AR84" s="4">
        <v>523</v>
      </c>
      <c r="AS84" s="4">
        <v>0</v>
      </c>
      <c r="AT84" s="9">
        <v>83</v>
      </c>
      <c r="AU84" s="9" t="s">
        <v>199</v>
      </c>
      <c r="AV84" s="9" t="s">
        <v>200</v>
      </c>
      <c r="AW84" t="s">
        <v>564</v>
      </c>
      <c r="AX84" s="9" t="str">
        <f t="shared" si="52"/>
        <v>851</v>
      </c>
      <c r="AY84" s="9" t="str">
        <f t="shared" si="55"/>
        <v>475</v>
      </c>
      <c r="AZ84" t="str">
        <f t="shared" si="56"/>
        <v>371</v>
      </c>
    </row>
    <row r="85" spans="1:52" x14ac:dyDescent="0.25">
      <c r="A85" s="4">
        <v>84</v>
      </c>
      <c r="B85" s="4">
        <v>84</v>
      </c>
      <c r="C85" s="4">
        <v>123</v>
      </c>
      <c r="D85" s="4">
        <v>38</v>
      </c>
      <c r="E85" s="4">
        <v>322</v>
      </c>
      <c r="F85" s="4">
        <v>3</v>
      </c>
      <c r="G85" s="4">
        <v>2</v>
      </c>
      <c r="H85" s="4">
        <v>22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</v>
      </c>
      <c r="O85" s="4">
        <v>0</v>
      </c>
      <c r="P85" s="4">
        <v>2</v>
      </c>
      <c r="Q85" s="4">
        <v>1</v>
      </c>
      <c r="R85" s="4">
        <v>4</v>
      </c>
      <c r="S85" s="4">
        <v>0</v>
      </c>
      <c r="T85" s="4">
        <v>1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</v>
      </c>
      <c r="AC85" s="4">
        <v>0</v>
      </c>
      <c r="AD85" s="4">
        <v>1</v>
      </c>
      <c r="AE85" s="4">
        <v>1</v>
      </c>
      <c r="AF85" s="4">
        <v>2</v>
      </c>
      <c r="AG85" s="4">
        <v>0</v>
      </c>
      <c r="AH85" s="4">
        <v>1</v>
      </c>
      <c r="AI85" s="4">
        <v>1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527</v>
      </c>
      <c r="AP85" s="4">
        <v>0</v>
      </c>
      <c r="AQ85" s="4">
        <v>0</v>
      </c>
      <c r="AR85" s="4">
        <v>527</v>
      </c>
      <c r="AS85" s="4">
        <v>0</v>
      </c>
      <c r="AT85" s="9">
        <v>84</v>
      </c>
      <c r="AU85" s="9" t="s">
        <v>201</v>
      </c>
      <c r="AV85" s="9" t="s">
        <v>202</v>
      </c>
      <c r="AW85" t="s">
        <v>565</v>
      </c>
      <c r="AX85" s="9" t="str">
        <f t="shared" si="52"/>
        <v>825</v>
      </c>
      <c r="AY85" s="9" t="str">
        <f t="shared" si="55"/>
        <v>446</v>
      </c>
      <c r="AZ85" t="str">
        <f t="shared" si="56"/>
        <v>377</v>
      </c>
    </row>
    <row r="86" spans="1:52" x14ac:dyDescent="0.25">
      <c r="A86" s="4">
        <v>85</v>
      </c>
      <c r="B86" s="4">
        <v>85</v>
      </c>
      <c r="C86" s="4">
        <v>213</v>
      </c>
      <c r="D86" s="4">
        <v>90</v>
      </c>
      <c r="E86" s="4">
        <v>53</v>
      </c>
      <c r="F86" s="4">
        <v>2</v>
      </c>
      <c r="G86" s="4">
        <v>0</v>
      </c>
      <c r="H86" s="4">
        <v>17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</v>
      </c>
      <c r="O86" s="4">
        <v>1</v>
      </c>
      <c r="P86" s="4">
        <v>0</v>
      </c>
      <c r="Q86" s="4">
        <v>0</v>
      </c>
      <c r="R86" s="4">
        <v>1</v>
      </c>
      <c r="S86" s="4">
        <v>1</v>
      </c>
      <c r="T86" s="4">
        <v>0</v>
      </c>
      <c r="U86" s="4">
        <v>1</v>
      </c>
      <c r="V86" s="4">
        <v>0</v>
      </c>
      <c r="W86" s="4">
        <v>1</v>
      </c>
      <c r="X86" s="4">
        <v>0</v>
      </c>
      <c r="Y86" s="4">
        <v>0</v>
      </c>
      <c r="Z86" s="4">
        <v>0</v>
      </c>
      <c r="AA86" s="4">
        <v>0</v>
      </c>
      <c r="AB86" s="4">
        <v>1</v>
      </c>
      <c r="AC86" s="4">
        <v>6</v>
      </c>
      <c r="AD86" s="4">
        <v>1</v>
      </c>
      <c r="AE86" s="4">
        <v>0</v>
      </c>
      <c r="AF86" s="4">
        <v>0</v>
      </c>
      <c r="AG86" s="4">
        <v>2</v>
      </c>
      <c r="AH86" s="4">
        <v>3</v>
      </c>
      <c r="AI86" s="4">
        <v>3</v>
      </c>
      <c r="AJ86" s="4">
        <v>0</v>
      </c>
      <c r="AK86" s="4">
        <v>1</v>
      </c>
      <c r="AL86" s="4">
        <v>0</v>
      </c>
      <c r="AM86" s="4">
        <v>0</v>
      </c>
      <c r="AN86" s="4">
        <v>0</v>
      </c>
      <c r="AO86" s="4">
        <v>398</v>
      </c>
      <c r="AP86" s="4">
        <v>0</v>
      </c>
      <c r="AQ86" s="4">
        <v>1</v>
      </c>
      <c r="AR86" s="4">
        <v>399</v>
      </c>
      <c r="AS86" s="4">
        <v>0</v>
      </c>
      <c r="AT86" s="9">
        <v>85</v>
      </c>
      <c r="AU86" s="9" t="s">
        <v>203</v>
      </c>
      <c r="AV86" s="9" t="s">
        <v>204</v>
      </c>
      <c r="AW86" t="s">
        <v>566</v>
      </c>
      <c r="AX86" s="9" t="str">
        <f t="shared" si="52"/>
        <v>614</v>
      </c>
      <c r="AY86" s="9" t="str">
        <f t="shared" si="55"/>
        <v>339</v>
      </c>
      <c r="AZ86" t="str">
        <f t="shared" si="56"/>
        <v>271</v>
      </c>
    </row>
    <row r="87" spans="1:52" x14ac:dyDescent="0.25">
      <c r="A87" s="4">
        <v>86</v>
      </c>
      <c r="B87" s="4">
        <v>86</v>
      </c>
      <c r="C87" s="4">
        <v>67</v>
      </c>
      <c r="D87" s="4">
        <v>615</v>
      </c>
      <c r="E87" s="4">
        <v>119</v>
      </c>
      <c r="F87" s="4">
        <v>2</v>
      </c>
      <c r="G87" s="4">
        <v>6</v>
      </c>
      <c r="H87" s="4">
        <v>11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4">
        <v>0</v>
      </c>
      <c r="Q87" s="4">
        <v>4</v>
      </c>
      <c r="R87" s="4">
        <v>2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1</v>
      </c>
      <c r="AI87" s="4">
        <v>0</v>
      </c>
      <c r="AJ87" s="4">
        <v>1</v>
      </c>
      <c r="AK87" s="4">
        <v>1</v>
      </c>
      <c r="AL87" s="4">
        <v>0</v>
      </c>
      <c r="AM87" s="4">
        <v>0</v>
      </c>
      <c r="AN87" s="4">
        <v>0</v>
      </c>
      <c r="AO87" s="4">
        <v>830</v>
      </c>
      <c r="AP87" s="4">
        <v>0</v>
      </c>
      <c r="AQ87" s="4">
        <v>0</v>
      </c>
      <c r="AR87" s="4">
        <v>830</v>
      </c>
      <c r="AS87" s="4">
        <v>0</v>
      </c>
      <c r="AT87" s="9">
        <v>86</v>
      </c>
      <c r="AU87" s="9" t="s">
        <v>205</v>
      </c>
      <c r="AV87" s="9" t="s">
        <v>206</v>
      </c>
      <c r="AW87" t="s">
        <v>567</v>
      </c>
      <c r="AX87" s="9" t="str">
        <f t="shared" si="52"/>
        <v>1256</v>
      </c>
      <c r="AY87" s="9" t="str">
        <f t="shared" si="55"/>
        <v>680</v>
      </c>
      <c r="AZ87" t="str">
        <f t="shared" si="56"/>
        <v>571</v>
      </c>
    </row>
    <row r="88" spans="1:52" x14ac:dyDescent="0.25">
      <c r="A88" s="4">
        <v>87</v>
      </c>
      <c r="B88" s="4">
        <v>87</v>
      </c>
      <c r="C88" s="4">
        <v>28</v>
      </c>
      <c r="D88" s="4">
        <v>487</v>
      </c>
      <c r="E88" s="4">
        <v>134</v>
      </c>
      <c r="F88" s="4">
        <v>1</v>
      </c>
      <c r="G88" s="4">
        <v>7</v>
      </c>
      <c r="H88" s="4">
        <v>9</v>
      </c>
      <c r="I88" s="4">
        <v>0</v>
      </c>
      <c r="J88" s="4">
        <v>2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1</v>
      </c>
      <c r="Q88" s="4">
        <v>1</v>
      </c>
      <c r="R88" s="4">
        <v>2</v>
      </c>
      <c r="S88" s="4">
        <v>0</v>
      </c>
      <c r="T88" s="4">
        <v>1</v>
      </c>
      <c r="U88" s="4">
        <v>0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1</v>
      </c>
      <c r="AJ88" s="4">
        <v>0</v>
      </c>
      <c r="AK88" s="4">
        <v>0</v>
      </c>
      <c r="AL88" s="4">
        <v>1</v>
      </c>
      <c r="AM88" s="4">
        <v>0</v>
      </c>
      <c r="AN88" s="4">
        <v>0</v>
      </c>
      <c r="AO88" s="4">
        <v>677</v>
      </c>
      <c r="AP88" s="4">
        <v>0</v>
      </c>
      <c r="AQ88" s="4">
        <v>1</v>
      </c>
      <c r="AR88" s="4">
        <v>678</v>
      </c>
      <c r="AS88" s="4">
        <v>0</v>
      </c>
      <c r="AT88" s="9">
        <v>87</v>
      </c>
      <c r="AU88" s="9" t="s">
        <v>207</v>
      </c>
      <c r="AV88" s="9" t="s">
        <v>101</v>
      </c>
      <c r="AW88" t="s">
        <v>568</v>
      </c>
      <c r="AX88" s="9" t="str">
        <f t="shared" si="52"/>
        <v>818</v>
      </c>
      <c r="AY88" s="9" t="str">
        <f t="shared" si="55"/>
        <v>437</v>
      </c>
      <c r="AZ88" t="str">
        <f t="shared" si="56"/>
        <v>381</v>
      </c>
    </row>
    <row r="89" spans="1:52" x14ac:dyDescent="0.25">
      <c r="A89" s="4">
        <v>88</v>
      </c>
      <c r="B89" s="4">
        <v>88</v>
      </c>
      <c r="C89" s="4">
        <v>217</v>
      </c>
      <c r="D89" s="4">
        <v>12</v>
      </c>
      <c r="E89" s="4">
        <v>320</v>
      </c>
      <c r="F89" s="4">
        <v>1</v>
      </c>
      <c r="G89" s="4">
        <v>0</v>
      </c>
      <c r="H89" s="4">
        <v>22</v>
      </c>
      <c r="I89" s="4">
        <v>0</v>
      </c>
      <c r="J89" s="4">
        <v>1</v>
      </c>
      <c r="K89" s="4">
        <v>0</v>
      </c>
      <c r="L89" s="4">
        <v>0</v>
      </c>
      <c r="M89" s="4">
        <v>1</v>
      </c>
      <c r="N89" s="4">
        <v>1</v>
      </c>
      <c r="O89" s="4">
        <v>0</v>
      </c>
      <c r="P89" s="4">
        <v>1</v>
      </c>
      <c r="Q89" s="4">
        <v>0</v>
      </c>
      <c r="R89" s="4">
        <v>1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2</v>
      </c>
      <c r="AD89" s="4">
        <v>0</v>
      </c>
      <c r="AE89" s="4">
        <v>0</v>
      </c>
      <c r="AF89" s="4">
        <v>0</v>
      </c>
      <c r="AG89" s="4">
        <v>1</v>
      </c>
      <c r="AH89" s="4">
        <v>1</v>
      </c>
      <c r="AI89" s="4">
        <v>3</v>
      </c>
      <c r="AJ89" s="4">
        <v>0</v>
      </c>
      <c r="AK89" s="4">
        <v>0</v>
      </c>
      <c r="AL89" s="4">
        <v>0</v>
      </c>
      <c r="AM89" s="4">
        <v>0</v>
      </c>
      <c r="AN89" s="4">
        <v>1</v>
      </c>
      <c r="AO89" s="4">
        <v>585</v>
      </c>
      <c r="AP89" s="4">
        <v>0</v>
      </c>
      <c r="AQ89" s="4">
        <v>0</v>
      </c>
      <c r="AR89" s="4">
        <v>585</v>
      </c>
      <c r="AS89" s="4">
        <v>0</v>
      </c>
      <c r="AT89" s="9">
        <v>88</v>
      </c>
      <c r="AU89" s="9" t="s">
        <v>208</v>
      </c>
      <c r="AV89" s="9" t="s">
        <v>101</v>
      </c>
      <c r="AW89" t="s">
        <v>569</v>
      </c>
      <c r="AX89" s="9" t="str">
        <f t="shared" si="52"/>
        <v>1002</v>
      </c>
      <c r="AY89" s="9" t="str">
        <f t="shared" si="55"/>
        <v>561</v>
      </c>
      <c r="AZ89" t="str">
        <f t="shared" si="56"/>
        <v>440</v>
      </c>
    </row>
    <row r="90" spans="1:52" x14ac:dyDescent="0.25">
      <c r="A90" s="4">
        <v>89</v>
      </c>
      <c r="B90" s="4">
        <v>89</v>
      </c>
      <c r="C90" s="4">
        <v>59</v>
      </c>
      <c r="D90" s="4">
        <v>90</v>
      </c>
      <c r="E90" s="4">
        <v>198</v>
      </c>
      <c r="F90" s="4">
        <v>1</v>
      </c>
      <c r="G90" s="4">
        <v>0</v>
      </c>
      <c r="H90" s="4">
        <v>5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1</v>
      </c>
      <c r="O90" s="4">
        <v>0</v>
      </c>
      <c r="P90" s="4">
        <v>3</v>
      </c>
      <c r="Q90" s="4">
        <v>2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1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361</v>
      </c>
      <c r="AP90" s="4">
        <v>0</v>
      </c>
      <c r="AQ90" s="4">
        <v>0</v>
      </c>
      <c r="AR90" s="4">
        <v>361</v>
      </c>
      <c r="AS90" s="4">
        <v>0</v>
      </c>
      <c r="AT90" s="9">
        <v>89</v>
      </c>
      <c r="AU90" s="9" t="s">
        <v>209</v>
      </c>
      <c r="AV90" s="9" t="s">
        <v>101</v>
      </c>
      <c r="AX90" s="9" t="e">
        <f t="shared" si="52"/>
        <v>#VALUE!</v>
      </c>
      <c r="AY90" s="9" t="e">
        <f t="shared" si="55"/>
        <v>#VALUE!</v>
      </c>
      <c r="AZ90" t="e">
        <f t="shared" si="56"/>
        <v>#VALUE!</v>
      </c>
    </row>
    <row r="91" spans="1:52" ht="51" x14ac:dyDescent="0.25">
      <c r="A91" s="4">
        <v>90</v>
      </c>
      <c r="B91" s="4">
        <v>90</v>
      </c>
      <c r="C91" s="4">
        <v>274</v>
      </c>
      <c r="D91" s="4">
        <v>10</v>
      </c>
      <c r="E91" s="4">
        <v>356</v>
      </c>
      <c r="F91" s="4">
        <v>4</v>
      </c>
      <c r="G91" s="4">
        <v>0</v>
      </c>
      <c r="H91" s="4">
        <v>9</v>
      </c>
      <c r="I91" s="4">
        <v>0</v>
      </c>
      <c r="J91" s="4">
        <v>0</v>
      </c>
      <c r="K91" s="4">
        <v>0</v>
      </c>
      <c r="L91" s="4">
        <v>0</v>
      </c>
      <c r="M91" s="4">
        <v>1</v>
      </c>
      <c r="N91" s="4">
        <v>1</v>
      </c>
      <c r="O91" s="4">
        <v>0</v>
      </c>
      <c r="P91" s="4">
        <v>0</v>
      </c>
      <c r="Q91" s="4">
        <v>0</v>
      </c>
      <c r="R91" s="4">
        <v>4</v>
      </c>
      <c r="S91" s="4">
        <v>0</v>
      </c>
      <c r="T91" s="4">
        <v>0</v>
      </c>
      <c r="U91" s="4">
        <v>1</v>
      </c>
      <c r="V91" s="4">
        <v>0</v>
      </c>
      <c r="W91" s="4">
        <v>0</v>
      </c>
      <c r="X91" s="4">
        <v>0</v>
      </c>
      <c r="Y91" s="4">
        <v>1</v>
      </c>
      <c r="Z91" s="4">
        <v>0</v>
      </c>
      <c r="AA91" s="4">
        <v>1</v>
      </c>
      <c r="AB91" s="4">
        <v>0</v>
      </c>
      <c r="AC91" s="4">
        <v>2</v>
      </c>
      <c r="AD91" s="4">
        <v>0</v>
      </c>
      <c r="AE91" s="4">
        <v>0</v>
      </c>
      <c r="AF91" s="4">
        <v>0</v>
      </c>
      <c r="AG91" s="4">
        <v>0</v>
      </c>
      <c r="AH91" s="4">
        <v>2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666</v>
      </c>
      <c r="AP91" s="4">
        <v>0</v>
      </c>
      <c r="AQ91" s="4">
        <v>1</v>
      </c>
      <c r="AR91" s="4">
        <v>667</v>
      </c>
      <c r="AS91" s="4">
        <v>0</v>
      </c>
      <c r="AT91" s="9">
        <v>90</v>
      </c>
      <c r="AU91" s="9" t="s">
        <v>210</v>
      </c>
      <c r="AV91" s="9" t="s">
        <v>211</v>
      </c>
      <c r="AW91" t="s">
        <v>570</v>
      </c>
      <c r="AX91" s="9" t="str">
        <f t="shared" si="52"/>
        <v>1064</v>
      </c>
      <c r="AY91" s="9" t="str">
        <f t="shared" si="55"/>
        <v>594</v>
      </c>
      <c r="AZ91" t="str">
        <f t="shared" si="56"/>
        <v>466</v>
      </c>
    </row>
    <row r="92" spans="1:52" x14ac:dyDescent="0.25">
      <c r="A92" s="4">
        <v>91</v>
      </c>
      <c r="B92" s="4">
        <v>91</v>
      </c>
      <c r="C92" s="4">
        <v>324</v>
      </c>
      <c r="D92" s="4">
        <v>15</v>
      </c>
      <c r="E92" s="4">
        <v>392</v>
      </c>
      <c r="F92" s="4">
        <v>2</v>
      </c>
      <c r="G92" s="4">
        <v>0</v>
      </c>
      <c r="H92" s="4">
        <v>87</v>
      </c>
      <c r="I92" s="4">
        <v>0</v>
      </c>
      <c r="J92" s="4">
        <v>0</v>
      </c>
      <c r="K92" s="4">
        <v>1</v>
      </c>
      <c r="L92" s="4">
        <v>0</v>
      </c>
      <c r="M92" s="4">
        <v>1</v>
      </c>
      <c r="N92" s="4">
        <v>0</v>
      </c>
      <c r="O92" s="4">
        <v>0</v>
      </c>
      <c r="P92" s="4">
        <v>2</v>
      </c>
      <c r="Q92" s="4">
        <v>0</v>
      </c>
      <c r="R92" s="4">
        <v>4</v>
      </c>
      <c r="S92" s="4">
        <v>2</v>
      </c>
      <c r="T92" s="4">
        <v>0</v>
      </c>
      <c r="U92" s="4">
        <v>2</v>
      </c>
      <c r="V92" s="4">
        <v>0</v>
      </c>
      <c r="W92" s="4">
        <v>1</v>
      </c>
      <c r="X92" s="4">
        <v>1</v>
      </c>
      <c r="Y92" s="4">
        <v>1</v>
      </c>
      <c r="Z92" s="4">
        <v>0</v>
      </c>
      <c r="AA92" s="4">
        <v>1</v>
      </c>
      <c r="AB92" s="4">
        <v>1</v>
      </c>
      <c r="AC92" s="4">
        <v>1</v>
      </c>
      <c r="AD92" s="4">
        <v>0</v>
      </c>
      <c r="AE92" s="4">
        <v>0</v>
      </c>
      <c r="AF92" s="4">
        <v>0</v>
      </c>
      <c r="AG92" s="4">
        <v>1</v>
      </c>
      <c r="AH92" s="4">
        <v>0</v>
      </c>
      <c r="AI92" s="4">
        <v>1</v>
      </c>
      <c r="AJ92" s="4">
        <v>0</v>
      </c>
      <c r="AK92" s="4">
        <v>1</v>
      </c>
      <c r="AL92" s="4">
        <v>0</v>
      </c>
      <c r="AM92" s="4">
        <v>0</v>
      </c>
      <c r="AN92" s="4">
        <v>0</v>
      </c>
      <c r="AO92" s="4">
        <v>841</v>
      </c>
      <c r="AP92" s="4">
        <v>0</v>
      </c>
      <c r="AQ92" s="4">
        <v>1</v>
      </c>
      <c r="AR92" s="4">
        <v>842</v>
      </c>
      <c r="AS92" s="4">
        <v>0</v>
      </c>
      <c r="AT92" s="9">
        <v>91</v>
      </c>
      <c r="AU92" s="9" t="s">
        <v>212</v>
      </c>
      <c r="AV92" s="9" t="s">
        <v>101</v>
      </c>
      <c r="AW92" t="s">
        <v>571</v>
      </c>
      <c r="AX92" s="9" t="str">
        <f t="shared" si="52"/>
        <v>1160</v>
      </c>
      <c r="AY92" s="9" t="str">
        <f t="shared" si="55"/>
        <v>626</v>
      </c>
      <c r="AZ92" t="str">
        <f t="shared" si="56"/>
        <v>520</v>
      </c>
    </row>
    <row r="93" spans="1:52" ht="25.5" x14ac:dyDescent="0.25">
      <c r="A93" s="4">
        <v>92</v>
      </c>
      <c r="B93" s="4">
        <v>92</v>
      </c>
      <c r="C93" s="4">
        <v>122</v>
      </c>
      <c r="D93" s="4">
        <v>2</v>
      </c>
      <c r="E93" s="4">
        <v>381</v>
      </c>
      <c r="F93" s="4">
        <v>5</v>
      </c>
      <c r="G93" s="4">
        <v>1</v>
      </c>
      <c r="H93" s="4">
        <v>37</v>
      </c>
      <c r="I93" s="4">
        <v>1</v>
      </c>
      <c r="J93" s="4">
        <v>0</v>
      </c>
      <c r="K93" s="4">
        <v>0</v>
      </c>
      <c r="L93" s="4">
        <v>0</v>
      </c>
      <c r="M93" s="4">
        <v>0</v>
      </c>
      <c r="N93" s="4">
        <v>1</v>
      </c>
      <c r="O93" s="4">
        <v>0</v>
      </c>
      <c r="P93" s="4">
        <v>2</v>
      </c>
      <c r="Q93" s="4">
        <v>0</v>
      </c>
      <c r="R93" s="4">
        <v>4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556</v>
      </c>
      <c r="AP93" s="4">
        <v>0</v>
      </c>
      <c r="AQ93" s="4">
        <v>0</v>
      </c>
      <c r="AR93" s="4">
        <v>556</v>
      </c>
      <c r="AS93" s="4">
        <v>0</v>
      </c>
      <c r="AT93" s="9">
        <v>92</v>
      </c>
      <c r="AU93" s="9" t="s">
        <v>213</v>
      </c>
      <c r="AV93" s="9" t="s">
        <v>214</v>
      </c>
      <c r="AW93" t="s">
        <v>572</v>
      </c>
      <c r="AX93" s="9" t="str">
        <f t="shared" si="52"/>
        <v>819</v>
      </c>
      <c r="AY93" s="9" t="str">
        <f t="shared" si="55"/>
        <v>453</v>
      </c>
      <c r="AZ93" t="str">
        <f t="shared" si="56"/>
        <v>363</v>
      </c>
    </row>
    <row r="94" spans="1:52" x14ac:dyDescent="0.25">
      <c r="A94" s="4">
        <v>93</v>
      </c>
      <c r="B94" s="4">
        <v>93</v>
      </c>
      <c r="C94" s="4">
        <v>118</v>
      </c>
      <c r="D94" s="4">
        <v>1</v>
      </c>
      <c r="E94" s="4">
        <v>406</v>
      </c>
      <c r="F94" s="4">
        <v>4</v>
      </c>
      <c r="G94" s="4">
        <v>1</v>
      </c>
      <c r="H94" s="4">
        <v>15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</v>
      </c>
      <c r="O94" s="4">
        <v>0</v>
      </c>
      <c r="P94" s="4">
        <v>0</v>
      </c>
      <c r="Q94" s="4">
        <v>0</v>
      </c>
      <c r="R94" s="4">
        <v>1</v>
      </c>
      <c r="S94" s="4">
        <v>0</v>
      </c>
      <c r="T94" s="4">
        <v>0</v>
      </c>
      <c r="U94" s="4">
        <v>1</v>
      </c>
      <c r="V94" s="4">
        <v>0</v>
      </c>
      <c r="W94" s="4">
        <v>1</v>
      </c>
      <c r="X94" s="4">
        <v>1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1</v>
      </c>
      <c r="AI94" s="4">
        <v>0</v>
      </c>
      <c r="AJ94" s="4">
        <v>0</v>
      </c>
      <c r="AK94" s="4">
        <v>2</v>
      </c>
      <c r="AL94" s="4">
        <v>0</v>
      </c>
      <c r="AM94" s="4">
        <v>1</v>
      </c>
      <c r="AN94" s="4">
        <v>0</v>
      </c>
      <c r="AO94" s="4">
        <v>554</v>
      </c>
      <c r="AP94" s="4">
        <v>0</v>
      </c>
      <c r="AQ94" s="4">
        <v>0</v>
      </c>
      <c r="AR94" s="4">
        <v>554</v>
      </c>
      <c r="AS94" s="4">
        <v>0</v>
      </c>
      <c r="AT94" s="9">
        <v>93</v>
      </c>
      <c r="AU94" s="9" t="s">
        <v>215</v>
      </c>
      <c r="AV94" s="9" t="s">
        <v>101</v>
      </c>
      <c r="AW94" t="s">
        <v>573</v>
      </c>
      <c r="AX94" s="9" t="str">
        <f t="shared" si="52"/>
        <v>700</v>
      </c>
      <c r="AY94" s="9" t="str">
        <f t="shared" si="55"/>
        <v>377</v>
      </c>
      <c r="AZ94" t="str">
        <f t="shared" si="56"/>
        <v>315</v>
      </c>
    </row>
    <row r="95" spans="1:52" ht="25.5" x14ac:dyDescent="0.25">
      <c r="A95" s="4">
        <v>94</v>
      </c>
      <c r="B95" s="4">
        <v>94</v>
      </c>
      <c r="C95" s="4">
        <v>155</v>
      </c>
      <c r="D95" s="4">
        <v>3</v>
      </c>
      <c r="E95" s="4">
        <v>392</v>
      </c>
      <c r="F95" s="4">
        <v>4</v>
      </c>
      <c r="G95" s="4">
        <v>1</v>
      </c>
      <c r="H95" s="4">
        <v>15</v>
      </c>
      <c r="I95" s="4">
        <v>0</v>
      </c>
      <c r="J95" s="4">
        <v>0</v>
      </c>
      <c r="K95" s="4">
        <v>0</v>
      </c>
      <c r="L95" s="4">
        <v>0</v>
      </c>
      <c r="M95" s="4">
        <v>1</v>
      </c>
      <c r="N95" s="4">
        <v>0</v>
      </c>
      <c r="O95" s="4">
        <v>0</v>
      </c>
      <c r="P95" s="4">
        <v>3</v>
      </c>
      <c r="Q95" s="4">
        <v>2</v>
      </c>
      <c r="R95" s="4">
        <v>5</v>
      </c>
      <c r="S95" s="4">
        <v>2</v>
      </c>
      <c r="T95" s="4">
        <v>0</v>
      </c>
      <c r="U95" s="4">
        <v>3</v>
      </c>
      <c r="V95" s="4">
        <v>0</v>
      </c>
      <c r="W95" s="4">
        <v>1</v>
      </c>
      <c r="X95" s="4">
        <v>1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1</v>
      </c>
      <c r="AN95" s="4">
        <v>0</v>
      </c>
      <c r="AO95" s="4">
        <v>591</v>
      </c>
      <c r="AP95" s="4">
        <v>0</v>
      </c>
      <c r="AQ95" s="4">
        <v>1</v>
      </c>
      <c r="AR95" s="4">
        <v>592</v>
      </c>
      <c r="AS95" s="4">
        <v>0</v>
      </c>
      <c r="AT95" s="9">
        <v>94</v>
      </c>
      <c r="AU95" s="9" t="s">
        <v>216</v>
      </c>
      <c r="AV95" s="9" t="s">
        <v>217</v>
      </c>
      <c r="AW95" t="s">
        <v>574</v>
      </c>
      <c r="AX95" s="9" t="str">
        <f t="shared" si="52"/>
        <v>1156</v>
      </c>
      <c r="AY95" s="9" t="str">
        <f t="shared" si="55"/>
        <v>620</v>
      </c>
      <c r="AZ95" t="str">
        <f t="shared" si="56"/>
        <v>535</v>
      </c>
    </row>
    <row r="96" spans="1:52" x14ac:dyDescent="0.25">
      <c r="A96" s="4">
        <v>95</v>
      </c>
      <c r="B96" s="4">
        <v>95</v>
      </c>
      <c r="C96" s="4">
        <v>139</v>
      </c>
      <c r="D96" s="4">
        <v>70</v>
      </c>
      <c r="E96" s="4">
        <v>254</v>
      </c>
      <c r="F96" s="4">
        <v>8</v>
      </c>
      <c r="G96" s="4">
        <v>1</v>
      </c>
      <c r="H96" s="4">
        <v>38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1</v>
      </c>
      <c r="O96" s="4">
        <v>0</v>
      </c>
      <c r="P96" s="4">
        <v>0</v>
      </c>
      <c r="Q96" s="4">
        <v>0</v>
      </c>
      <c r="R96" s="4">
        <v>1</v>
      </c>
      <c r="S96" s="4">
        <v>2</v>
      </c>
      <c r="T96" s="4">
        <v>0</v>
      </c>
      <c r="U96" s="4">
        <v>0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</v>
      </c>
      <c r="AC96" s="4">
        <v>1</v>
      </c>
      <c r="AD96" s="4">
        <v>2</v>
      </c>
      <c r="AE96" s="4">
        <v>0</v>
      </c>
      <c r="AF96" s="4">
        <v>1</v>
      </c>
      <c r="AG96" s="4">
        <v>0</v>
      </c>
      <c r="AH96" s="4">
        <v>2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523</v>
      </c>
      <c r="AP96" s="4">
        <v>0</v>
      </c>
      <c r="AQ96" s="4">
        <v>0</v>
      </c>
      <c r="AR96" s="4">
        <v>523</v>
      </c>
      <c r="AS96" s="4">
        <v>0</v>
      </c>
      <c r="AT96" s="9">
        <v>95</v>
      </c>
      <c r="AU96" s="9" t="s">
        <v>218</v>
      </c>
      <c r="AV96" s="9" t="s">
        <v>219</v>
      </c>
      <c r="AW96" t="s">
        <v>575</v>
      </c>
      <c r="AX96" s="9" t="str">
        <f t="shared" si="52"/>
        <v>873</v>
      </c>
      <c r="AY96" s="9" t="str">
        <f t="shared" si="55"/>
        <v>485</v>
      </c>
      <c r="AZ96" t="str">
        <f t="shared" si="56"/>
        <v>388</v>
      </c>
    </row>
    <row r="97" spans="1:52" x14ac:dyDescent="0.25">
      <c r="A97" s="4">
        <v>96</v>
      </c>
      <c r="B97" s="4">
        <v>96</v>
      </c>
      <c r="C97" s="4">
        <v>101</v>
      </c>
      <c r="D97" s="4">
        <v>2</v>
      </c>
      <c r="E97" s="4">
        <v>261</v>
      </c>
      <c r="F97" s="4">
        <v>0</v>
      </c>
      <c r="G97" s="4">
        <v>0</v>
      </c>
      <c r="H97" s="4">
        <v>20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1</v>
      </c>
      <c r="S97" s="4">
        <v>0</v>
      </c>
      <c r="T97" s="4">
        <v>0</v>
      </c>
      <c r="U97" s="4">
        <v>1</v>
      </c>
      <c r="V97" s="4">
        <v>0</v>
      </c>
      <c r="W97" s="4">
        <v>1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1</v>
      </c>
      <c r="AI97" s="4">
        <v>1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389</v>
      </c>
      <c r="AP97" s="4">
        <v>0</v>
      </c>
      <c r="AQ97" s="4">
        <v>0</v>
      </c>
      <c r="AR97" s="4">
        <v>389</v>
      </c>
      <c r="AS97" s="4">
        <v>0</v>
      </c>
      <c r="AT97" s="9">
        <v>96</v>
      </c>
      <c r="AU97" s="9" t="s">
        <v>101</v>
      </c>
      <c r="AV97" s="9" t="s">
        <v>101</v>
      </c>
      <c r="AW97" t="s">
        <v>576</v>
      </c>
      <c r="AX97" s="9" t="str">
        <f t="shared" si="52"/>
        <v>550</v>
      </c>
      <c r="AY97" s="9" t="str">
        <f t="shared" si="55"/>
        <v>313</v>
      </c>
      <c r="AZ97" t="str">
        <f t="shared" si="56"/>
        <v>233</v>
      </c>
    </row>
    <row r="98" spans="1:52" ht="25.5" x14ac:dyDescent="0.25">
      <c r="A98" s="4">
        <v>97</v>
      </c>
      <c r="B98" s="4">
        <v>97</v>
      </c>
      <c r="C98" s="4">
        <v>187</v>
      </c>
      <c r="D98" s="4">
        <v>108</v>
      </c>
      <c r="E98" s="4">
        <v>257</v>
      </c>
      <c r="F98" s="4">
        <v>2</v>
      </c>
      <c r="G98" s="4">
        <v>4</v>
      </c>
      <c r="H98" s="4">
        <v>72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1</v>
      </c>
      <c r="O98" s="4">
        <v>0</v>
      </c>
      <c r="P98" s="4">
        <v>0</v>
      </c>
      <c r="Q98" s="4">
        <v>0</v>
      </c>
      <c r="R98" s="4">
        <v>1</v>
      </c>
      <c r="S98" s="4">
        <v>1</v>
      </c>
      <c r="T98" s="4">
        <v>1</v>
      </c>
      <c r="U98" s="4">
        <v>2</v>
      </c>
      <c r="V98" s="4">
        <v>0</v>
      </c>
      <c r="W98" s="4">
        <v>0</v>
      </c>
      <c r="X98" s="4">
        <v>0</v>
      </c>
      <c r="Y98" s="4">
        <v>0</v>
      </c>
      <c r="Z98" s="4">
        <v>1</v>
      </c>
      <c r="AA98" s="4">
        <v>1</v>
      </c>
      <c r="AB98" s="4">
        <v>0</v>
      </c>
      <c r="AC98" s="4">
        <v>2</v>
      </c>
      <c r="AD98" s="4">
        <v>2</v>
      </c>
      <c r="AE98" s="4">
        <v>0</v>
      </c>
      <c r="AF98" s="4">
        <v>1</v>
      </c>
      <c r="AG98" s="4">
        <v>1</v>
      </c>
      <c r="AH98" s="4">
        <v>0</v>
      </c>
      <c r="AI98" s="4">
        <v>1</v>
      </c>
      <c r="AJ98" s="4">
        <v>0</v>
      </c>
      <c r="AK98" s="4">
        <v>3</v>
      </c>
      <c r="AL98" s="4">
        <v>1</v>
      </c>
      <c r="AM98" s="4">
        <v>0</v>
      </c>
      <c r="AN98" s="4">
        <v>1</v>
      </c>
      <c r="AO98" s="4">
        <v>650</v>
      </c>
      <c r="AP98" s="4">
        <v>0</v>
      </c>
      <c r="AQ98" s="4">
        <v>0</v>
      </c>
      <c r="AR98" s="4">
        <v>650</v>
      </c>
      <c r="AS98" s="4">
        <v>0</v>
      </c>
      <c r="AT98" s="9">
        <v>97</v>
      </c>
      <c r="AU98" s="9" t="s">
        <v>220</v>
      </c>
      <c r="AV98" s="9" t="s">
        <v>221</v>
      </c>
      <c r="AW98" t="s">
        <v>577</v>
      </c>
      <c r="AX98" s="9" t="str">
        <f t="shared" si="52"/>
        <v>964</v>
      </c>
      <c r="AY98" s="9" t="str">
        <f t="shared" si="55"/>
        <v>524</v>
      </c>
      <c r="AZ98" t="str">
        <f t="shared" si="56"/>
        <v>438</v>
      </c>
    </row>
    <row r="99" spans="1:52" x14ac:dyDescent="0.25">
      <c r="A99" s="4">
        <v>98</v>
      </c>
      <c r="B99" s="4">
        <v>98</v>
      </c>
      <c r="C99" s="4">
        <v>127</v>
      </c>
      <c r="D99" s="4">
        <v>247</v>
      </c>
      <c r="E99" s="4">
        <v>161</v>
      </c>
      <c r="F99" s="4">
        <v>0</v>
      </c>
      <c r="G99" s="4">
        <v>0</v>
      </c>
      <c r="H99" s="4">
        <v>14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1</v>
      </c>
      <c r="Q99" s="4">
        <v>2</v>
      </c>
      <c r="R99" s="4">
        <v>7</v>
      </c>
      <c r="S99" s="4">
        <v>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</v>
      </c>
      <c r="AC99" s="4">
        <v>3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</v>
      </c>
      <c r="AL99" s="4">
        <v>0</v>
      </c>
      <c r="AM99" s="4">
        <v>0</v>
      </c>
      <c r="AN99" s="4">
        <v>0</v>
      </c>
      <c r="AO99" s="4">
        <v>567</v>
      </c>
      <c r="AP99" s="4">
        <v>0</v>
      </c>
      <c r="AQ99" s="4">
        <v>1</v>
      </c>
      <c r="AR99" s="4">
        <v>568</v>
      </c>
      <c r="AS99" s="4">
        <v>0</v>
      </c>
      <c r="AT99" s="9">
        <v>98</v>
      </c>
      <c r="AU99" s="9" t="s">
        <v>222</v>
      </c>
      <c r="AV99" s="9" t="s">
        <v>223</v>
      </c>
      <c r="AW99" t="s">
        <v>578</v>
      </c>
      <c r="AX99" s="9" t="str">
        <f t="shared" si="52"/>
        <v>819</v>
      </c>
      <c r="AY99" s="9" t="str">
        <f t="shared" si="55"/>
        <v>438</v>
      </c>
      <c r="AZ99" t="str">
        <f t="shared" si="56"/>
        <v>375</v>
      </c>
    </row>
    <row r="100" spans="1:52" x14ac:dyDescent="0.25">
      <c r="A100" s="4">
        <v>99</v>
      </c>
      <c r="B100" s="4">
        <v>99</v>
      </c>
      <c r="C100" s="4">
        <v>122</v>
      </c>
      <c r="D100" s="4">
        <v>36</v>
      </c>
      <c r="E100" s="4">
        <v>244</v>
      </c>
      <c r="F100" s="4">
        <v>0</v>
      </c>
      <c r="G100" s="4">
        <v>0</v>
      </c>
      <c r="H100" s="4">
        <v>18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1</v>
      </c>
      <c r="Q100" s="4">
        <v>0</v>
      </c>
      <c r="R100" s="4">
        <v>1</v>
      </c>
      <c r="S100" s="4">
        <v>0</v>
      </c>
      <c r="T100" s="4">
        <v>0</v>
      </c>
      <c r="U100" s="4">
        <v>0</v>
      </c>
      <c r="V100" s="4">
        <v>0</v>
      </c>
      <c r="W100" s="4">
        <v>1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1</v>
      </c>
      <c r="AL100" s="4">
        <v>0</v>
      </c>
      <c r="AM100" s="4">
        <v>0</v>
      </c>
      <c r="AN100" s="4">
        <v>1</v>
      </c>
      <c r="AO100" s="4">
        <v>425</v>
      </c>
      <c r="AP100" s="4">
        <v>0</v>
      </c>
      <c r="AQ100" s="4">
        <v>1</v>
      </c>
      <c r="AR100" s="4">
        <v>426</v>
      </c>
      <c r="AS100" s="4">
        <v>0</v>
      </c>
      <c r="AT100" s="9">
        <v>99</v>
      </c>
      <c r="AU100" s="9" t="s">
        <v>224</v>
      </c>
      <c r="AV100" s="9" t="s">
        <v>101</v>
      </c>
      <c r="AW100" t="s">
        <v>579</v>
      </c>
      <c r="AX100" s="9" t="str">
        <f t="shared" si="52"/>
        <v>677</v>
      </c>
      <c r="AY100" s="9" t="str">
        <f t="shared" si="55"/>
        <v>357</v>
      </c>
      <c r="AZ100" t="str">
        <f t="shared" si="56"/>
        <v>314</v>
      </c>
    </row>
    <row r="101" spans="1:52" x14ac:dyDescent="0.25">
      <c r="A101" s="4">
        <v>100</v>
      </c>
      <c r="B101" s="4">
        <v>100</v>
      </c>
      <c r="C101" s="4">
        <v>226</v>
      </c>
      <c r="D101" s="4">
        <v>9</v>
      </c>
      <c r="E101" s="4">
        <v>273</v>
      </c>
      <c r="F101" s="4">
        <v>0</v>
      </c>
      <c r="G101" s="4">
        <v>2</v>
      </c>
      <c r="H101" s="4">
        <v>16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2</v>
      </c>
      <c r="Q101" s="4">
        <v>0</v>
      </c>
      <c r="R101" s="4">
        <v>3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1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533</v>
      </c>
      <c r="AP101" s="4">
        <v>0</v>
      </c>
      <c r="AQ101" s="4">
        <v>1</v>
      </c>
      <c r="AR101" s="4">
        <v>534</v>
      </c>
      <c r="AS101" s="4">
        <v>0</v>
      </c>
      <c r="AT101" s="9">
        <v>100</v>
      </c>
      <c r="AU101" s="9" t="s">
        <v>224</v>
      </c>
      <c r="AV101" s="9" t="s">
        <v>101</v>
      </c>
      <c r="AW101" t="s">
        <v>580</v>
      </c>
      <c r="AX101" s="9" t="str">
        <f t="shared" si="52"/>
        <v>775</v>
      </c>
      <c r="AY101" s="9" t="str">
        <f t="shared" si="55"/>
        <v>412</v>
      </c>
      <c r="AZ101" t="str">
        <f t="shared" si="56"/>
        <v>354</v>
      </c>
    </row>
    <row r="102" spans="1:52" x14ac:dyDescent="0.25">
      <c r="A102" s="4">
        <v>101</v>
      </c>
      <c r="B102" s="4">
        <v>101</v>
      </c>
      <c r="C102" s="4">
        <v>6</v>
      </c>
      <c r="D102" s="4">
        <v>0</v>
      </c>
      <c r="E102" s="4">
        <v>225</v>
      </c>
      <c r="F102" s="4">
        <v>0</v>
      </c>
      <c r="G102" s="4">
        <v>0</v>
      </c>
      <c r="H102" s="4">
        <v>3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234</v>
      </c>
      <c r="AP102" s="4">
        <v>0</v>
      </c>
      <c r="AQ102" s="4">
        <v>0</v>
      </c>
      <c r="AR102" s="4">
        <v>234</v>
      </c>
      <c r="AS102" s="4">
        <v>0</v>
      </c>
      <c r="AT102" s="9">
        <v>101</v>
      </c>
      <c r="AU102" s="9" t="s">
        <v>225</v>
      </c>
      <c r="AV102" s="9" t="s">
        <v>226</v>
      </c>
      <c r="AW102" t="s">
        <v>581</v>
      </c>
      <c r="AX102" s="9" t="str">
        <f t="shared" si="52"/>
        <v>310</v>
      </c>
      <c r="AY102" s="9" t="str">
        <f t="shared" si="55"/>
        <v>163</v>
      </c>
      <c r="AZ102" t="str">
        <f t="shared" si="56"/>
        <v>147</v>
      </c>
    </row>
    <row r="103" spans="1:52" x14ac:dyDescent="0.25">
      <c r="A103" s="4">
        <v>102</v>
      </c>
      <c r="B103" s="4">
        <v>102</v>
      </c>
      <c r="C103" s="4">
        <v>274</v>
      </c>
      <c r="D103" s="4">
        <v>7</v>
      </c>
      <c r="E103" s="4">
        <v>168</v>
      </c>
      <c r="F103" s="4">
        <v>2</v>
      </c>
      <c r="G103" s="4">
        <v>0</v>
      </c>
      <c r="H103" s="4">
        <v>129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1</v>
      </c>
      <c r="AI103" s="4">
        <v>1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583</v>
      </c>
      <c r="AP103" s="4">
        <v>0</v>
      </c>
      <c r="AQ103" s="4">
        <v>5</v>
      </c>
      <c r="AR103" s="4">
        <v>588</v>
      </c>
      <c r="AS103" s="4">
        <v>0</v>
      </c>
      <c r="AT103" s="9">
        <v>102</v>
      </c>
      <c r="AU103" s="9" t="s">
        <v>227</v>
      </c>
      <c r="AV103" s="9" t="s">
        <v>101</v>
      </c>
      <c r="AW103" t="s">
        <v>582</v>
      </c>
      <c r="AX103" s="9" t="str">
        <f t="shared" si="52"/>
        <v>812</v>
      </c>
      <c r="AY103" s="9" t="str">
        <f t="shared" si="55"/>
        <v>425</v>
      </c>
      <c r="AZ103" t="str">
        <f t="shared" si="56"/>
        <v>385</v>
      </c>
    </row>
    <row r="104" spans="1:52" x14ac:dyDescent="0.25">
      <c r="A104" s="4">
        <v>103</v>
      </c>
      <c r="B104" s="4">
        <v>103</v>
      </c>
      <c r="C104" s="4">
        <v>13</v>
      </c>
      <c r="D104" s="4">
        <v>1</v>
      </c>
      <c r="E104" s="4">
        <v>864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878</v>
      </c>
      <c r="AP104" s="4">
        <v>0</v>
      </c>
      <c r="AQ104" s="4">
        <v>0</v>
      </c>
      <c r="AR104" s="4">
        <v>878</v>
      </c>
      <c r="AS104" s="4">
        <v>0</v>
      </c>
      <c r="AT104" s="9">
        <v>103</v>
      </c>
      <c r="AU104" s="9" t="s">
        <v>228</v>
      </c>
      <c r="AV104" s="9" t="s">
        <v>229</v>
      </c>
      <c r="AW104" t="s">
        <v>583</v>
      </c>
      <c r="AX104" s="9" t="str">
        <f t="shared" si="52"/>
        <v>981</v>
      </c>
      <c r="AY104" s="9" t="str">
        <f t="shared" si="55"/>
        <v>542</v>
      </c>
      <c r="AZ104" t="str">
        <f t="shared" si="56"/>
        <v>439</v>
      </c>
    </row>
    <row r="105" spans="1:52" x14ac:dyDescent="0.25">
      <c r="A105" s="4">
        <v>104</v>
      </c>
      <c r="B105" s="4">
        <v>104</v>
      </c>
      <c r="C105" s="4">
        <v>191</v>
      </c>
      <c r="D105" s="4">
        <v>1</v>
      </c>
      <c r="E105" s="4">
        <v>212</v>
      </c>
      <c r="F105" s="4">
        <v>3</v>
      </c>
      <c r="G105" s="4">
        <v>2</v>
      </c>
      <c r="H105" s="4">
        <v>61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</v>
      </c>
      <c r="O105" s="4">
        <v>0</v>
      </c>
      <c r="P105" s="4">
        <v>0</v>
      </c>
      <c r="Q105" s="4">
        <v>0</v>
      </c>
      <c r="R105" s="4">
        <v>1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473</v>
      </c>
      <c r="AP105" s="4">
        <v>0</v>
      </c>
      <c r="AQ105" s="4">
        <v>0</v>
      </c>
      <c r="AR105" s="4">
        <v>473</v>
      </c>
      <c r="AS105" s="4">
        <v>0</v>
      </c>
      <c r="AT105" s="9">
        <v>104</v>
      </c>
      <c r="AU105" s="9" t="s">
        <v>230</v>
      </c>
      <c r="AV105" s="9" t="s">
        <v>231</v>
      </c>
      <c r="AW105" t="s">
        <v>584</v>
      </c>
      <c r="AX105" s="9" t="str">
        <f t="shared" si="52"/>
        <v>789</v>
      </c>
      <c r="AY105" s="9" t="str">
        <f t="shared" si="55"/>
        <v>412</v>
      </c>
      <c r="AZ105" t="str">
        <f t="shared" si="56"/>
        <v>377</v>
      </c>
    </row>
    <row r="106" spans="1:52" x14ac:dyDescent="0.25">
      <c r="A106" s="4">
        <v>105</v>
      </c>
      <c r="B106" s="4">
        <v>105</v>
      </c>
      <c r="C106" s="4">
        <v>192</v>
      </c>
      <c r="D106" s="4">
        <v>6</v>
      </c>
      <c r="E106" s="4">
        <v>208</v>
      </c>
      <c r="F106" s="4">
        <v>4</v>
      </c>
      <c r="G106" s="4">
        <v>1</v>
      </c>
      <c r="H106" s="4">
        <v>68</v>
      </c>
      <c r="I106" s="4">
        <v>2</v>
      </c>
      <c r="J106" s="4">
        <v>0</v>
      </c>
      <c r="K106" s="4">
        <v>0</v>
      </c>
      <c r="L106" s="4">
        <v>1</v>
      </c>
      <c r="M106" s="4">
        <v>1</v>
      </c>
      <c r="N106" s="4">
        <v>6</v>
      </c>
      <c r="O106" s="4">
        <v>0</v>
      </c>
      <c r="P106" s="4">
        <v>0</v>
      </c>
      <c r="Q106" s="4">
        <v>1</v>
      </c>
      <c r="R106" s="4">
        <v>6</v>
      </c>
      <c r="S106" s="4">
        <v>0</v>
      </c>
      <c r="T106" s="4">
        <v>1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</v>
      </c>
      <c r="AA106" s="4">
        <v>0</v>
      </c>
      <c r="AB106" s="4">
        <v>1</v>
      </c>
      <c r="AC106" s="4">
        <v>2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501</v>
      </c>
      <c r="AP106" s="4">
        <v>0</v>
      </c>
      <c r="AQ106" s="4">
        <v>0</v>
      </c>
      <c r="AR106" s="4">
        <v>501</v>
      </c>
      <c r="AS106" s="4">
        <v>0</v>
      </c>
      <c r="AT106" s="9">
        <v>105</v>
      </c>
      <c r="AU106" s="9" t="s">
        <v>232</v>
      </c>
      <c r="AV106" s="9" t="s">
        <v>233</v>
      </c>
      <c r="AW106" t="s">
        <v>585</v>
      </c>
      <c r="AX106" s="9" t="str">
        <f t="shared" si="52"/>
        <v>824</v>
      </c>
      <c r="AY106" s="9" t="str">
        <f t="shared" si="55"/>
        <v>449</v>
      </c>
      <c r="AZ106" t="str">
        <f t="shared" si="56"/>
        <v>375</v>
      </c>
    </row>
    <row r="107" spans="1:52" x14ac:dyDescent="0.25">
      <c r="A107" s="4">
        <v>106</v>
      </c>
      <c r="B107" s="4">
        <v>106</v>
      </c>
      <c r="C107" s="4">
        <v>372</v>
      </c>
      <c r="D107" s="4">
        <v>12</v>
      </c>
      <c r="E107" s="4">
        <v>127</v>
      </c>
      <c r="F107" s="4">
        <v>1</v>
      </c>
      <c r="G107" s="4">
        <v>2</v>
      </c>
      <c r="H107" s="4">
        <v>67</v>
      </c>
      <c r="I107" s="4">
        <v>0</v>
      </c>
      <c r="J107" s="4">
        <v>0</v>
      </c>
      <c r="K107" s="4">
        <v>1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3</v>
      </c>
      <c r="S107" s="4">
        <v>1</v>
      </c>
      <c r="T107" s="4">
        <v>0</v>
      </c>
      <c r="U107" s="4">
        <v>1</v>
      </c>
      <c r="V107" s="4">
        <v>0</v>
      </c>
      <c r="W107" s="4">
        <v>2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</v>
      </c>
      <c r="AH107" s="4">
        <v>0</v>
      </c>
      <c r="AI107" s="4">
        <v>1</v>
      </c>
      <c r="AJ107" s="4">
        <v>1</v>
      </c>
      <c r="AK107" s="4">
        <v>3</v>
      </c>
      <c r="AL107" s="4">
        <v>0</v>
      </c>
      <c r="AM107" s="4">
        <v>0</v>
      </c>
      <c r="AN107" s="4">
        <v>0</v>
      </c>
      <c r="AO107" s="4">
        <v>596</v>
      </c>
      <c r="AP107" s="4">
        <v>0</v>
      </c>
      <c r="AQ107" s="4">
        <v>1</v>
      </c>
      <c r="AR107" s="4">
        <v>597</v>
      </c>
      <c r="AS107" s="4">
        <v>0</v>
      </c>
      <c r="AT107" s="9">
        <v>106</v>
      </c>
      <c r="AU107" s="9" t="s">
        <v>234</v>
      </c>
      <c r="AV107" s="9" t="s">
        <v>235</v>
      </c>
      <c r="AW107" t="s">
        <v>586</v>
      </c>
      <c r="AX107" s="9" t="str">
        <f t="shared" si="52"/>
        <v>915</v>
      </c>
      <c r="AY107" s="9" t="str">
        <f t="shared" si="55"/>
        <v>503</v>
      </c>
      <c r="AZ107" t="str">
        <f t="shared" si="56"/>
        <v>412</v>
      </c>
    </row>
    <row r="108" spans="1:52" x14ac:dyDescent="0.25">
      <c r="A108" s="4">
        <v>107</v>
      </c>
      <c r="B108" s="4">
        <v>107</v>
      </c>
      <c r="C108" s="4">
        <v>288</v>
      </c>
      <c r="D108" s="4">
        <v>11</v>
      </c>
      <c r="E108" s="4">
        <v>222</v>
      </c>
      <c r="F108" s="4">
        <v>2</v>
      </c>
      <c r="G108" s="4">
        <v>0</v>
      </c>
      <c r="H108" s="4">
        <v>82</v>
      </c>
      <c r="I108" s="4">
        <v>0</v>
      </c>
      <c r="J108" s="4">
        <v>0</v>
      </c>
      <c r="K108" s="4">
        <v>1</v>
      </c>
      <c r="L108" s="4">
        <v>0</v>
      </c>
      <c r="M108" s="4">
        <v>0</v>
      </c>
      <c r="N108" s="4">
        <v>0</v>
      </c>
      <c r="O108" s="4">
        <v>1</v>
      </c>
      <c r="P108" s="4">
        <v>0</v>
      </c>
      <c r="Q108" s="4">
        <v>1</v>
      </c>
      <c r="R108" s="4">
        <v>2</v>
      </c>
      <c r="S108" s="4">
        <v>2</v>
      </c>
      <c r="T108" s="4">
        <v>1</v>
      </c>
      <c r="U108" s="4">
        <v>3</v>
      </c>
      <c r="V108" s="4">
        <v>1</v>
      </c>
      <c r="W108" s="4">
        <v>0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</v>
      </c>
      <c r="AF108" s="4">
        <v>2</v>
      </c>
      <c r="AG108" s="4">
        <v>0</v>
      </c>
      <c r="AH108" s="4">
        <v>2</v>
      </c>
      <c r="AI108" s="4">
        <v>3</v>
      </c>
      <c r="AJ108" s="4">
        <v>0</v>
      </c>
      <c r="AK108" s="4">
        <v>1</v>
      </c>
      <c r="AL108" s="4">
        <v>0</v>
      </c>
      <c r="AM108" s="4">
        <v>0</v>
      </c>
      <c r="AN108" s="4">
        <v>0</v>
      </c>
      <c r="AO108" s="4">
        <v>627</v>
      </c>
      <c r="AP108" s="4">
        <v>0</v>
      </c>
      <c r="AQ108" s="4">
        <v>0</v>
      </c>
      <c r="AR108" s="4">
        <v>627</v>
      </c>
      <c r="AS108" s="4">
        <v>0</v>
      </c>
      <c r="AT108" s="9">
        <v>107</v>
      </c>
      <c r="AU108" s="9" t="s">
        <v>236</v>
      </c>
      <c r="AV108" s="9" t="s">
        <v>237</v>
      </c>
      <c r="AW108" t="s">
        <v>587</v>
      </c>
      <c r="AX108" s="9" t="str">
        <f t="shared" ref="AX108:AX141" si="57">TRIM(MID(AW108,1,FIND(" ",AW108)-1))</f>
        <v>1088</v>
      </c>
      <c r="AY108" s="9" t="str">
        <f t="shared" si="55"/>
        <v>589</v>
      </c>
      <c r="AZ108" t="str">
        <f t="shared" si="56"/>
        <v>499</v>
      </c>
    </row>
    <row r="109" spans="1:52" x14ac:dyDescent="0.25">
      <c r="A109" s="4">
        <v>108</v>
      </c>
      <c r="B109" s="4">
        <v>108</v>
      </c>
      <c r="C109" s="4">
        <v>266</v>
      </c>
      <c r="D109" s="4">
        <v>11</v>
      </c>
      <c r="E109" s="4">
        <v>124</v>
      </c>
      <c r="F109" s="4">
        <v>1</v>
      </c>
      <c r="G109" s="4">
        <v>2</v>
      </c>
      <c r="H109" s="4">
        <v>125</v>
      </c>
      <c r="I109" s="4">
        <v>1</v>
      </c>
      <c r="J109" s="4">
        <v>0</v>
      </c>
      <c r="K109" s="4">
        <v>0</v>
      </c>
      <c r="L109" s="4">
        <v>0</v>
      </c>
      <c r="M109" s="4">
        <v>0</v>
      </c>
      <c r="N109" s="4">
        <v>2</v>
      </c>
      <c r="O109" s="4">
        <v>0</v>
      </c>
      <c r="P109" s="4">
        <v>1</v>
      </c>
      <c r="Q109" s="4">
        <v>1</v>
      </c>
      <c r="R109" s="4">
        <v>1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0</v>
      </c>
      <c r="Y109" s="4">
        <v>1</v>
      </c>
      <c r="Z109" s="4">
        <v>0</v>
      </c>
      <c r="AA109" s="4">
        <v>1</v>
      </c>
      <c r="AB109" s="4">
        <v>0</v>
      </c>
      <c r="AC109" s="4">
        <v>2</v>
      </c>
      <c r="AD109" s="4">
        <v>0</v>
      </c>
      <c r="AE109" s="4">
        <v>0</v>
      </c>
      <c r="AF109" s="4">
        <v>0</v>
      </c>
      <c r="AG109" s="4">
        <v>0</v>
      </c>
      <c r="AH109" s="4">
        <v>2</v>
      </c>
      <c r="AI109" s="4">
        <v>0</v>
      </c>
      <c r="AJ109" s="4">
        <v>0</v>
      </c>
      <c r="AK109" s="4">
        <v>0</v>
      </c>
      <c r="AL109" s="4">
        <v>0</v>
      </c>
      <c r="AM109" s="4">
        <v>1</v>
      </c>
      <c r="AN109" s="4">
        <v>0</v>
      </c>
      <c r="AO109" s="4">
        <v>543</v>
      </c>
      <c r="AP109" s="4">
        <v>0</v>
      </c>
      <c r="AQ109" s="4">
        <v>1</v>
      </c>
      <c r="AR109" s="4">
        <v>544</v>
      </c>
      <c r="AS109" s="4">
        <v>0</v>
      </c>
      <c r="AT109" s="9">
        <v>108</v>
      </c>
      <c r="AU109" s="9" t="s">
        <v>238</v>
      </c>
      <c r="AV109" s="9" t="s">
        <v>239</v>
      </c>
      <c r="AW109" t="s">
        <v>588</v>
      </c>
      <c r="AX109" s="9" t="str">
        <f t="shared" si="57"/>
        <v>1190</v>
      </c>
      <c r="AY109" s="9" t="str">
        <f t="shared" si="55"/>
        <v>663</v>
      </c>
      <c r="AZ109" t="str">
        <f t="shared" si="56"/>
        <v>526</v>
      </c>
    </row>
    <row r="110" spans="1:52" x14ac:dyDescent="0.25">
      <c r="A110" s="4">
        <v>109</v>
      </c>
      <c r="B110" s="4">
        <v>109</v>
      </c>
      <c r="C110" s="4">
        <v>147</v>
      </c>
      <c r="D110" s="4">
        <v>25</v>
      </c>
      <c r="E110" s="4">
        <v>277</v>
      </c>
      <c r="F110" s="4">
        <v>2</v>
      </c>
      <c r="G110" s="4">
        <v>0</v>
      </c>
      <c r="H110" s="4">
        <v>35</v>
      </c>
      <c r="I110" s="4">
        <v>1</v>
      </c>
      <c r="J110" s="4">
        <v>0</v>
      </c>
      <c r="K110" s="4">
        <v>0</v>
      </c>
      <c r="L110" s="4">
        <v>0</v>
      </c>
      <c r="M110" s="4">
        <v>1</v>
      </c>
      <c r="N110" s="4">
        <v>0</v>
      </c>
      <c r="O110" s="4">
        <v>1</v>
      </c>
      <c r="P110" s="4">
        <v>0</v>
      </c>
      <c r="Q110" s="4">
        <v>1</v>
      </c>
      <c r="R110" s="4">
        <v>2</v>
      </c>
      <c r="S110" s="4">
        <v>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2</v>
      </c>
      <c r="AF110" s="4">
        <v>0</v>
      </c>
      <c r="AG110" s="4">
        <v>2</v>
      </c>
      <c r="AH110" s="4">
        <v>1</v>
      </c>
      <c r="AI110" s="4">
        <v>0</v>
      </c>
      <c r="AJ110" s="4">
        <v>0</v>
      </c>
      <c r="AK110" s="4">
        <v>1</v>
      </c>
      <c r="AL110" s="4">
        <v>0</v>
      </c>
      <c r="AM110" s="4">
        <v>0</v>
      </c>
      <c r="AN110" s="4">
        <v>0</v>
      </c>
      <c r="AO110" s="4">
        <v>501</v>
      </c>
      <c r="AP110" s="4">
        <v>0</v>
      </c>
      <c r="AQ110" s="4">
        <v>3</v>
      </c>
      <c r="AR110" s="4">
        <v>504</v>
      </c>
      <c r="AS110" s="4">
        <v>0</v>
      </c>
      <c r="AT110" s="9">
        <v>109</v>
      </c>
      <c r="AU110" s="9" t="s">
        <v>101</v>
      </c>
      <c r="AV110" s="9" t="s">
        <v>101</v>
      </c>
      <c r="AW110" t="s">
        <v>589</v>
      </c>
      <c r="AX110" s="9" t="str">
        <f t="shared" si="57"/>
        <v>1000</v>
      </c>
      <c r="AY110" s="9" t="str">
        <f t="shared" si="55"/>
        <v>550</v>
      </c>
      <c r="AZ110" t="str">
        <f t="shared" si="56"/>
        <v>450</v>
      </c>
    </row>
    <row r="111" spans="1:52" x14ac:dyDescent="0.25">
      <c r="A111" s="4">
        <v>110</v>
      </c>
      <c r="B111" s="4">
        <v>110</v>
      </c>
      <c r="C111" s="4">
        <v>186</v>
      </c>
      <c r="D111" s="4">
        <v>2</v>
      </c>
      <c r="E111" s="4">
        <v>206</v>
      </c>
      <c r="F111" s="4">
        <v>1</v>
      </c>
      <c r="G111" s="4">
        <v>1</v>
      </c>
      <c r="H111" s="4">
        <v>279</v>
      </c>
      <c r="I111" s="4">
        <v>1</v>
      </c>
      <c r="J111" s="4">
        <v>0</v>
      </c>
      <c r="K111" s="4">
        <v>0</v>
      </c>
      <c r="L111" s="4">
        <v>0</v>
      </c>
      <c r="M111" s="4">
        <v>2</v>
      </c>
      <c r="N111" s="4">
        <v>0</v>
      </c>
      <c r="O111" s="4">
        <v>1</v>
      </c>
      <c r="P111" s="4">
        <v>1</v>
      </c>
      <c r="Q111" s="4">
        <v>0</v>
      </c>
      <c r="R111" s="4">
        <v>4</v>
      </c>
      <c r="S111" s="4">
        <v>4</v>
      </c>
      <c r="T111" s="4">
        <v>0</v>
      </c>
      <c r="U111" s="4">
        <v>1</v>
      </c>
      <c r="V111" s="4">
        <v>0</v>
      </c>
      <c r="W111" s="4">
        <v>1</v>
      </c>
      <c r="X111" s="4">
        <v>2</v>
      </c>
      <c r="Y111" s="4">
        <v>2</v>
      </c>
      <c r="Z111" s="4">
        <v>0</v>
      </c>
      <c r="AA111" s="4">
        <v>0</v>
      </c>
      <c r="AB111" s="4">
        <v>1</v>
      </c>
      <c r="AC111" s="4">
        <v>2</v>
      </c>
      <c r="AD111" s="4">
        <v>0</v>
      </c>
      <c r="AE111" s="4">
        <v>1</v>
      </c>
      <c r="AF111" s="4">
        <v>1</v>
      </c>
      <c r="AG111" s="4">
        <v>0</v>
      </c>
      <c r="AH111" s="4">
        <v>2</v>
      </c>
      <c r="AI111" s="4">
        <v>1</v>
      </c>
      <c r="AJ111" s="4">
        <v>0</v>
      </c>
      <c r="AK111" s="4">
        <v>1</v>
      </c>
      <c r="AL111" s="4">
        <v>0</v>
      </c>
      <c r="AM111" s="4">
        <v>0</v>
      </c>
      <c r="AN111" s="4">
        <v>0</v>
      </c>
      <c r="AO111" s="4">
        <v>703</v>
      </c>
      <c r="AP111" s="4">
        <v>0</v>
      </c>
      <c r="AQ111" s="4">
        <v>0</v>
      </c>
      <c r="AR111" s="4">
        <v>703</v>
      </c>
      <c r="AS111" s="4">
        <v>0</v>
      </c>
      <c r="AT111" s="9">
        <v>110</v>
      </c>
      <c r="AU111" s="9" t="s">
        <v>240</v>
      </c>
      <c r="AV111" s="9" t="s">
        <v>101</v>
      </c>
      <c r="AW111" t="s">
        <v>590</v>
      </c>
      <c r="AX111" s="9" t="str">
        <f t="shared" si="57"/>
        <v>1276</v>
      </c>
      <c r="AY111" s="9" t="str">
        <f t="shared" si="55"/>
        <v>696</v>
      </c>
      <c r="AZ111" t="str">
        <f t="shared" si="56"/>
        <v>580</v>
      </c>
    </row>
    <row r="112" spans="1:52" ht="38.25" x14ac:dyDescent="0.25">
      <c r="A112" s="4">
        <v>111</v>
      </c>
      <c r="B112" s="4">
        <v>111</v>
      </c>
      <c r="C112" s="4">
        <v>126</v>
      </c>
      <c r="D112" s="4">
        <v>28</v>
      </c>
      <c r="E112" s="4">
        <v>225</v>
      </c>
      <c r="F112" s="4">
        <v>2</v>
      </c>
      <c r="G112" s="4">
        <v>1</v>
      </c>
      <c r="H112" s="4">
        <v>171</v>
      </c>
      <c r="I112" s="4">
        <v>1</v>
      </c>
      <c r="J112" s="4">
        <v>0</v>
      </c>
      <c r="K112" s="4">
        <v>1</v>
      </c>
      <c r="L112" s="4">
        <v>0</v>
      </c>
      <c r="M112" s="4">
        <v>0</v>
      </c>
      <c r="N112" s="4">
        <v>1</v>
      </c>
      <c r="O112" s="4">
        <v>0</v>
      </c>
      <c r="P112" s="4">
        <v>1</v>
      </c>
      <c r="Q112" s="4">
        <v>0</v>
      </c>
      <c r="R112" s="4">
        <v>2</v>
      </c>
      <c r="S112" s="4">
        <v>0</v>
      </c>
      <c r="T112" s="4">
        <v>1</v>
      </c>
      <c r="U112" s="4">
        <v>1</v>
      </c>
      <c r="V112" s="4">
        <v>0</v>
      </c>
      <c r="W112" s="4">
        <v>1</v>
      </c>
      <c r="X112" s="4">
        <v>0</v>
      </c>
      <c r="Y112" s="4">
        <v>0</v>
      </c>
      <c r="Z112" s="4">
        <v>1</v>
      </c>
      <c r="AA112" s="4">
        <v>0</v>
      </c>
      <c r="AB112" s="4">
        <v>0</v>
      </c>
      <c r="AC112" s="4">
        <v>1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2</v>
      </c>
      <c r="AJ112" s="4">
        <v>0</v>
      </c>
      <c r="AK112" s="4">
        <v>1</v>
      </c>
      <c r="AL112" s="4">
        <v>0</v>
      </c>
      <c r="AM112" s="4">
        <v>0</v>
      </c>
      <c r="AN112" s="4">
        <v>0</v>
      </c>
      <c r="AO112" s="4">
        <v>568</v>
      </c>
      <c r="AP112" s="4">
        <v>0</v>
      </c>
      <c r="AQ112" s="4">
        <v>1</v>
      </c>
      <c r="AR112" s="4">
        <v>569</v>
      </c>
      <c r="AS112" s="4">
        <v>0</v>
      </c>
      <c r="AT112" s="9">
        <v>111</v>
      </c>
      <c r="AU112" s="9" t="s">
        <v>241</v>
      </c>
      <c r="AV112" s="9" t="s">
        <v>242</v>
      </c>
      <c r="AW112" t="s">
        <v>591</v>
      </c>
      <c r="AX112" s="9" t="str">
        <f t="shared" si="57"/>
        <v>1020</v>
      </c>
      <c r="AY112" s="9" t="str">
        <f t="shared" si="55"/>
        <v>549</v>
      </c>
      <c r="AZ112" t="str">
        <f t="shared" si="56"/>
        <v>461</v>
      </c>
    </row>
    <row r="113" spans="1:52" x14ac:dyDescent="0.25">
      <c r="A113" s="4">
        <v>112</v>
      </c>
      <c r="B113" s="4">
        <v>112</v>
      </c>
      <c r="C113" s="4">
        <v>111</v>
      </c>
      <c r="D113" s="4">
        <v>5</v>
      </c>
      <c r="E113" s="4">
        <v>159</v>
      </c>
      <c r="F113" s="4">
        <v>0</v>
      </c>
      <c r="G113" s="4">
        <v>0</v>
      </c>
      <c r="H113" s="4">
        <v>156</v>
      </c>
      <c r="I113" s="4">
        <v>1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  <c r="O113" s="4">
        <v>1</v>
      </c>
      <c r="P113" s="4">
        <v>0</v>
      </c>
      <c r="Q113" s="4">
        <v>0</v>
      </c>
      <c r="R113" s="4">
        <v>1</v>
      </c>
      <c r="S113" s="4">
        <v>0</v>
      </c>
      <c r="T113" s="4">
        <v>0</v>
      </c>
      <c r="U113" s="4">
        <v>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1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439</v>
      </c>
      <c r="AP113" s="4">
        <v>0</v>
      </c>
      <c r="AQ113" s="4">
        <v>0</v>
      </c>
      <c r="AR113" s="4">
        <v>439</v>
      </c>
      <c r="AS113" s="4">
        <v>0</v>
      </c>
      <c r="AT113" s="9">
        <v>112</v>
      </c>
      <c r="AU113" s="9" t="s">
        <v>243</v>
      </c>
      <c r="AV113" s="9" t="s">
        <v>244</v>
      </c>
      <c r="AW113" t="s">
        <v>592</v>
      </c>
      <c r="AX113" s="9" t="str">
        <f t="shared" si="57"/>
        <v>732</v>
      </c>
      <c r="AY113" s="9" t="str">
        <f t="shared" si="55"/>
        <v>394</v>
      </c>
      <c r="AZ113" t="str">
        <f t="shared" si="56"/>
        <v>338</v>
      </c>
    </row>
    <row r="114" spans="1:52" x14ac:dyDescent="0.25">
      <c r="A114" s="4">
        <v>113</v>
      </c>
      <c r="B114" s="4">
        <v>113</v>
      </c>
      <c r="C114" s="4">
        <v>219</v>
      </c>
      <c r="D114" s="4">
        <v>0</v>
      </c>
      <c r="E114" s="4">
        <v>123</v>
      </c>
      <c r="F114" s="4">
        <v>0</v>
      </c>
      <c r="G114" s="4">
        <v>1</v>
      </c>
      <c r="H114" s="4">
        <v>145</v>
      </c>
      <c r="I114" s="4">
        <v>1</v>
      </c>
      <c r="J114" s="4">
        <v>0</v>
      </c>
      <c r="K114" s="4">
        <v>0</v>
      </c>
      <c r="L114" s="4">
        <v>0</v>
      </c>
      <c r="M114" s="4">
        <v>1</v>
      </c>
      <c r="N114" s="4">
        <v>0</v>
      </c>
      <c r="O114" s="4">
        <v>0</v>
      </c>
      <c r="P114" s="4">
        <v>0</v>
      </c>
      <c r="Q114" s="4">
        <v>1</v>
      </c>
      <c r="R114" s="4">
        <v>2</v>
      </c>
      <c r="S114" s="4">
        <v>0</v>
      </c>
      <c r="T114" s="4">
        <v>0</v>
      </c>
      <c r="U114" s="4">
        <v>1</v>
      </c>
      <c r="V114" s="4">
        <v>0</v>
      </c>
      <c r="W114" s="4">
        <v>1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497</v>
      </c>
      <c r="AP114" s="4">
        <v>0</v>
      </c>
      <c r="AQ114" s="4">
        <v>2</v>
      </c>
      <c r="AR114" s="4">
        <v>499</v>
      </c>
      <c r="AS114" s="4">
        <v>0</v>
      </c>
      <c r="AT114" s="9">
        <v>113</v>
      </c>
      <c r="AU114" s="9" t="s">
        <v>245</v>
      </c>
      <c r="AV114" s="9" t="s">
        <v>101</v>
      </c>
      <c r="AW114" t="s">
        <v>593</v>
      </c>
      <c r="AX114" s="9" t="str">
        <f t="shared" si="57"/>
        <v>783</v>
      </c>
      <c r="AY114" s="9" t="str">
        <f t="shared" si="55"/>
        <v>425</v>
      </c>
      <c r="AZ114" t="str">
        <f t="shared" si="56"/>
        <v>357</v>
      </c>
    </row>
    <row r="115" spans="1:52" x14ac:dyDescent="0.25">
      <c r="A115" s="4">
        <v>114</v>
      </c>
      <c r="B115" s="4">
        <v>114</v>
      </c>
      <c r="C115" s="4">
        <v>58</v>
      </c>
      <c r="D115" s="4">
        <v>204</v>
      </c>
      <c r="E115" s="4">
        <v>94</v>
      </c>
      <c r="F115" s="4">
        <v>0</v>
      </c>
      <c r="G115" s="4">
        <v>1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1</v>
      </c>
      <c r="S115" s="4">
        <v>0</v>
      </c>
      <c r="T115" s="4">
        <v>4</v>
      </c>
      <c r="U115" s="4">
        <v>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1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1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369</v>
      </c>
      <c r="AP115" s="4">
        <v>0</v>
      </c>
      <c r="AQ115" s="4">
        <v>0</v>
      </c>
      <c r="AR115" s="4">
        <v>369</v>
      </c>
      <c r="AS115" s="4">
        <v>0</v>
      </c>
      <c r="AT115" s="9">
        <v>114</v>
      </c>
      <c r="AU115" s="9" t="s">
        <v>246</v>
      </c>
      <c r="AV115" s="9" t="s">
        <v>101</v>
      </c>
      <c r="AW115" t="s">
        <v>594</v>
      </c>
      <c r="AX115" s="9" t="str">
        <f t="shared" si="57"/>
        <v>553</v>
      </c>
      <c r="AY115" s="9" t="str">
        <f t="shared" si="55"/>
        <v>293</v>
      </c>
      <c r="AZ115" t="str">
        <f t="shared" si="56"/>
        <v>258</v>
      </c>
    </row>
    <row r="116" spans="1:52" x14ac:dyDescent="0.25">
      <c r="A116" s="4">
        <v>115</v>
      </c>
      <c r="B116" s="4">
        <v>115</v>
      </c>
      <c r="C116" s="4">
        <v>40</v>
      </c>
      <c r="D116" s="4">
        <v>73</v>
      </c>
      <c r="E116" s="4">
        <v>151</v>
      </c>
      <c r="F116" s="4">
        <v>1</v>
      </c>
      <c r="G116" s="4">
        <v>0</v>
      </c>
      <c r="H116" s="4">
        <v>7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272</v>
      </c>
      <c r="AP116" s="4">
        <v>0</v>
      </c>
      <c r="AQ116" s="4">
        <v>0</v>
      </c>
      <c r="AR116" s="4">
        <v>272</v>
      </c>
      <c r="AS116" s="4">
        <v>0</v>
      </c>
      <c r="AT116" s="9">
        <v>115</v>
      </c>
      <c r="AU116" s="9" t="s">
        <v>247</v>
      </c>
      <c r="AV116" s="9" t="s">
        <v>101</v>
      </c>
      <c r="AW116" t="s">
        <v>595</v>
      </c>
      <c r="AX116" s="9" t="str">
        <f t="shared" si="57"/>
        <v>447</v>
      </c>
      <c r="AY116" s="9" t="str">
        <f t="shared" si="55"/>
        <v>226</v>
      </c>
      <c r="AZ116" t="str">
        <f t="shared" si="56"/>
        <v>217</v>
      </c>
    </row>
    <row r="117" spans="1:52" ht="38.25" x14ac:dyDescent="0.25">
      <c r="A117" s="4">
        <v>116</v>
      </c>
      <c r="B117" s="4">
        <v>116</v>
      </c>
      <c r="C117" s="4">
        <v>153</v>
      </c>
      <c r="D117" s="4">
        <v>40</v>
      </c>
      <c r="E117" s="4">
        <v>159</v>
      </c>
      <c r="F117" s="4">
        <v>0</v>
      </c>
      <c r="G117" s="4">
        <v>1</v>
      </c>
      <c r="H117" s="4">
        <v>83</v>
      </c>
      <c r="I117" s="4">
        <v>1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1</v>
      </c>
      <c r="Q117" s="4">
        <v>0</v>
      </c>
      <c r="R117" s="4">
        <v>0</v>
      </c>
      <c r="S117" s="4">
        <v>0</v>
      </c>
      <c r="T117" s="4">
        <v>0</v>
      </c>
      <c r="U117" s="4">
        <v>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1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440</v>
      </c>
      <c r="AP117" s="4">
        <v>0</v>
      </c>
      <c r="AQ117" s="4">
        <v>0</v>
      </c>
      <c r="AR117" s="4">
        <v>440</v>
      </c>
      <c r="AS117" s="4">
        <v>0</v>
      </c>
      <c r="AT117" s="9">
        <v>116</v>
      </c>
      <c r="AU117" s="9" t="s">
        <v>248</v>
      </c>
      <c r="AV117" s="9" t="s">
        <v>249</v>
      </c>
      <c r="AW117" t="s">
        <v>596</v>
      </c>
      <c r="AX117" s="9" t="str">
        <f t="shared" si="57"/>
        <v>708</v>
      </c>
      <c r="AY117" s="9" t="str">
        <f t="shared" si="55"/>
        <v>374</v>
      </c>
      <c r="AZ117" t="str">
        <f t="shared" si="56"/>
        <v>330</v>
      </c>
    </row>
    <row r="118" spans="1:52" x14ac:dyDescent="0.25">
      <c r="A118" s="4">
        <v>117</v>
      </c>
      <c r="B118" s="4">
        <v>117</v>
      </c>
      <c r="C118" s="4">
        <v>152</v>
      </c>
      <c r="D118" s="4">
        <v>1</v>
      </c>
      <c r="E118" s="4">
        <v>355</v>
      </c>
      <c r="F118" s="4">
        <v>3</v>
      </c>
      <c r="G118" s="4">
        <v>0</v>
      </c>
      <c r="H118" s="4">
        <v>167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1</v>
      </c>
      <c r="V118" s="4">
        <v>0</v>
      </c>
      <c r="W118" s="4">
        <v>1</v>
      </c>
      <c r="X118" s="4">
        <v>1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683</v>
      </c>
      <c r="AP118" s="4">
        <v>0</v>
      </c>
      <c r="AQ118" s="4">
        <v>0</v>
      </c>
      <c r="AR118" s="4">
        <v>683</v>
      </c>
      <c r="AS118" s="4">
        <v>0</v>
      </c>
      <c r="AT118" s="9">
        <v>117</v>
      </c>
      <c r="AU118" s="9" t="s">
        <v>250</v>
      </c>
      <c r="AV118" s="9" t="s">
        <v>101</v>
      </c>
      <c r="AW118" t="s">
        <v>597</v>
      </c>
      <c r="AX118" s="9" t="str">
        <f t="shared" si="57"/>
        <v>1106</v>
      </c>
      <c r="AY118" s="9" t="str">
        <f t="shared" ref="AY118:AY141" si="58">TRIM(MID(AW118,FIND(" ",AW118)+1,FIND(" ",AW118,FIND(" ",AW118)+1)-FIND(" ",AW118)-1))</f>
        <v>605</v>
      </c>
      <c r="AZ118" t="str">
        <f t="shared" ref="AZ118:AZ141" si="59">TRIM(RIGHT(AW118,LEN(AW118)-FIND("~",SUBSTITUTE(AW118," ","~",2))))</f>
        <v>499</v>
      </c>
    </row>
    <row r="119" spans="1:52" x14ac:dyDescent="0.25">
      <c r="A119" s="4">
        <v>118</v>
      </c>
      <c r="B119" s="4">
        <v>118</v>
      </c>
      <c r="C119" s="4">
        <v>100</v>
      </c>
      <c r="D119" s="4">
        <v>362</v>
      </c>
      <c r="E119" s="4">
        <v>315</v>
      </c>
      <c r="F119" s="4">
        <v>3</v>
      </c>
      <c r="G119" s="4">
        <v>0</v>
      </c>
      <c r="H119" s="4">
        <v>119</v>
      </c>
      <c r="I119" s="4">
        <v>0</v>
      </c>
      <c r="J119" s="4">
        <v>0</v>
      </c>
      <c r="K119" s="4">
        <v>0</v>
      </c>
      <c r="L119" s="4">
        <v>2</v>
      </c>
      <c r="M119" s="4">
        <v>1</v>
      </c>
      <c r="N119" s="4">
        <v>1</v>
      </c>
      <c r="O119" s="4">
        <v>0</v>
      </c>
      <c r="P119" s="4">
        <v>3</v>
      </c>
      <c r="Q119" s="4">
        <v>0</v>
      </c>
      <c r="R119" s="4">
        <v>1</v>
      </c>
      <c r="S119" s="4">
        <v>0</v>
      </c>
      <c r="T119" s="4">
        <v>3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1</v>
      </c>
      <c r="AC119" s="4">
        <v>4</v>
      </c>
      <c r="AD119" s="4">
        <v>0</v>
      </c>
      <c r="AE119" s="4">
        <v>1</v>
      </c>
      <c r="AF119" s="4">
        <v>0</v>
      </c>
      <c r="AG119" s="4">
        <v>0</v>
      </c>
      <c r="AH119" s="4">
        <v>0</v>
      </c>
      <c r="AI119" s="4">
        <v>0</v>
      </c>
      <c r="AJ119" s="4">
        <v>1</v>
      </c>
      <c r="AK119" s="4">
        <v>1</v>
      </c>
      <c r="AL119" s="4">
        <v>0</v>
      </c>
      <c r="AM119" s="4">
        <v>0</v>
      </c>
      <c r="AN119" s="4">
        <v>0</v>
      </c>
      <c r="AO119" s="4">
        <v>919</v>
      </c>
      <c r="AP119" s="4">
        <v>0</v>
      </c>
      <c r="AQ119" s="4">
        <v>0</v>
      </c>
      <c r="AR119" s="4">
        <v>919</v>
      </c>
      <c r="AS119" s="4">
        <v>0</v>
      </c>
      <c r="AT119" s="9">
        <v>118</v>
      </c>
      <c r="AU119" s="9" t="s">
        <v>251</v>
      </c>
      <c r="AV119" s="9" t="s">
        <v>101</v>
      </c>
      <c r="AW119" t="s">
        <v>598</v>
      </c>
      <c r="AX119" s="9" t="str">
        <f t="shared" si="57"/>
        <v>1370</v>
      </c>
      <c r="AY119" s="9" t="str">
        <f t="shared" si="58"/>
        <v>746</v>
      </c>
      <c r="AZ119" t="str">
        <f t="shared" si="59"/>
        <v>624</v>
      </c>
    </row>
    <row r="120" spans="1:52" ht="38.25" x14ac:dyDescent="0.25">
      <c r="A120" s="4">
        <v>119</v>
      </c>
      <c r="B120" s="4">
        <v>119</v>
      </c>
      <c r="C120" s="4">
        <v>153</v>
      </c>
      <c r="D120" s="4">
        <v>9</v>
      </c>
      <c r="E120" s="4">
        <v>359</v>
      </c>
      <c r="F120" s="4">
        <v>0</v>
      </c>
      <c r="G120" s="4">
        <v>1</v>
      </c>
      <c r="H120" s="4">
        <v>144</v>
      </c>
      <c r="I120" s="4">
        <v>1</v>
      </c>
      <c r="J120" s="4">
        <v>0</v>
      </c>
      <c r="K120" s="4">
        <v>0</v>
      </c>
      <c r="L120" s="4">
        <v>0</v>
      </c>
      <c r="M120" s="4">
        <v>0</v>
      </c>
      <c r="N120" s="4">
        <v>1</v>
      </c>
      <c r="O120" s="4">
        <v>0</v>
      </c>
      <c r="P120" s="4">
        <v>0</v>
      </c>
      <c r="Q120" s="4">
        <v>0</v>
      </c>
      <c r="R120" s="4">
        <v>2</v>
      </c>
      <c r="S120" s="4">
        <v>2</v>
      </c>
      <c r="T120" s="4">
        <v>2</v>
      </c>
      <c r="U120" s="4">
        <v>2</v>
      </c>
      <c r="V120" s="4">
        <v>0</v>
      </c>
      <c r="W120" s="4">
        <v>0</v>
      </c>
      <c r="X120" s="4">
        <v>1</v>
      </c>
      <c r="Y120" s="4">
        <v>0</v>
      </c>
      <c r="Z120" s="4">
        <v>0</v>
      </c>
      <c r="AA120" s="4">
        <v>0</v>
      </c>
      <c r="AB120" s="4">
        <v>0</v>
      </c>
      <c r="AC120" s="4">
        <v>2</v>
      </c>
      <c r="AD120" s="4">
        <v>1</v>
      </c>
      <c r="AE120" s="4">
        <v>0</v>
      </c>
      <c r="AF120" s="4">
        <v>0</v>
      </c>
      <c r="AG120" s="4">
        <v>1</v>
      </c>
      <c r="AH120" s="4">
        <v>3</v>
      </c>
      <c r="AI120" s="4">
        <v>2</v>
      </c>
      <c r="AJ120" s="4">
        <v>0</v>
      </c>
      <c r="AK120" s="4">
        <v>0</v>
      </c>
      <c r="AL120" s="4">
        <v>0</v>
      </c>
      <c r="AM120" s="4">
        <v>5</v>
      </c>
      <c r="AN120" s="4">
        <v>0</v>
      </c>
      <c r="AO120" s="4">
        <v>691</v>
      </c>
      <c r="AP120" s="4">
        <v>0</v>
      </c>
      <c r="AQ120" s="4">
        <v>0</v>
      </c>
      <c r="AR120" s="4">
        <v>691</v>
      </c>
      <c r="AS120" s="4">
        <v>0</v>
      </c>
      <c r="AT120" s="9">
        <v>119</v>
      </c>
      <c r="AU120" s="9" t="s">
        <v>252</v>
      </c>
      <c r="AV120" s="9" t="s">
        <v>253</v>
      </c>
      <c r="AW120" t="s">
        <v>599</v>
      </c>
      <c r="AX120" s="9" t="str">
        <f t="shared" si="57"/>
        <v>1236</v>
      </c>
      <c r="AY120" s="9" t="str">
        <f t="shared" si="58"/>
        <v>698</v>
      </c>
      <c r="AZ120" t="str">
        <f t="shared" si="59"/>
        <v>533</v>
      </c>
    </row>
    <row r="121" spans="1:52" ht="38.25" x14ac:dyDescent="0.25">
      <c r="A121" s="4">
        <v>120</v>
      </c>
      <c r="B121" s="4">
        <v>120</v>
      </c>
      <c r="C121" s="4">
        <v>158</v>
      </c>
      <c r="D121" s="4">
        <v>11</v>
      </c>
      <c r="E121" s="4">
        <v>245</v>
      </c>
      <c r="F121" s="4">
        <v>2</v>
      </c>
      <c r="G121" s="4">
        <v>1</v>
      </c>
      <c r="H121" s="4">
        <v>336</v>
      </c>
      <c r="I121" s="4">
        <v>3</v>
      </c>
      <c r="J121" s="4">
        <v>0</v>
      </c>
      <c r="K121" s="4">
        <v>0</v>
      </c>
      <c r="L121" s="4">
        <v>0</v>
      </c>
      <c r="M121" s="4">
        <v>1</v>
      </c>
      <c r="N121" s="4">
        <v>3</v>
      </c>
      <c r="O121" s="4">
        <v>0</v>
      </c>
      <c r="P121" s="4">
        <v>0</v>
      </c>
      <c r="Q121" s="4">
        <v>1</v>
      </c>
      <c r="R121" s="4">
        <v>3</v>
      </c>
      <c r="S121" s="4">
        <v>0</v>
      </c>
      <c r="T121" s="4">
        <v>1</v>
      </c>
      <c r="U121" s="4">
        <v>0</v>
      </c>
      <c r="V121" s="4">
        <v>0</v>
      </c>
      <c r="W121" s="4">
        <v>4</v>
      </c>
      <c r="X121" s="4">
        <v>1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3</v>
      </c>
      <c r="AI121" s="4">
        <v>1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775</v>
      </c>
      <c r="AP121" s="4">
        <v>0</v>
      </c>
      <c r="AQ121" s="4">
        <v>1</v>
      </c>
      <c r="AR121" s="4">
        <v>776</v>
      </c>
      <c r="AS121" s="4">
        <v>0</v>
      </c>
      <c r="AT121" s="9">
        <v>120</v>
      </c>
      <c r="AU121" s="9" t="s">
        <v>254</v>
      </c>
      <c r="AV121" s="9" t="s">
        <v>253</v>
      </c>
      <c r="AW121" t="s">
        <v>600</v>
      </c>
      <c r="AX121" s="9" t="str">
        <f t="shared" si="57"/>
        <v>1284</v>
      </c>
      <c r="AY121" s="9" t="str">
        <f t="shared" si="58"/>
        <v>725</v>
      </c>
      <c r="AZ121" t="str">
        <f t="shared" si="59"/>
        <v>559</v>
      </c>
    </row>
    <row r="122" spans="1:52" x14ac:dyDescent="0.25">
      <c r="A122" s="4">
        <v>121</v>
      </c>
      <c r="B122" s="4">
        <v>121</v>
      </c>
      <c r="C122" s="4">
        <v>159</v>
      </c>
      <c r="D122" s="4">
        <v>6</v>
      </c>
      <c r="E122" s="4">
        <v>376</v>
      </c>
      <c r="F122" s="4">
        <v>3</v>
      </c>
      <c r="G122" s="4">
        <v>0</v>
      </c>
      <c r="H122" s="4">
        <v>28</v>
      </c>
      <c r="I122" s="4">
        <v>0</v>
      </c>
      <c r="J122" s="4">
        <v>0</v>
      </c>
      <c r="K122" s="4">
        <v>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2</v>
      </c>
      <c r="AJ122" s="4">
        <v>0</v>
      </c>
      <c r="AK122" s="4">
        <v>1</v>
      </c>
      <c r="AL122" s="4">
        <v>0</v>
      </c>
      <c r="AM122" s="4">
        <v>0</v>
      </c>
      <c r="AN122" s="4">
        <v>0</v>
      </c>
      <c r="AO122" s="4">
        <v>576</v>
      </c>
      <c r="AP122" s="4">
        <v>0</v>
      </c>
      <c r="AQ122" s="4">
        <v>0</v>
      </c>
      <c r="AR122" s="4">
        <v>576</v>
      </c>
      <c r="AS122" s="4">
        <v>0</v>
      </c>
      <c r="AT122" s="9">
        <v>121</v>
      </c>
      <c r="AU122" s="9" t="s">
        <v>255</v>
      </c>
      <c r="AV122" s="9" t="s">
        <v>256</v>
      </c>
      <c r="AW122" t="s">
        <v>601</v>
      </c>
      <c r="AX122" s="9" t="str">
        <f t="shared" si="57"/>
        <v>880</v>
      </c>
      <c r="AY122" s="9" t="str">
        <f t="shared" si="58"/>
        <v>482</v>
      </c>
      <c r="AZ122" t="str">
        <f t="shared" si="59"/>
        <v>393</v>
      </c>
    </row>
    <row r="123" spans="1:52" x14ac:dyDescent="0.25">
      <c r="A123" s="4">
        <v>122</v>
      </c>
      <c r="B123" s="4">
        <v>122</v>
      </c>
      <c r="C123" s="4">
        <v>353</v>
      </c>
      <c r="D123" s="4">
        <v>11</v>
      </c>
      <c r="E123" s="4">
        <v>155</v>
      </c>
      <c r="F123" s="4">
        <v>2</v>
      </c>
      <c r="G123" s="4">
        <v>1</v>
      </c>
      <c r="H123" s="4">
        <v>23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2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</v>
      </c>
      <c r="AD123" s="4">
        <v>0</v>
      </c>
      <c r="AE123" s="4">
        <v>0</v>
      </c>
      <c r="AF123" s="4">
        <v>0</v>
      </c>
      <c r="AG123" s="4">
        <v>0</v>
      </c>
      <c r="AH123" s="4">
        <v>1</v>
      </c>
      <c r="AI123" s="4">
        <v>0</v>
      </c>
      <c r="AJ123" s="4">
        <v>0</v>
      </c>
      <c r="AK123" s="4">
        <v>1</v>
      </c>
      <c r="AL123" s="4">
        <v>1</v>
      </c>
      <c r="AM123" s="4">
        <v>0</v>
      </c>
      <c r="AN123" s="4">
        <v>0</v>
      </c>
      <c r="AO123" s="4">
        <v>552</v>
      </c>
      <c r="AP123" s="4">
        <v>0</v>
      </c>
      <c r="AQ123" s="4">
        <v>0</v>
      </c>
      <c r="AR123" s="4">
        <v>552</v>
      </c>
      <c r="AS123" s="4">
        <v>0</v>
      </c>
      <c r="AT123" s="9">
        <v>122</v>
      </c>
      <c r="AU123" s="9" t="s">
        <v>257</v>
      </c>
      <c r="AV123" s="9" t="s">
        <v>258</v>
      </c>
      <c r="AW123" t="s">
        <v>602</v>
      </c>
      <c r="AX123" s="9" t="str">
        <f t="shared" si="57"/>
        <v>907</v>
      </c>
      <c r="AY123" s="9" t="str">
        <f t="shared" si="58"/>
        <v>491</v>
      </c>
      <c r="AZ123" t="str">
        <f t="shared" si="59"/>
        <v>414</v>
      </c>
    </row>
    <row r="124" spans="1:52" x14ac:dyDescent="0.25">
      <c r="A124" s="4">
        <v>123</v>
      </c>
      <c r="B124" s="4">
        <v>123</v>
      </c>
      <c r="C124" s="4">
        <v>80</v>
      </c>
      <c r="D124" s="4">
        <v>3</v>
      </c>
      <c r="E124" s="4">
        <v>175</v>
      </c>
      <c r="F124" s="4">
        <v>1</v>
      </c>
      <c r="G124" s="4">
        <v>0</v>
      </c>
      <c r="H124" s="4">
        <v>17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1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0</v>
      </c>
      <c r="Z124" s="4">
        <v>1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</v>
      </c>
      <c r="AG124" s="4">
        <v>0</v>
      </c>
      <c r="AH124" s="4">
        <v>0</v>
      </c>
      <c r="AI124" s="4">
        <v>0</v>
      </c>
      <c r="AJ124" s="4">
        <v>1</v>
      </c>
      <c r="AK124" s="4">
        <v>1</v>
      </c>
      <c r="AL124" s="4">
        <v>0</v>
      </c>
      <c r="AM124" s="4">
        <v>0</v>
      </c>
      <c r="AN124" s="4">
        <v>0</v>
      </c>
      <c r="AO124" s="4">
        <v>283</v>
      </c>
      <c r="AP124" s="4">
        <v>0</v>
      </c>
      <c r="AQ124" s="4">
        <v>1</v>
      </c>
      <c r="AR124" s="4">
        <v>284</v>
      </c>
      <c r="AS124" s="4">
        <v>0</v>
      </c>
      <c r="AT124" s="9">
        <v>123</v>
      </c>
      <c r="AU124" s="9" t="s">
        <v>259</v>
      </c>
      <c r="AV124" s="9" t="s">
        <v>260</v>
      </c>
      <c r="AW124" t="s">
        <v>603</v>
      </c>
      <c r="AX124" s="9" t="str">
        <f t="shared" si="57"/>
        <v>610</v>
      </c>
      <c r="AY124" s="9" t="str">
        <f t="shared" si="58"/>
        <v>340</v>
      </c>
      <c r="AZ124" t="str">
        <f t="shared" si="59"/>
        <v>268</v>
      </c>
    </row>
    <row r="125" spans="1:52" x14ac:dyDescent="0.25">
      <c r="A125" s="4">
        <v>124</v>
      </c>
      <c r="B125" s="4">
        <v>124</v>
      </c>
      <c r="C125" s="4">
        <v>348</v>
      </c>
      <c r="D125" s="4">
        <v>2</v>
      </c>
      <c r="E125" s="4">
        <v>88</v>
      </c>
      <c r="F125" s="4">
        <v>0</v>
      </c>
      <c r="G125" s="4">
        <v>1</v>
      </c>
      <c r="H125" s="4">
        <v>24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2</v>
      </c>
      <c r="P125" s="4">
        <v>0</v>
      </c>
      <c r="Q125" s="4">
        <v>0</v>
      </c>
      <c r="R125" s="4">
        <v>3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</v>
      </c>
      <c r="AC125" s="4">
        <v>1</v>
      </c>
      <c r="AD125" s="4">
        <v>0</v>
      </c>
      <c r="AE125" s="4">
        <v>0</v>
      </c>
      <c r="AF125" s="4">
        <v>1</v>
      </c>
      <c r="AG125" s="4">
        <v>0</v>
      </c>
      <c r="AH125" s="4">
        <v>0</v>
      </c>
      <c r="AI125" s="4">
        <v>0</v>
      </c>
      <c r="AJ125" s="4">
        <v>0</v>
      </c>
      <c r="AK125" s="4">
        <v>1</v>
      </c>
      <c r="AL125" s="4">
        <v>0</v>
      </c>
      <c r="AM125" s="4">
        <v>0</v>
      </c>
      <c r="AN125" s="4">
        <v>0</v>
      </c>
      <c r="AO125" s="4">
        <v>473</v>
      </c>
      <c r="AP125" s="4">
        <v>0</v>
      </c>
      <c r="AQ125" s="4">
        <v>0</v>
      </c>
      <c r="AR125" s="4">
        <v>473</v>
      </c>
      <c r="AS125" s="4">
        <v>0</v>
      </c>
      <c r="AT125" s="9">
        <v>124</v>
      </c>
      <c r="AU125" s="9" t="s">
        <v>261</v>
      </c>
      <c r="AV125" s="9" t="s">
        <v>101</v>
      </c>
      <c r="AW125" t="s">
        <v>604</v>
      </c>
      <c r="AX125" s="9" t="str">
        <f t="shared" si="57"/>
        <v>869</v>
      </c>
      <c r="AY125" s="9" t="str">
        <f t="shared" si="58"/>
        <v>461</v>
      </c>
      <c r="AZ125" t="str">
        <f t="shared" si="59"/>
        <v>402</v>
      </c>
    </row>
    <row r="126" spans="1:52" ht="25.5" x14ac:dyDescent="0.25">
      <c r="A126" s="4">
        <v>125</v>
      </c>
      <c r="B126" s="4">
        <v>125</v>
      </c>
      <c r="C126" s="4">
        <v>243</v>
      </c>
      <c r="D126" s="4">
        <v>2</v>
      </c>
      <c r="E126" s="4">
        <v>25</v>
      </c>
      <c r="F126" s="4">
        <v>0</v>
      </c>
      <c r="G126" s="4">
        <v>0</v>
      </c>
      <c r="H126" s="4">
        <v>53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4</v>
      </c>
      <c r="S126" s="4">
        <v>3</v>
      </c>
      <c r="T126" s="4">
        <v>1</v>
      </c>
      <c r="U126" s="4">
        <v>0</v>
      </c>
      <c r="V126" s="4">
        <v>0</v>
      </c>
      <c r="W126" s="4">
        <v>0</v>
      </c>
      <c r="X126" s="4">
        <v>0</v>
      </c>
      <c r="Y126" s="4">
        <v>1</v>
      </c>
      <c r="Z126" s="4">
        <v>0</v>
      </c>
      <c r="AA126" s="4">
        <v>0</v>
      </c>
      <c r="AB126" s="4">
        <v>0</v>
      </c>
      <c r="AC126" s="4">
        <v>1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1</v>
      </c>
      <c r="AL126" s="4">
        <v>0</v>
      </c>
      <c r="AM126" s="4">
        <v>0</v>
      </c>
      <c r="AN126" s="4">
        <v>0</v>
      </c>
      <c r="AO126" s="4">
        <v>335</v>
      </c>
      <c r="AP126" s="4">
        <v>0</v>
      </c>
      <c r="AQ126" s="4">
        <v>1</v>
      </c>
      <c r="AR126" s="4">
        <v>336</v>
      </c>
      <c r="AS126" s="4">
        <v>0</v>
      </c>
      <c r="AT126" s="9">
        <v>125</v>
      </c>
      <c r="AU126" s="9" t="s">
        <v>262</v>
      </c>
      <c r="AV126" s="9" t="s">
        <v>263</v>
      </c>
      <c r="AW126" t="s">
        <v>605</v>
      </c>
      <c r="AX126" s="9" t="str">
        <f t="shared" si="57"/>
        <v>604</v>
      </c>
      <c r="AY126" s="9" t="str">
        <f t="shared" si="58"/>
        <v>317</v>
      </c>
      <c r="AZ126" t="str">
        <f t="shared" si="59"/>
        <v>282</v>
      </c>
    </row>
    <row r="127" spans="1:52" x14ac:dyDescent="0.25">
      <c r="A127" s="4">
        <v>126</v>
      </c>
      <c r="B127" s="4">
        <v>126</v>
      </c>
      <c r="C127" s="4">
        <v>238</v>
      </c>
      <c r="D127" s="4">
        <v>0</v>
      </c>
      <c r="E127" s="4">
        <v>93</v>
      </c>
      <c r="F127" s="4">
        <v>0</v>
      </c>
      <c r="G127" s="4">
        <v>0</v>
      </c>
      <c r="H127" s="4">
        <v>119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1</v>
      </c>
      <c r="O127" s="4">
        <v>0</v>
      </c>
      <c r="P127" s="4">
        <v>2</v>
      </c>
      <c r="Q127" s="4">
        <v>0</v>
      </c>
      <c r="R127" s="4">
        <v>0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3</v>
      </c>
      <c r="AI127" s="4">
        <v>0</v>
      </c>
      <c r="AJ127" s="4">
        <v>1</v>
      </c>
      <c r="AK127" s="4">
        <v>0</v>
      </c>
      <c r="AL127" s="4">
        <v>0</v>
      </c>
      <c r="AM127" s="4">
        <v>0</v>
      </c>
      <c r="AN127" s="4">
        <v>0</v>
      </c>
      <c r="AO127" s="4">
        <v>458</v>
      </c>
      <c r="AP127" s="4">
        <v>0</v>
      </c>
      <c r="AQ127" s="4">
        <v>1</v>
      </c>
      <c r="AR127" s="4">
        <v>459</v>
      </c>
      <c r="AS127" s="4">
        <v>0</v>
      </c>
      <c r="AT127" s="9">
        <v>126</v>
      </c>
      <c r="AU127" s="9" t="s">
        <v>264</v>
      </c>
      <c r="AV127" s="9" t="s">
        <v>265</v>
      </c>
      <c r="AW127" t="s">
        <v>606</v>
      </c>
      <c r="AX127" s="9" t="str">
        <f t="shared" si="57"/>
        <v>877</v>
      </c>
      <c r="AY127" s="9" t="str">
        <f t="shared" si="58"/>
        <v>446</v>
      </c>
      <c r="AZ127" t="str">
        <f t="shared" si="59"/>
        <v>428</v>
      </c>
    </row>
    <row r="128" spans="1:52" x14ac:dyDescent="0.25">
      <c r="A128" s="4">
        <v>127</v>
      </c>
      <c r="B128" s="4">
        <v>127</v>
      </c>
      <c r="C128" s="4">
        <v>91</v>
      </c>
      <c r="D128" s="4">
        <v>255</v>
      </c>
      <c r="E128" s="4">
        <v>168</v>
      </c>
      <c r="F128" s="4">
        <v>1</v>
      </c>
      <c r="G128" s="4">
        <v>1</v>
      </c>
      <c r="H128" s="4">
        <v>11</v>
      </c>
      <c r="I128" s="4">
        <v>0</v>
      </c>
      <c r="J128" s="4">
        <v>0</v>
      </c>
      <c r="K128" s="4">
        <v>1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1</v>
      </c>
      <c r="R128" s="4">
        <v>4</v>
      </c>
      <c r="S128" s="4">
        <v>0</v>
      </c>
      <c r="T128" s="4">
        <v>2</v>
      </c>
      <c r="U128" s="4">
        <v>4</v>
      </c>
      <c r="V128" s="4">
        <v>0</v>
      </c>
      <c r="W128" s="4">
        <v>3</v>
      </c>
      <c r="X128" s="4">
        <v>0</v>
      </c>
      <c r="Y128" s="4">
        <v>0</v>
      </c>
      <c r="Z128" s="4">
        <v>0</v>
      </c>
      <c r="AA128" s="4">
        <v>0</v>
      </c>
      <c r="AB128" s="4">
        <v>1</v>
      </c>
      <c r="AC128" s="4">
        <v>6</v>
      </c>
      <c r="AD128" s="4">
        <v>0</v>
      </c>
      <c r="AE128" s="4">
        <v>1</v>
      </c>
      <c r="AF128" s="4">
        <v>1</v>
      </c>
      <c r="AG128" s="4">
        <v>2</v>
      </c>
      <c r="AH128" s="4">
        <v>2</v>
      </c>
      <c r="AI128" s="4">
        <v>1</v>
      </c>
      <c r="AJ128" s="4">
        <v>1</v>
      </c>
      <c r="AK128" s="4">
        <v>0</v>
      </c>
      <c r="AL128" s="4">
        <v>0</v>
      </c>
      <c r="AM128" s="4">
        <v>0</v>
      </c>
      <c r="AN128" s="4">
        <v>0</v>
      </c>
      <c r="AO128" s="4">
        <v>557</v>
      </c>
      <c r="AP128" s="4">
        <v>0</v>
      </c>
      <c r="AQ128" s="4">
        <v>1</v>
      </c>
      <c r="AR128" s="4">
        <v>558</v>
      </c>
      <c r="AS128" s="4">
        <v>0</v>
      </c>
      <c r="AT128" s="9">
        <v>127</v>
      </c>
      <c r="AU128" s="9" t="s">
        <v>266</v>
      </c>
      <c r="AV128" s="9" t="s">
        <v>101</v>
      </c>
      <c r="AW128" t="s">
        <v>607</v>
      </c>
      <c r="AX128" s="9" t="str">
        <f t="shared" si="57"/>
        <v>910</v>
      </c>
      <c r="AY128" s="9" t="str">
        <f t="shared" si="58"/>
        <v>490</v>
      </c>
      <c r="AZ128" t="str">
        <f t="shared" si="59"/>
        <v>419</v>
      </c>
    </row>
    <row r="129" spans="1:52" ht="25.5" x14ac:dyDescent="0.25">
      <c r="A129" s="4">
        <v>128</v>
      </c>
      <c r="B129" s="4">
        <v>128</v>
      </c>
      <c r="C129" s="4">
        <v>59</v>
      </c>
      <c r="D129" s="4">
        <v>23</v>
      </c>
      <c r="E129" s="4">
        <v>215</v>
      </c>
      <c r="F129" s="4">
        <v>0</v>
      </c>
      <c r="G129" s="4">
        <v>1</v>
      </c>
      <c r="H129" s="4">
        <v>5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304</v>
      </c>
      <c r="AP129" s="4">
        <v>0</v>
      </c>
      <c r="AQ129" s="4">
        <v>1</v>
      </c>
      <c r="AR129" s="4">
        <v>305</v>
      </c>
      <c r="AS129" s="4">
        <v>0</v>
      </c>
      <c r="AT129" s="9">
        <v>128</v>
      </c>
      <c r="AU129" s="9" t="s">
        <v>267</v>
      </c>
      <c r="AV129" s="9" t="s">
        <v>268</v>
      </c>
      <c r="AW129" t="s">
        <v>608</v>
      </c>
      <c r="AX129" s="9" t="str">
        <f t="shared" si="57"/>
        <v>454</v>
      </c>
      <c r="AY129" s="9" t="str">
        <f t="shared" si="58"/>
        <v>240</v>
      </c>
      <c r="AZ129" t="str">
        <f t="shared" si="59"/>
        <v>214</v>
      </c>
    </row>
    <row r="130" spans="1:52" x14ac:dyDescent="0.25">
      <c r="A130" s="4">
        <v>129</v>
      </c>
      <c r="B130" s="4">
        <v>129</v>
      </c>
      <c r="C130" s="4">
        <v>131</v>
      </c>
      <c r="D130" s="4">
        <v>0</v>
      </c>
      <c r="E130" s="4">
        <v>114</v>
      </c>
      <c r="F130" s="4">
        <v>0</v>
      </c>
      <c r="G130" s="4">
        <v>0</v>
      </c>
      <c r="H130" s="4">
        <v>51</v>
      </c>
      <c r="I130" s="4">
        <v>0</v>
      </c>
      <c r="J130" s="4">
        <v>0</v>
      </c>
      <c r="K130" s="4">
        <v>0</v>
      </c>
      <c r="L130" s="4">
        <v>0</v>
      </c>
      <c r="M130" s="4">
        <v>1</v>
      </c>
      <c r="N130" s="4">
        <v>1</v>
      </c>
      <c r="O130" s="4">
        <v>0</v>
      </c>
      <c r="P130" s="4">
        <v>0</v>
      </c>
      <c r="Q130" s="4">
        <v>0</v>
      </c>
      <c r="R130" s="4">
        <v>0</v>
      </c>
      <c r="S130" s="4">
        <v>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</v>
      </c>
      <c r="AE130" s="4">
        <v>1</v>
      </c>
      <c r="AF130" s="4">
        <v>0</v>
      </c>
      <c r="AG130" s="4">
        <v>0</v>
      </c>
      <c r="AH130" s="4">
        <v>0</v>
      </c>
      <c r="AI130" s="4">
        <v>1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303</v>
      </c>
      <c r="AP130" s="4">
        <v>0</v>
      </c>
      <c r="AQ130" s="4">
        <v>0</v>
      </c>
      <c r="AR130" s="4">
        <v>303</v>
      </c>
      <c r="AS130" s="4">
        <v>0</v>
      </c>
      <c r="AT130" s="9">
        <v>129</v>
      </c>
      <c r="AU130" s="9" t="s">
        <v>269</v>
      </c>
      <c r="AV130" s="9" t="s">
        <v>270</v>
      </c>
      <c r="AW130" t="s">
        <v>609</v>
      </c>
      <c r="AX130" s="9" t="str">
        <f t="shared" si="57"/>
        <v>484</v>
      </c>
      <c r="AY130" s="9" t="str">
        <f t="shared" si="58"/>
        <v>253</v>
      </c>
      <c r="AZ130" t="str">
        <f t="shared" si="59"/>
        <v>225</v>
      </c>
    </row>
    <row r="131" spans="1:52" x14ac:dyDescent="0.25">
      <c r="A131" s="4">
        <v>130</v>
      </c>
      <c r="B131" s="4">
        <v>130</v>
      </c>
      <c r="C131" s="4">
        <v>133</v>
      </c>
      <c r="D131" s="4">
        <v>144</v>
      </c>
      <c r="E131" s="4">
        <v>240</v>
      </c>
      <c r="F131" s="4">
        <v>8</v>
      </c>
      <c r="G131" s="4">
        <v>1</v>
      </c>
      <c r="H131" s="4">
        <v>2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>
        <v>1</v>
      </c>
      <c r="P131" s="4">
        <v>0</v>
      </c>
      <c r="Q131" s="4">
        <v>0</v>
      </c>
      <c r="R131" s="4">
        <v>5</v>
      </c>
      <c r="S131" s="4">
        <v>0</v>
      </c>
      <c r="T131" s="4">
        <v>0</v>
      </c>
      <c r="U131" s="4">
        <v>0</v>
      </c>
      <c r="V131" s="4">
        <v>2</v>
      </c>
      <c r="W131" s="4">
        <v>0</v>
      </c>
      <c r="X131" s="4">
        <v>0</v>
      </c>
      <c r="Y131" s="4">
        <v>0</v>
      </c>
      <c r="Z131" s="4">
        <v>1</v>
      </c>
      <c r="AA131" s="4">
        <v>0</v>
      </c>
      <c r="AB131" s="4">
        <v>0</v>
      </c>
      <c r="AC131" s="4">
        <v>2</v>
      </c>
      <c r="AD131" s="4">
        <v>0</v>
      </c>
      <c r="AE131" s="4">
        <v>1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1</v>
      </c>
      <c r="AM131" s="4">
        <v>0</v>
      </c>
      <c r="AN131" s="4">
        <v>0</v>
      </c>
      <c r="AO131" s="4">
        <v>543</v>
      </c>
      <c r="AP131" s="4">
        <v>0</v>
      </c>
      <c r="AQ131" s="4">
        <v>1</v>
      </c>
      <c r="AR131" s="4">
        <v>544</v>
      </c>
      <c r="AS131" s="4">
        <v>0</v>
      </c>
      <c r="AT131" s="9">
        <v>130</v>
      </c>
      <c r="AU131" s="9" t="s">
        <v>271</v>
      </c>
      <c r="AV131" s="9" t="s">
        <v>272</v>
      </c>
      <c r="AW131" t="s">
        <v>610</v>
      </c>
      <c r="AX131" s="9" t="str">
        <f t="shared" si="57"/>
        <v>833</v>
      </c>
      <c r="AY131" s="9" t="str">
        <f t="shared" si="58"/>
        <v>449</v>
      </c>
      <c r="AZ131" t="str">
        <f t="shared" si="59"/>
        <v>379</v>
      </c>
    </row>
    <row r="132" spans="1:52" x14ac:dyDescent="0.25">
      <c r="A132" s="4">
        <v>131</v>
      </c>
      <c r="B132" s="4">
        <v>131</v>
      </c>
      <c r="C132" s="4">
        <v>204</v>
      </c>
      <c r="D132" s="4">
        <v>7</v>
      </c>
      <c r="E132" s="4">
        <v>258</v>
      </c>
      <c r="F132" s="4">
        <v>5</v>
      </c>
      <c r="G132" s="4">
        <v>0</v>
      </c>
      <c r="H132" s="4">
        <v>17</v>
      </c>
      <c r="I132" s="4">
        <v>0</v>
      </c>
      <c r="J132" s="4">
        <v>0</v>
      </c>
      <c r="K132" s="4">
        <v>1</v>
      </c>
      <c r="L132" s="4">
        <v>0</v>
      </c>
      <c r="M132" s="4">
        <v>0</v>
      </c>
      <c r="N132" s="4">
        <v>1</v>
      </c>
      <c r="O132" s="4">
        <v>0</v>
      </c>
      <c r="P132" s="4">
        <v>0</v>
      </c>
      <c r="Q132" s="4">
        <v>0</v>
      </c>
      <c r="R132" s="4">
        <v>0</v>
      </c>
      <c r="S132" s="4">
        <v>1</v>
      </c>
      <c r="T132" s="4">
        <v>0</v>
      </c>
      <c r="U132" s="4">
        <v>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1</v>
      </c>
      <c r="AM132" s="4">
        <v>0</v>
      </c>
      <c r="AN132" s="4">
        <v>0</v>
      </c>
      <c r="AO132" s="4">
        <v>496</v>
      </c>
      <c r="AP132" s="4">
        <v>0</v>
      </c>
      <c r="AQ132" s="4">
        <v>1</v>
      </c>
      <c r="AR132" s="4">
        <v>497</v>
      </c>
      <c r="AS132" s="4">
        <v>0</v>
      </c>
      <c r="AT132" s="9">
        <v>131</v>
      </c>
      <c r="AU132" s="9" t="s">
        <v>269</v>
      </c>
      <c r="AV132" s="9" t="s">
        <v>270</v>
      </c>
      <c r="AW132" t="s">
        <v>611</v>
      </c>
      <c r="AX132" s="9" t="str">
        <f t="shared" si="57"/>
        <v>722</v>
      </c>
      <c r="AY132" s="9" t="str">
        <f t="shared" si="58"/>
        <v>397</v>
      </c>
      <c r="AZ132" t="str">
        <f t="shared" si="59"/>
        <v>325</v>
      </c>
    </row>
    <row r="133" spans="1:52" x14ac:dyDescent="0.25">
      <c r="A133" s="4">
        <v>132</v>
      </c>
      <c r="B133" s="4">
        <v>132</v>
      </c>
      <c r="C133" s="4">
        <v>305</v>
      </c>
      <c r="D133" s="4">
        <v>1</v>
      </c>
      <c r="E133" s="4">
        <v>56</v>
      </c>
      <c r="F133" s="4">
        <v>0</v>
      </c>
      <c r="G133" s="4">
        <v>0</v>
      </c>
      <c r="H133" s="4">
        <v>7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369</v>
      </c>
      <c r="AP133" s="4">
        <v>0</v>
      </c>
      <c r="AQ133" s="4">
        <v>0</v>
      </c>
      <c r="AR133" s="4">
        <v>369</v>
      </c>
      <c r="AS133" s="4">
        <v>0</v>
      </c>
      <c r="AT133" s="9">
        <v>132</v>
      </c>
      <c r="AU133" s="9" t="s">
        <v>273</v>
      </c>
      <c r="AV133" s="9" t="s">
        <v>101</v>
      </c>
      <c r="AW133" t="s">
        <v>612</v>
      </c>
      <c r="AX133" s="9" t="str">
        <f t="shared" si="57"/>
        <v>534</v>
      </c>
      <c r="AY133" s="9" t="str">
        <f t="shared" si="58"/>
        <v>293</v>
      </c>
      <c r="AZ133" t="str">
        <f t="shared" si="59"/>
        <v>236</v>
      </c>
    </row>
    <row r="134" spans="1:52" x14ac:dyDescent="0.25">
      <c r="A134" s="4">
        <v>133</v>
      </c>
      <c r="B134" s="4">
        <v>133</v>
      </c>
      <c r="C134" s="4">
        <v>190</v>
      </c>
      <c r="D134" s="4">
        <v>3</v>
      </c>
      <c r="E134" s="4">
        <v>148</v>
      </c>
      <c r="F134" s="4">
        <v>2</v>
      </c>
      <c r="G134" s="4">
        <v>1</v>
      </c>
      <c r="H134" s="4">
        <v>5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</v>
      </c>
      <c r="Q134" s="4">
        <v>0</v>
      </c>
      <c r="R134" s="4">
        <v>1</v>
      </c>
      <c r="S134" s="4">
        <v>0</v>
      </c>
      <c r="T134" s="4">
        <v>0</v>
      </c>
      <c r="U134" s="4">
        <v>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2</v>
      </c>
      <c r="AJ134" s="4">
        <v>0</v>
      </c>
      <c r="AK134" s="4">
        <v>1</v>
      </c>
      <c r="AL134" s="4">
        <v>2</v>
      </c>
      <c r="AM134" s="4">
        <v>0</v>
      </c>
      <c r="AN134" s="4">
        <v>0</v>
      </c>
      <c r="AO134" s="4">
        <v>358</v>
      </c>
      <c r="AP134" s="4">
        <v>0</v>
      </c>
      <c r="AQ134" s="4">
        <v>0</v>
      </c>
      <c r="AR134" s="4">
        <v>358</v>
      </c>
      <c r="AS134" s="4">
        <v>0</v>
      </c>
      <c r="AT134" s="9">
        <v>133</v>
      </c>
      <c r="AU134" s="9" t="s">
        <v>274</v>
      </c>
      <c r="AV134" s="9" t="s">
        <v>101</v>
      </c>
      <c r="AW134" t="s">
        <v>613</v>
      </c>
      <c r="AX134" s="9" t="str">
        <f t="shared" si="57"/>
        <v>641</v>
      </c>
      <c r="AY134" s="9" t="str">
        <f t="shared" si="58"/>
        <v>337</v>
      </c>
      <c r="AZ134" t="str">
        <f t="shared" si="59"/>
        <v>304</v>
      </c>
    </row>
    <row r="135" spans="1:52" x14ac:dyDescent="0.25">
      <c r="A135" s="4">
        <v>134</v>
      </c>
      <c r="B135" s="4">
        <v>134</v>
      </c>
      <c r="C135" s="4">
        <v>81</v>
      </c>
      <c r="D135" s="4">
        <v>1</v>
      </c>
      <c r="E135" s="4">
        <v>311</v>
      </c>
      <c r="F135" s="4">
        <v>3</v>
      </c>
      <c r="G135" s="4">
        <v>0</v>
      </c>
      <c r="H135" s="4">
        <v>11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1</v>
      </c>
      <c r="Q135" s="4">
        <v>0</v>
      </c>
      <c r="R135" s="4">
        <v>1</v>
      </c>
      <c r="S135" s="4">
        <v>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412</v>
      </c>
      <c r="AP135" s="4">
        <v>0</v>
      </c>
      <c r="AQ135" s="4">
        <v>0</v>
      </c>
      <c r="AR135" s="4">
        <v>412</v>
      </c>
      <c r="AS135" s="4">
        <v>0</v>
      </c>
      <c r="AT135" s="9">
        <v>134</v>
      </c>
      <c r="AU135" s="9" t="s">
        <v>275</v>
      </c>
      <c r="AV135" s="9" t="s">
        <v>101</v>
      </c>
      <c r="AW135" t="s">
        <v>614</v>
      </c>
      <c r="AX135" s="9" t="str">
        <f t="shared" si="57"/>
        <v>698</v>
      </c>
      <c r="AY135" s="9" t="str">
        <f t="shared" si="58"/>
        <v>383</v>
      </c>
      <c r="AZ135" t="str">
        <f t="shared" si="59"/>
        <v>308</v>
      </c>
    </row>
    <row r="136" spans="1:52" ht="25.5" x14ac:dyDescent="0.25">
      <c r="A136" s="4">
        <v>135</v>
      </c>
      <c r="B136" s="4">
        <v>135</v>
      </c>
      <c r="C136" s="4">
        <v>247</v>
      </c>
      <c r="D136" s="4">
        <v>8</v>
      </c>
      <c r="E136" s="4">
        <v>199</v>
      </c>
      <c r="F136" s="4">
        <v>3</v>
      </c>
      <c r="G136" s="4">
        <v>0</v>
      </c>
      <c r="H136" s="4">
        <v>4</v>
      </c>
      <c r="I136" s="4">
        <v>0</v>
      </c>
      <c r="J136" s="4">
        <v>0</v>
      </c>
      <c r="K136" s="4">
        <v>0</v>
      </c>
      <c r="L136" s="4">
        <v>0</v>
      </c>
      <c r="M136" s="4">
        <v>1</v>
      </c>
      <c r="N136" s="4">
        <v>1</v>
      </c>
      <c r="O136" s="4">
        <v>0</v>
      </c>
      <c r="P136" s="4">
        <v>1</v>
      </c>
      <c r="Q136" s="4">
        <v>1</v>
      </c>
      <c r="R136" s="4">
        <v>0</v>
      </c>
      <c r="S136" s="4">
        <v>0</v>
      </c>
      <c r="T136" s="4">
        <v>1</v>
      </c>
      <c r="U136" s="4">
        <v>0</v>
      </c>
      <c r="V136" s="4">
        <v>1</v>
      </c>
      <c r="W136" s="4">
        <v>0</v>
      </c>
      <c r="X136" s="4">
        <v>1</v>
      </c>
      <c r="Y136" s="4">
        <v>0</v>
      </c>
      <c r="Z136" s="4">
        <v>1</v>
      </c>
      <c r="AA136" s="4">
        <v>0</v>
      </c>
      <c r="AB136" s="4">
        <v>1</v>
      </c>
      <c r="AC136" s="4">
        <v>1</v>
      </c>
      <c r="AD136" s="4">
        <v>1</v>
      </c>
      <c r="AE136" s="4">
        <v>0</v>
      </c>
      <c r="AF136" s="4">
        <v>2</v>
      </c>
      <c r="AG136" s="4">
        <v>0</v>
      </c>
      <c r="AH136" s="4">
        <v>1</v>
      </c>
      <c r="AI136" s="4">
        <v>2</v>
      </c>
      <c r="AJ136" s="4">
        <v>0</v>
      </c>
      <c r="AK136" s="4">
        <v>0</v>
      </c>
      <c r="AL136" s="4">
        <v>0</v>
      </c>
      <c r="AM136" s="4">
        <v>2</v>
      </c>
      <c r="AN136" s="4">
        <v>0</v>
      </c>
      <c r="AO136" s="4">
        <v>479</v>
      </c>
      <c r="AP136" s="4">
        <v>0</v>
      </c>
      <c r="AQ136" s="4">
        <v>3</v>
      </c>
      <c r="AR136" s="4">
        <v>482</v>
      </c>
      <c r="AS136" s="4">
        <v>0</v>
      </c>
      <c r="AT136" s="9">
        <v>135</v>
      </c>
      <c r="AU136" s="9" t="s">
        <v>276</v>
      </c>
      <c r="AV136" s="9" t="s">
        <v>101</v>
      </c>
      <c r="AW136" t="s">
        <v>614</v>
      </c>
      <c r="AX136" s="9" t="str">
        <f t="shared" si="57"/>
        <v>698</v>
      </c>
      <c r="AY136" s="9" t="str">
        <f t="shared" si="58"/>
        <v>383</v>
      </c>
      <c r="AZ136" t="str">
        <f t="shared" si="59"/>
        <v>308</v>
      </c>
    </row>
    <row r="137" spans="1:52" ht="25.5" x14ac:dyDescent="0.25">
      <c r="A137" s="4">
        <v>136</v>
      </c>
      <c r="B137" s="4">
        <v>136</v>
      </c>
      <c r="C137" s="4">
        <v>295</v>
      </c>
      <c r="D137" s="4">
        <v>1</v>
      </c>
      <c r="E137" s="4">
        <v>307</v>
      </c>
      <c r="F137" s="4">
        <v>3</v>
      </c>
      <c r="G137" s="4">
        <v>1</v>
      </c>
      <c r="H137" s="4">
        <v>47</v>
      </c>
      <c r="I137" s="4">
        <v>0</v>
      </c>
      <c r="J137" s="4">
        <v>0</v>
      </c>
      <c r="K137" s="4">
        <v>1</v>
      </c>
      <c r="L137" s="4">
        <v>0</v>
      </c>
      <c r="M137" s="4">
        <v>1</v>
      </c>
      <c r="N137" s="4">
        <v>0</v>
      </c>
      <c r="O137" s="4">
        <v>0</v>
      </c>
      <c r="P137" s="4">
        <v>0</v>
      </c>
      <c r="Q137" s="4">
        <v>1</v>
      </c>
      <c r="R137" s="4">
        <v>0</v>
      </c>
      <c r="S137" s="4">
        <v>0</v>
      </c>
      <c r="T137" s="4">
        <v>0</v>
      </c>
      <c r="U137" s="4">
        <v>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659</v>
      </c>
      <c r="AP137" s="4">
        <v>0</v>
      </c>
      <c r="AQ137" s="4">
        <v>1</v>
      </c>
      <c r="AR137" s="4">
        <v>660</v>
      </c>
      <c r="AS137" s="4">
        <v>0</v>
      </c>
      <c r="AT137" s="9">
        <v>136</v>
      </c>
      <c r="AU137" s="9" t="s">
        <v>277</v>
      </c>
      <c r="AV137" s="9" t="s">
        <v>101</v>
      </c>
      <c r="AW137" t="s">
        <v>615</v>
      </c>
      <c r="AX137" s="9" t="str">
        <f t="shared" si="57"/>
        <v>1105</v>
      </c>
      <c r="AY137" s="9" t="str">
        <f t="shared" si="58"/>
        <v>611</v>
      </c>
      <c r="AZ137" t="str">
        <f t="shared" si="59"/>
        <v>494</v>
      </c>
    </row>
    <row r="138" spans="1:52" ht="63.75" x14ac:dyDescent="0.25">
      <c r="A138" s="4">
        <v>137</v>
      </c>
      <c r="B138" s="4">
        <v>137</v>
      </c>
      <c r="C138" s="4">
        <v>128</v>
      </c>
      <c r="D138" s="4">
        <v>61</v>
      </c>
      <c r="E138" s="4">
        <v>170</v>
      </c>
      <c r="F138" s="4">
        <v>0</v>
      </c>
      <c r="G138" s="4">
        <v>0</v>
      </c>
      <c r="H138" s="4">
        <v>9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2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</v>
      </c>
      <c r="AC138" s="4">
        <v>1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372</v>
      </c>
      <c r="AP138" s="4">
        <v>0</v>
      </c>
      <c r="AQ138" s="4">
        <v>0</v>
      </c>
      <c r="AR138" s="4">
        <v>372</v>
      </c>
      <c r="AS138" s="4">
        <v>0</v>
      </c>
      <c r="AT138" s="9">
        <v>137</v>
      </c>
      <c r="AU138" s="9" t="s">
        <v>278</v>
      </c>
      <c r="AV138" s="9" t="s">
        <v>279</v>
      </c>
      <c r="AW138" t="s">
        <v>616</v>
      </c>
      <c r="AX138" s="9" t="str">
        <f t="shared" si="57"/>
        <v>627</v>
      </c>
      <c r="AY138" s="9" t="str">
        <f t="shared" si="58"/>
        <v>350</v>
      </c>
      <c r="AZ138" t="str">
        <f t="shared" si="59"/>
        <v>277</v>
      </c>
    </row>
    <row r="139" spans="1:52" ht="25.5" x14ac:dyDescent="0.25">
      <c r="A139" s="4">
        <v>138</v>
      </c>
      <c r="B139" s="4">
        <v>138</v>
      </c>
      <c r="C139" s="4">
        <v>219</v>
      </c>
      <c r="D139" s="4">
        <v>5</v>
      </c>
      <c r="E139" s="4">
        <v>341</v>
      </c>
      <c r="F139" s="4">
        <v>4</v>
      </c>
      <c r="G139" s="4">
        <v>1</v>
      </c>
      <c r="H139" s="4">
        <v>47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5</v>
      </c>
      <c r="O139" s="4">
        <v>1</v>
      </c>
      <c r="P139" s="4">
        <v>1</v>
      </c>
      <c r="Q139" s="4">
        <v>1</v>
      </c>
      <c r="R139" s="4">
        <v>4</v>
      </c>
      <c r="S139" s="4">
        <v>3</v>
      </c>
      <c r="T139" s="4">
        <v>1</v>
      </c>
      <c r="U139" s="4">
        <v>1</v>
      </c>
      <c r="V139" s="4">
        <v>1</v>
      </c>
      <c r="W139" s="4">
        <v>0</v>
      </c>
      <c r="X139" s="4">
        <v>0</v>
      </c>
      <c r="Y139" s="4">
        <v>1</v>
      </c>
      <c r="Z139" s="4">
        <v>0</v>
      </c>
      <c r="AA139" s="4">
        <v>1</v>
      </c>
      <c r="AB139" s="4">
        <v>0</v>
      </c>
      <c r="AC139" s="4">
        <v>4</v>
      </c>
      <c r="AD139" s="4">
        <v>1</v>
      </c>
      <c r="AE139" s="4">
        <v>0</v>
      </c>
      <c r="AF139" s="4">
        <v>0</v>
      </c>
      <c r="AG139" s="4">
        <v>0</v>
      </c>
      <c r="AH139" s="4">
        <v>2</v>
      </c>
      <c r="AI139" s="4">
        <v>4</v>
      </c>
      <c r="AJ139" s="4">
        <v>1</v>
      </c>
      <c r="AK139" s="4">
        <v>2</v>
      </c>
      <c r="AL139" s="4">
        <v>0</v>
      </c>
      <c r="AM139" s="4">
        <v>0</v>
      </c>
      <c r="AN139" s="4">
        <v>0</v>
      </c>
      <c r="AO139" s="4">
        <v>651</v>
      </c>
      <c r="AP139" s="4">
        <v>0</v>
      </c>
      <c r="AQ139" s="4">
        <v>0</v>
      </c>
      <c r="AR139" s="4">
        <v>651</v>
      </c>
      <c r="AS139" s="4">
        <v>0</v>
      </c>
      <c r="AT139" s="9">
        <v>138</v>
      </c>
      <c r="AU139" s="9" t="s">
        <v>280</v>
      </c>
      <c r="AV139" s="9" t="s">
        <v>281</v>
      </c>
      <c r="AW139" t="s">
        <v>617</v>
      </c>
      <c r="AX139" s="9" t="str">
        <f t="shared" si="57"/>
        <v>1135</v>
      </c>
      <c r="AY139" s="9" t="str">
        <f t="shared" si="58"/>
        <v>587</v>
      </c>
      <c r="AZ139" t="str">
        <f t="shared" si="59"/>
        <v>541</v>
      </c>
    </row>
    <row r="140" spans="1:52" x14ac:dyDescent="0.25">
      <c r="A140" s="4">
        <v>139</v>
      </c>
      <c r="B140" s="4">
        <v>139</v>
      </c>
      <c r="C140" s="4">
        <v>112</v>
      </c>
      <c r="D140" s="4">
        <v>9</v>
      </c>
      <c r="E140" s="4">
        <v>229</v>
      </c>
      <c r="F140" s="4">
        <v>0</v>
      </c>
      <c r="G140" s="4">
        <v>1</v>
      </c>
      <c r="H140" s="4">
        <v>59</v>
      </c>
      <c r="I140" s="4">
        <v>0</v>
      </c>
      <c r="J140" s="4">
        <v>0</v>
      </c>
      <c r="K140" s="4">
        <v>0</v>
      </c>
      <c r="L140" s="4">
        <v>0</v>
      </c>
      <c r="M140" s="4">
        <v>1</v>
      </c>
      <c r="N140" s="4">
        <v>0</v>
      </c>
      <c r="O140" s="4">
        <v>0</v>
      </c>
      <c r="P140" s="4">
        <v>1</v>
      </c>
      <c r="Q140" s="4">
        <v>0</v>
      </c>
      <c r="R140" s="4">
        <v>2</v>
      </c>
      <c r="S140" s="4">
        <v>0</v>
      </c>
      <c r="T140" s="4">
        <v>0</v>
      </c>
      <c r="U140" s="4">
        <v>2</v>
      </c>
      <c r="V140" s="4">
        <v>1</v>
      </c>
      <c r="W140" s="4">
        <v>0</v>
      </c>
      <c r="X140" s="4">
        <v>0</v>
      </c>
      <c r="Y140" s="4">
        <v>0</v>
      </c>
      <c r="Z140" s="4">
        <v>1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3</v>
      </c>
      <c r="AI140" s="4">
        <v>0</v>
      </c>
      <c r="AJ140" s="4">
        <v>0</v>
      </c>
      <c r="AK140" s="4">
        <v>1</v>
      </c>
      <c r="AL140" s="4">
        <v>0</v>
      </c>
      <c r="AM140" s="4">
        <v>0</v>
      </c>
      <c r="AN140" s="4">
        <v>0</v>
      </c>
      <c r="AO140" s="4">
        <v>422</v>
      </c>
      <c r="AP140" s="4">
        <v>0</v>
      </c>
      <c r="AQ140" s="4">
        <v>0</v>
      </c>
      <c r="AR140" s="4">
        <v>422</v>
      </c>
      <c r="AS140" s="4">
        <v>0</v>
      </c>
      <c r="AT140" s="9">
        <v>139</v>
      </c>
      <c r="AU140" s="9" t="s">
        <v>282</v>
      </c>
      <c r="AV140" s="9" t="s">
        <v>101</v>
      </c>
      <c r="AW140" t="s">
        <v>618</v>
      </c>
      <c r="AX140" s="9" t="str">
        <f t="shared" si="57"/>
        <v>757</v>
      </c>
      <c r="AY140" s="9" t="str">
        <f t="shared" si="58"/>
        <v>402</v>
      </c>
      <c r="AZ140" t="str">
        <f t="shared" si="59"/>
        <v>354</v>
      </c>
    </row>
    <row r="141" spans="1:52" x14ac:dyDescent="0.25">
      <c r="A141" s="4">
        <v>140</v>
      </c>
      <c r="B141" s="4">
        <v>140</v>
      </c>
      <c r="C141" s="4">
        <v>112</v>
      </c>
      <c r="D141" s="4">
        <v>65</v>
      </c>
      <c r="E141" s="4">
        <v>493</v>
      </c>
      <c r="F141" s="4">
        <v>2</v>
      </c>
      <c r="G141" s="4">
        <v>0</v>
      </c>
      <c r="H141" s="4">
        <v>20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2</v>
      </c>
      <c r="O141" s="4">
        <v>0</v>
      </c>
      <c r="P141" s="4">
        <v>3</v>
      </c>
      <c r="Q141" s="4">
        <v>1</v>
      </c>
      <c r="R141" s="4">
        <v>1</v>
      </c>
      <c r="S141" s="4">
        <v>0</v>
      </c>
      <c r="T141" s="4">
        <v>1</v>
      </c>
      <c r="U141" s="4">
        <v>4</v>
      </c>
      <c r="V141" s="4">
        <v>1</v>
      </c>
      <c r="W141" s="4">
        <v>0</v>
      </c>
      <c r="X141" s="4">
        <v>2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2</v>
      </c>
      <c r="AE141" s="4">
        <v>0</v>
      </c>
      <c r="AF141" s="4">
        <v>0</v>
      </c>
      <c r="AG141" s="4">
        <v>0</v>
      </c>
      <c r="AH141" s="4">
        <v>0</v>
      </c>
      <c r="AI141" s="4">
        <v>4</v>
      </c>
      <c r="AJ141" s="4">
        <v>0</v>
      </c>
      <c r="AK141" s="4">
        <v>4</v>
      </c>
      <c r="AL141" s="4">
        <v>0</v>
      </c>
      <c r="AM141" s="4">
        <v>1</v>
      </c>
      <c r="AN141" s="4">
        <v>0</v>
      </c>
      <c r="AO141" s="4">
        <v>719</v>
      </c>
      <c r="AP141" s="4">
        <v>0</v>
      </c>
      <c r="AQ141" s="4">
        <v>0</v>
      </c>
      <c r="AR141" s="4">
        <v>719</v>
      </c>
      <c r="AS141" s="4">
        <v>0</v>
      </c>
      <c r="AT141" s="9">
        <v>140</v>
      </c>
      <c r="AU141" s="9" t="s">
        <v>283</v>
      </c>
      <c r="AV141" s="9" t="s">
        <v>101</v>
      </c>
      <c r="AW141" t="s">
        <v>619</v>
      </c>
      <c r="AX141" s="9" t="str">
        <f t="shared" si="57"/>
        <v>1117</v>
      </c>
      <c r="AY141" s="9" t="str">
        <f t="shared" si="58"/>
        <v>619</v>
      </c>
      <c r="AZ141" t="str">
        <f t="shared" si="59"/>
        <v>498</v>
      </c>
    </row>
    <row r="142" spans="1:52" x14ac:dyDescent="0.25">
      <c r="A142" s="4">
        <v>141</v>
      </c>
      <c r="B142" s="4">
        <v>141</v>
      </c>
      <c r="C142" s="4">
        <v>145</v>
      </c>
      <c r="D142" s="4">
        <v>176</v>
      </c>
      <c r="E142" s="4">
        <v>322</v>
      </c>
      <c r="F142" s="4">
        <v>0</v>
      </c>
      <c r="G142" s="4">
        <v>1</v>
      </c>
      <c r="H142" s="4">
        <v>1</v>
      </c>
      <c r="I142" s="4">
        <v>0</v>
      </c>
      <c r="J142" s="4">
        <v>0</v>
      </c>
      <c r="K142" s="4">
        <v>0</v>
      </c>
      <c r="L142" s="4">
        <v>0</v>
      </c>
      <c r="M142" s="4">
        <v>2</v>
      </c>
      <c r="N142" s="4">
        <v>3</v>
      </c>
      <c r="O142" s="4">
        <v>2</v>
      </c>
      <c r="P142" s="4">
        <v>1</v>
      </c>
      <c r="Q142" s="4">
        <v>0</v>
      </c>
      <c r="R142" s="4">
        <v>6</v>
      </c>
      <c r="S142" s="4">
        <v>0</v>
      </c>
      <c r="T142" s="4">
        <v>1</v>
      </c>
      <c r="U142" s="4">
        <v>1</v>
      </c>
      <c r="V142" s="4">
        <v>0</v>
      </c>
      <c r="W142" s="4">
        <v>0</v>
      </c>
      <c r="X142" s="4">
        <v>0</v>
      </c>
      <c r="Y142" s="4">
        <v>1</v>
      </c>
      <c r="Z142" s="4">
        <v>0</v>
      </c>
      <c r="AA142" s="4">
        <v>0</v>
      </c>
      <c r="AB142" s="4">
        <v>0</v>
      </c>
      <c r="AC142" s="4">
        <v>4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666</v>
      </c>
      <c r="AP142" s="4">
        <v>0</v>
      </c>
      <c r="AQ142" s="4">
        <v>1</v>
      </c>
      <c r="AR142" s="4">
        <v>667</v>
      </c>
      <c r="AS142" s="4">
        <v>0</v>
      </c>
      <c r="AT142" s="9">
        <v>141</v>
      </c>
      <c r="AU142" s="9" t="s">
        <v>284</v>
      </c>
      <c r="AV142" s="9" t="s">
        <v>101</v>
      </c>
      <c r="AW142" t="s">
        <v>620</v>
      </c>
    </row>
    <row r="143" spans="1:52" x14ac:dyDescent="0.25">
      <c r="A143" s="4">
        <v>142</v>
      </c>
      <c r="B143" s="4">
        <v>142</v>
      </c>
      <c r="C143" s="4">
        <v>114</v>
      </c>
      <c r="D143" s="4">
        <v>7</v>
      </c>
      <c r="E143" s="4">
        <v>362</v>
      </c>
      <c r="F143" s="4">
        <v>2</v>
      </c>
      <c r="G143" s="4">
        <v>2</v>
      </c>
      <c r="H143" s="4">
        <v>10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2</v>
      </c>
      <c r="O143" s="4">
        <v>1</v>
      </c>
      <c r="P143" s="4">
        <v>0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0</v>
      </c>
      <c r="AE143" s="4">
        <v>0</v>
      </c>
      <c r="AF143" s="4">
        <v>2</v>
      </c>
      <c r="AG143" s="4">
        <v>0</v>
      </c>
      <c r="AH143" s="4">
        <v>5</v>
      </c>
      <c r="AI143" s="4">
        <v>2</v>
      </c>
      <c r="AJ143" s="4">
        <v>0</v>
      </c>
      <c r="AK143" s="4">
        <v>1</v>
      </c>
      <c r="AL143" s="4">
        <v>0</v>
      </c>
      <c r="AM143" s="4">
        <v>1</v>
      </c>
      <c r="AN143" s="4">
        <v>0</v>
      </c>
      <c r="AO143" s="4">
        <v>517</v>
      </c>
      <c r="AP143" s="4">
        <v>0</v>
      </c>
      <c r="AQ143" s="4">
        <v>0</v>
      </c>
      <c r="AR143" s="4">
        <v>517</v>
      </c>
      <c r="AS143" s="4">
        <v>0</v>
      </c>
      <c r="AT143" s="9">
        <v>142</v>
      </c>
      <c r="AU143" s="9" t="s">
        <v>285</v>
      </c>
      <c r="AV143" s="9" t="s">
        <v>101</v>
      </c>
      <c r="AW143" t="s">
        <v>621</v>
      </c>
    </row>
    <row r="144" spans="1:52" ht="76.5" x14ac:dyDescent="0.25">
      <c r="A144" s="4">
        <v>143</v>
      </c>
      <c r="B144" s="4">
        <v>143</v>
      </c>
      <c r="C144" s="4">
        <v>134</v>
      </c>
      <c r="D144" s="4">
        <v>230</v>
      </c>
      <c r="E144" s="4">
        <v>221</v>
      </c>
      <c r="F144" s="4">
        <v>1</v>
      </c>
      <c r="G144" s="4">
        <v>0</v>
      </c>
      <c r="H144" s="4">
        <v>14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1</v>
      </c>
      <c r="O144" s="4">
        <v>0</v>
      </c>
      <c r="P144" s="4">
        <v>1</v>
      </c>
      <c r="Q144" s="4">
        <v>1</v>
      </c>
      <c r="R144" s="4">
        <v>1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605</v>
      </c>
      <c r="AP144" s="4">
        <v>0</v>
      </c>
      <c r="AQ144" s="4">
        <v>1</v>
      </c>
      <c r="AR144" s="4">
        <v>606</v>
      </c>
      <c r="AS144" s="4">
        <v>0</v>
      </c>
      <c r="AT144" s="9">
        <v>143</v>
      </c>
      <c r="AU144" s="9" t="s">
        <v>286</v>
      </c>
      <c r="AV144" s="9" t="s">
        <v>287</v>
      </c>
      <c r="AW144" t="s">
        <v>622</v>
      </c>
    </row>
    <row r="145" spans="1:49" x14ac:dyDescent="0.25">
      <c r="A145" s="4">
        <v>144</v>
      </c>
      <c r="B145" s="4">
        <v>144</v>
      </c>
      <c r="C145" s="4">
        <v>102</v>
      </c>
      <c r="D145" s="4">
        <v>31</v>
      </c>
      <c r="E145" s="4">
        <v>389</v>
      </c>
      <c r="F145" s="4">
        <v>7</v>
      </c>
      <c r="G145" s="4">
        <v>1</v>
      </c>
      <c r="H145" s="4">
        <v>9</v>
      </c>
      <c r="I145" s="4">
        <v>0</v>
      </c>
      <c r="J145" s="4">
        <v>0</v>
      </c>
      <c r="K145" s="4">
        <v>0</v>
      </c>
      <c r="L145" s="4">
        <v>1</v>
      </c>
      <c r="M145" s="4">
        <v>0</v>
      </c>
      <c r="N145" s="4">
        <v>1</v>
      </c>
      <c r="O145" s="4">
        <v>0</v>
      </c>
      <c r="P145" s="4">
        <v>2</v>
      </c>
      <c r="Q145" s="4">
        <v>0</v>
      </c>
      <c r="R145" s="4">
        <v>3</v>
      </c>
      <c r="S145" s="4">
        <v>1</v>
      </c>
      <c r="T145" s="4">
        <v>1</v>
      </c>
      <c r="U145" s="4">
        <v>2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</v>
      </c>
      <c r="AC145" s="4">
        <v>1</v>
      </c>
      <c r="AD145" s="4">
        <v>1</v>
      </c>
      <c r="AE145" s="4">
        <v>1</v>
      </c>
      <c r="AF145" s="4">
        <v>3</v>
      </c>
      <c r="AG145" s="4">
        <v>0</v>
      </c>
      <c r="AH145" s="4">
        <v>3</v>
      </c>
      <c r="AI145" s="4">
        <v>0</v>
      </c>
      <c r="AJ145" s="4">
        <v>0</v>
      </c>
      <c r="AK145" s="4">
        <v>2</v>
      </c>
      <c r="AL145" s="4">
        <v>0</v>
      </c>
      <c r="AM145" s="4">
        <v>0</v>
      </c>
      <c r="AN145" s="4">
        <v>0</v>
      </c>
      <c r="AO145" s="4">
        <v>563</v>
      </c>
      <c r="AP145" s="4">
        <v>0</v>
      </c>
      <c r="AQ145" s="4">
        <v>2</v>
      </c>
      <c r="AR145" s="4">
        <v>565</v>
      </c>
      <c r="AS145" s="4">
        <v>0</v>
      </c>
      <c r="AT145" s="9">
        <v>144</v>
      </c>
      <c r="AU145" s="9" t="s">
        <v>288</v>
      </c>
      <c r="AV145" s="9" t="s">
        <v>101</v>
      </c>
      <c r="AW145" t="s">
        <v>623</v>
      </c>
    </row>
    <row r="146" spans="1:49" x14ac:dyDescent="0.25">
      <c r="A146" s="4">
        <v>145</v>
      </c>
      <c r="B146" s="4">
        <v>145</v>
      </c>
      <c r="C146" s="4">
        <v>89</v>
      </c>
      <c r="D146" s="4">
        <v>177</v>
      </c>
      <c r="E146" s="4">
        <v>81</v>
      </c>
      <c r="F146" s="4">
        <v>0</v>
      </c>
      <c r="G146" s="4">
        <v>2</v>
      </c>
      <c r="H146" s="4">
        <v>66</v>
      </c>
      <c r="I146" s="4">
        <v>0</v>
      </c>
      <c r="J146" s="4">
        <v>0</v>
      </c>
      <c r="K146" s="4">
        <v>0</v>
      </c>
      <c r="L146" s="4">
        <v>0</v>
      </c>
      <c r="M146" s="4">
        <v>1</v>
      </c>
      <c r="N146" s="4">
        <v>0</v>
      </c>
      <c r="O146" s="4">
        <v>0</v>
      </c>
      <c r="P146" s="4">
        <v>0</v>
      </c>
      <c r="Q146" s="4">
        <v>0</v>
      </c>
      <c r="R146" s="4">
        <v>1</v>
      </c>
      <c r="S146" s="4">
        <v>0</v>
      </c>
      <c r="T146" s="4">
        <v>0</v>
      </c>
      <c r="U146" s="4">
        <v>0</v>
      </c>
      <c r="V146" s="4">
        <v>0</v>
      </c>
      <c r="W146" s="4">
        <v>1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</v>
      </c>
      <c r="AD146" s="4">
        <v>0</v>
      </c>
      <c r="AE146" s="4">
        <v>0</v>
      </c>
      <c r="AF146" s="4">
        <v>0</v>
      </c>
      <c r="AG146" s="4">
        <v>0</v>
      </c>
      <c r="AH146" s="4">
        <v>1</v>
      </c>
      <c r="AI146" s="4">
        <v>0</v>
      </c>
      <c r="AJ146" s="4">
        <v>0</v>
      </c>
      <c r="AK146" s="4">
        <v>1</v>
      </c>
      <c r="AL146" s="4">
        <v>0</v>
      </c>
      <c r="AM146" s="4">
        <v>0</v>
      </c>
      <c r="AN146" s="4">
        <v>0</v>
      </c>
      <c r="AO146" s="4">
        <v>421</v>
      </c>
      <c r="AP146" s="4">
        <v>0</v>
      </c>
      <c r="AQ146" s="4">
        <v>1</v>
      </c>
      <c r="AR146" s="4">
        <v>422</v>
      </c>
      <c r="AS146" s="4">
        <v>0</v>
      </c>
      <c r="AT146" s="9">
        <v>145</v>
      </c>
      <c r="AU146" s="9" t="s">
        <v>289</v>
      </c>
      <c r="AV146" s="9" t="s">
        <v>101</v>
      </c>
    </row>
    <row r="147" spans="1:49" x14ac:dyDescent="0.25">
      <c r="A147" s="4">
        <v>146</v>
      </c>
      <c r="B147" s="4">
        <v>146</v>
      </c>
      <c r="C147" s="4">
        <v>141</v>
      </c>
      <c r="D147" s="4">
        <v>5</v>
      </c>
      <c r="E147" s="4">
        <v>344</v>
      </c>
      <c r="F147" s="4">
        <v>2</v>
      </c>
      <c r="G147" s="4">
        <v>1</v>
      </c>
      <c r="H147" s="4">
        <v>5</v>
      </c>
      <c r="I147" s="4">
        <v>0</v>
      </c>
      <c r="J147" s="4">
        <v>0</v>
      </c>
      <c r="K147" s="4">
        <v>0</v>
      </c>
      <c r="L147" s="4">
        <v>0</v>
      </c>
      <c r="M147" s="4">
        <v>1</v>
      </c>
      <c r="N147" s="4">
        <v>3</v>
      </c>
      <c r="O147" s="4">
        <v>0</v>
      </c>
      <c r="P147" s="4">
        <v>1</v>
      </c>
      <c r="Q147" s="4">
        <v>0</v>
      </c>
      <c r="R147" s="4">
        <v>3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</v>
      </c>
      <c r="AD147" s="4">
        <v>1</v>
      </c>
      <c r="AE147" s="4">
        <v>1</v>
      </c>
      <c r="AF147" s="4">
        <v>0</v>
      </c>
      <c r="AG147" s="4">
        <v>1</v>
      </c>
      <c r="AH147" s="4">
        <v>0</v>
      </c>
      <c r="AI147" s="4">
        <v>1</v>
      </c>
      <c r="AJ147" s="4">
        <v>0</v>
      </c>
      <c r="AK147" s="4">
        <v>1</v>
      </c>
      <c r="AL147" s="4">
        <v>0</v>
      </c>
      <c r="AM147" s="4">
        <v>0</v>
      </c>
      <c r="AN147" s="4">
        <v>0</v>
      </c>
      <c r="AO147" s="4">
        <v>512</v>
      </c>
      <c r="AP147" s="4">
        <v>0</v>
      </c>
      <c r="AQ147" s="4">
        <v>1</v>
      </c>
      <c r="AR147" s="4">
        <v>513</v>
      </c>
      <c r="AS147" s="4">
        <v>0</v>
      </c>
      <c r="AT147" s="9">
        <v>146</v>
      </c>
      <c r="AU147" s="9" t="s">
        <v>101</v>
      </c>
      <c r="AV147" s="9" t="s">
        <v>101</v>
      </c>
    </row>
    <row r="148" spans="1:49" x14ac:dyDescent="0.25">
      <c r="A148" s="4">
        <v>147</v>
      </c>
      <c r="B148" s="4">
        <v>147</v>
      </c>
      <c r="C148" s="4">
        <v>149</v>
      </c>
      <c r="D148" s="4">
        <v>3</v>
      </c>
      <c r="E148" s="4">
        <v>273</v>
      </c>
      <c r="F148" s="4">
        <v>1</v>
      </c>
      <c r="G148" s="4">
        <v>1</v>
      </c>
      <c r="H148" s="4">
        <v>128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1</v>
      </c>
      <c r="S148" s="4">
        <v>2</v>
      </c>
      <c r="T148" s="4">
        <v>1</v>
      </c>
      <c r="U148" s="4">
        <v>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4</v>
      </c>
      <c r="AI148" s="4">
        <v>0</v>
      </c>
      <c r="AJ148" s="4">
        <v>0</v>
      </c>
      <c r="AK148" s="4">
        <v>2</v>
      </c>
      <c r="AL148" s="4">
        <v>0</v>
      </c>
      <c r="AM148" s="4">
        <v>2</v>
      </c>
      <c r="AN148" s="4">
        <v>0</v>
      </c>
      <c r="AO148" s="4">
        <v>570</v>
      </c>
      <c r="AP148" s="4">
        <v>0</v>
      </c>
      <c r="AQ148" s="4">
        <v>0</v>
      </c>
      <c r="AR148" s="4">
        <v>570</v>
      </c>
      <c r="AS148" s="4">
        <v>0</v>
      </c>
      <c r="AT148" s="9">
        <v>147</v>
      </c>
      <c r="AU148" s="9" t="s">
        <v>290</v>
      </c>
      <c r="AV148" s="9" t="s">
        <v>101</v>
      </c>
    </row>
    <row r="149" spans="1:49" x14ac:dyDescent="0.25">
      <c r="A149" s="4">
        <v>148</v>
      </c>
      <c r="B149" s="4">
        <v>148</v>
      </c>
      <c r="C149" s="4">
        <v>166</v>
      </c>
      <c r="D149" s="4">
        <v>23</v>
      </c>
      <c r="E149" s="4">
        <v>318</v>
      </c>
      <c r="F149" s="4">
        <v>5</v>
      </c>
      <c r="G149" s="4">
        <v>0</v>
      </c>
      <c r="H149" s="4">
        <v>108</v>
      </c>
      <c r="I149" s="4">
        <v>1</v>
      </c>
      <c r="J149" s="4">
        <v>1</v>
      </c>
      <c r="K149" s="4">
        <v>1</v>
      </c>
      <c r="L149" s="4">
        <v>0</v>
      </c>
      <c r="M149" s="4">
        <v>1</v>
      </c>
      <c r="N149" s="4">
        <v>4</v>
      </c>
      <c r="O149" s="4">
        <v>0</v>
      </c>
      <c r="P149" s="4">
        <v>2</v>
      </c>
      <c r="Q149" s="4">
        <v>1</v>
      </c>
      <c r="R149" s="4">
        <v>9</v>
      </c>
      <c r="S149" s="4">
        <v>3</v>
      </c>
      <c r="T149" s="4">
        <v>2</v>
      </c>
      <c r="U149" s="4">
        <v>5</v>
      </c>
      <c r="V149" s="4">
        <v>0</v>
      </c>
      <c r="W149" s="4">
        <v>1</v>
      </c>
      <c r="X149" s="4">
        <v>1</v>
      </c>
      <c r="Y149" s="4">
        <v>0</v>
      </c>
      <c r="Z149" s="4">
        <v>1</v>
      </c>
      <c r="AA149" s="4">
        <v>2</v>
      </c>
      <c r="AB149" s="4">
        <v>0</v>
      </c>
      <c r="AC149" s="4">
        <v>3</v>
      </c>
      <c r="AD149" s="4">
        <v>1</v>
      </c>
      <c r="AE149" s="4">
        <v>0</v>
      </c>
      <c r="AF149" s="4">
        <v>0</v>
      </c>
      <c r="AG149" s="4">
        <v>0</v>
      </c>
      <c r="AH149" s="4">
        <v>6</v>
      </c>
      <c r="AI149" s="4">
        <v>0</v>
      </c>
      <c r="AJ149" s="4">
        <v>0</v>
      </c>
      <c r="AK149" s="4">
        <v>1</v>
      </c>
      <c r="AL149" s="4">
        <v>0</v>
      </c>
      <c r="AM149" s="4">
        <v>0</v>
      </c>
      <c r="AN149" s="4">
        <v>0</v>
      </c>
      <c r="AO149" s="4">
        <v>666</v>
      </c>
      <c r="AP149" s="4">
        <v>0</v>
      </c>
      <c r="AQ149" s="4">
        <v>3</v>
      </c>
      <c r="AR149" s="4">
        <v>669</v>
      </c>
      <c r="AS149" s="4">
        <v>0</v>
      </c>
      <c r="AT149" s="9">
        <v>148</v>
      </c>
      <c r="AU149" s="9" t="s">
        <v>291</v>
      </c>
      <c r="AV149" s="9" t="s">
        <v>101</v>
      </c>
    </row>
    <row r="150" spans="1:49" ht="114.75" x14ac:dyDescent="0.25">
      <c r="A150" s="4">
        <v>149</v>
      </c>
      <c r="B150" s="4">
        <v>149</v>
      </c>
      <c r="C150" s="4">
        <v>584</v>
      </c>
      <c r="D150" s="4">
        <v>5</v>
      </c>
      <c r="E150" s="4">
        <v>82</v>
      </c>
      <c r="F150" s="4">
        <v>0</v>
      </c>
      <c r="G150" s="4">
        <v>0</v>
      </c>
      <c r="H150" s="4">
        <v>39</v>
      </c>
      <c r="I150" s="4">
        <v>0</v>
      </c>
      <c r="J150" s="4">
        <v>1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4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716</v>
      </c>
      <c r="AP150" s="4">
        <v>0</v>
      </c>
      <c r="AQ150" s="4">
        <v>1</v>
      </c>
      <c r="AR150" s="4">
        <v>717</v>
      </c>
      <c r="AS150" s="4">
        <v>0</v>
      </c>
      <c r="AT150" s="9">
        <v>149</v>
      </c>
      <c r="AU150" s="9" t="s">
        <v>292</v>
      </c>
      <c r="AV150" s="9" t="s">
        <v>293</v>
      </c>
    </row>
    <row r="151" spans="1:49" x14ac:dyDescent="0.25">
      <c r="A151" s="4">
        <v>150</v>
      </c>
      <c r="B151" s="4">
        <v>150</v>
      </c>
      <c r="C151" s="4">
        <v>132</v>
      </c>
      <c r="D151" s="4">
        <v>35</v>
      </c>
      <c r="E151" s="4">
        <v>261</v>
      </c>
      <c r="F151" s="4">
        <v>2</v>
      </c>
      <c r="G151" s="4">
        <v>1</v>
      </c>
      <c r="H151" s="4">
        <v>11</v>
      </c>
      <c r="I151" s="4">
        <v>0</v>
      </c>
      <c r="J151" s="4">
        <v>0</v>
      </c>
      <c r="K151" s="4">
        <v>1</v>
      </c>
      <c r="L151" s="4">
        <v>0</v>
      </c>
      <c r="M151" s="4">
        <v>0</v>
      </c>
      <c r="N151" s="4">
        <v>1</v>
      </c>
      <c r="O151" s="4">
        <v>2</v>
      </c>
      <c r="P151" s="4">
        <v>2</v>
      </c>
      <c r="Q151" s="4">
        <v>1</v>
      </c>
      <c r="R151" s="4">
        <v>1</v>
      </c>
      <c r="S151" s="4">
        <v>1</v>
      </c>
      <c r="T151" s="4">
        <v>0</v>
      </c>
      <c r="U151" s="4">
        <v>1</v>
      </c>
      <c r="V151" s="4">
        <v>0</v>
      </c>
      <c r="W151" s="4">
        <v>1</v>
      </c>
      <c r="X151" s="4">
        <v>0</v>
      </c>
      <c r="Y151" s="4">
        <v>0</v>
      </c>
      <c r="Z151" s="4">
        <v>0</v>
      </c>
      <c r="AA151" s="4">
        <v>0</v>
      </c>
      <c r="AB151" s="4">
        <v>1</v>
      </c>
      <c r="AC151" s="4">
        <v>2</v>
      </c>
      <c r="AD151" s="4">
        <v>0</v>
      </c>
      <c r="AE151" s="4">
        <v>0</v>
      </c>
      <c r="AF151" s="4">
        <v>1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1</v>
      </c>
      <c r="AO151" s="4">
        <v>458</v>
      </c>
      <c r="AP151" s="4">
        <v>0</v>
      </c>
      <c r="AQ151" s="4">
        <v>1</v>
      </c>
      <c r="AR151" s="4">
        <v>459</v>
      </c>
      <c r="AS151" s="4">
        <v>0</v>
      </c>
      <c r="AT151" s="9">
        <v>150</v>
      </c>
      <c r="AU151" s="9" t="s">
        <v>294</v>
      </c>
      <c r="AV151" s="9" t="s">
        <v>101</v>
      </c>
    </row>
    <row r="152" spans="1:49" x14ac:dyDescent="0.25">
      <c r="A152" s="4">
        <v>151</v>
      </c>
      <c r="B152" s="4">
        <v>151</v>
      </c>
      <c r="C152" s="4">
        <v>465</v>
      </c>
      <c r="D152" s="4">
        <v>1</v>
      </c>
      <c r="E152" s="4">
        <v>242</v>
      </c>
      <c r="F152" s="4">
        <v>3</v>
      </c>
      <c r="G152" s="4">
        <v>1</v>
      </c>
      <c r="H152" s="4">
        <v>61</v>
      </c>
      <c r="I152" s="4">
        <v>1</v>
      </c>
      <c r="J152" s="4">
        <v>0</v>
      </c>
      <c r="K152" s="4">
        <v>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1</v>
      </c>
      <c r="R152" s="4">
        <v>1</v>
      </c>
      <c r="S152" s="4">
        <v>1</v>
      </c>
      <c r="T152" s="4">
        <v>0</v>
      </c>
      <c r="U152" s="4">
        <v>0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2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2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784</v>
      </c>
      <c r="AP152" s="4">
        <v>0</v>
      </c>
      <c r="AQ152" s="4">
        <v>1</v>
      </c>
      <c r="AR152" s="4">
        <v>785</v>
      </c>
      <c r="AS152" s="4">
        <v>0</v>
      </c>
      <c r="AT152" s="9">
        <v>151</v>
      </c>
      <c r="AU152" s="9" t="s">
        <v>295</v>
      </c>
      <c r="AV152" s="9" t="s">
        <v>296</v>
      </c>
    </row>
    <row r="153" spans="1:49" x14ac:dyDescent="0.25">
      <c r="A153" s="4">
        <v>152</v>
      </c>
      <c r="B153" s="4">
        <v>152</v>
      </c>
      <c r="C153" s="4">
        <v>214</v>
      </c>
      <c r="D153" s="4">
        <v>32</v>
      </c>
      <c r="E153" s="4">
        <v>314</v>
      </c>
      <c r="F153" s="4">
        <v>3</v>
      </c>
      <c r="G153" s="4">
        <v>2</v>
      </c>
      <c r="H153" s="4">
        <v>21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</v>
      </c>
      <c r="O153" s="4">
        <v>1</v>
      </c>
      <c r="P153" s="4">
        <v>1</v>
      </c>
      <c r="Q153" s="4">
        <v>1</v>
      </c>
      <c r="R153" s="4">
        <v>3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1</v>
      </c>
      <c r="Z153" s="4">
        <v>0</v>
      </c>
      <c r="AA153" s="4">
        <v>0</v>
      </c>
      <c r="AB153" s="4">
        <v>0</v>
      </c>
      <c r="AC153" s="4">
        <v>4</v>
      </c>
      <c r="AD153" s="4">
        <v>0</v>
      </c>
      <c r="AE153" s="4">
        <v>0</v>
      </c>
      <c r="AF153" s="4">
        <v>2</v>
      </c>
      <c r="AG153" s="4">
        <v>0</v>
      </c>
      <c r="AH153" s="4">
        <v>1</v>
      </c>
      <c r="AI153" s="4">
        <v>1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602</v>
      </c>
      <c r="AP153" s="4">
        <v>0</v>
      </c>
      <c r="AQ153" s="4">
        <v>0</v>
      </c>
      <c r="AR153" s="4">
        <v>602</v>
      </c>
      <c r="AS153" s="4">
        <v>0</v>
      </c>
      <c r="AT153" s="9">
        <v>152</v>
      </c>
      <c r="AU153" s="9" t="s">
        <v>297</v>
      </c>
      <c r="AV153" s="9" t="s">
        <v>296</v>
      </c>
      <c r="AW153" t="s">
        <v>624</v>
      </c>
    </row>
    <row r="154" spans="1:49" x14ac:dyDescent="0.25">
      <c r="A154" s="4">
        <v>153</v>
      </c>
      <c r="B154" s="4">
        <v>153</v>
      </c>
      <c r="C154" s="4">
        <v>299</v>
      </c>
      <c r="D154" s="4">
        <v>27</v>
      </c>
      <c r="E154" s="4">
        <v>276</v>
      </c>
      <c r="F154" s="4">
        <v>2</v>
      </c>
      <c r="G154" s="4">
        <v>1</v>
      </c>
      <c r="H154" s="4">
        <v>18</v>
      </c>
      <c r="I154" s="4">
        <v>1</v>
      </c>
      <c r="J154" s="4">
        <v>0</v>
      </c>
      <c r="K154" s="4">
        <v>0</v>
      </c>
      <c r="L154" s="4">
        <v>1</v>
      </c>
      <c r="M154" s="4">
        <v>3</v>
      </c>
      <c r="N154" s="4">
        <v>6</v>
      </c>
      <c r="O154" s="4">
        <v>1</v>
      </c>
      <c r="P154" s="4">
        <v>4</v>
      </c>
      <c r="Q154" s="4">
        <v>0</v>
      </c>
      <c r="R154" s="4">
        <v>12</v>
      </c>
      <c r="S154" s="4">
        <v>3</v>
      </c>
      <c r="T154" s="4">
        <v>2</v>
      </c>
      <c r="U154" s="4">
        <v>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</v>
      </c>
      <c r="AC154" s="4">
        <v>4</v>
      </c>
      <c r="AD154" s="4">
        <v>2</v>
      </c>
      <c r="AE154" s="4">
        <v>0</v>
      </c>
      <c r="AF154" s="4">
        <v>0</v>
      </c>
      <c r="AG154" s="4">
        <v>0</v>
      </c>
      <c r="AH154" s="4">
        <v>1</v>
      </c>
      <c r="AI154" s="4">
        <v>0</v>
      </c>
      <c r="AJ154" s="4">
        <v>0</v>
      </c>
      <c r="AK154" s="4">
        <v>1</v>
      </c>
      <c r="AL154" s="4">
        <v>1</v>
      </c>
      <c r="AM154" s="4">
        <v>0</v>
      </c>
      <c r="AN154" s="4">
        <v>0</v>
      </c>
      <c r="AO154" s="4">
        <v>669</v>
      </c>
      <c r="AP154" s="4">
        <v>0</v>
      </c>
      <c r="AQ154" s="4">
        <v>0</v>
      </c>
      <c r="AR154" s="4">
        <v>669</v>
      </c>
      <c r="AS154" s="4">
        <v>0</v>
      </c>
      <c r="AT154" s="9">
        <v>153</v>
      </c>
      <c r="AU154" s="9" t="s">
        <v>298</v>
      </c>
      <c r="AV154" s="9" t="s">
        <v>101</v>
      </c>
      <c r="AW154" t="s">
        <v>625</v>
      </c>
    </row>
    <row r="155" spans="1:49" x14ac:dyDescent="0.25">
      <c r="A155" s="4">
        <v>154</v>
      </c>
      <c r="B155" s="4">
        <v>154</v>
      </c>
      <c r="C155" s="4">
        <v>193</v>
      </c>
      <c r="D155" s="4">
        <v>1</v>
      </c>
      <c r="E155" s="4">
        <v>95</v>
      </c>
      <c r="F155" s="4">
        <v>0</v>
      </c>
      <c r="G155" s="4">
        <v>1</v>
      </c>
      <c r="H155" s="4">
        <v>36</v>
      </c>
      <c r="I155" s="4">
        <v>0</v>
      </c>
      <c r="J155" s="4">
        <v>1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1</v>
      </c>
      <c r="T155" s="4">
        <v>1</v>
      </c>
      <c r="U155" s="4">
        <v>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</v>
      </c>
      <c r="AH155" s="4">
        <v>3</v>
      </c>
      <c r="AI155" s="4">
        <v>2</v>
      </c>
      <c r="AJ155" s="4">
        <v>0</v>
      </c>
      <c r="AK155" s="4">
        <v>0</v>
      </c>
      <c r="AL155" s="4">
        <v>1</v>
      </c>
      <c r="AM155" s="4">
        <v>0</v>
      </c>
      <c r="AN155" s="4">
        <v>0</v>
      </c>
      <c r="AO155" s="4">
        <v>338</v>
      </c>
      <c r="AP155" s="4">
        <v>0</v>
      </c>
      <c r="AQ155" s="4">
        <v>0</v>
      </c>
      <c r="AR155" s="4">
        <v>338</v>
      </c>
      <c r="AS155" s="4">
        <v>0</v>
      </c>
      <c r="AT155" s="9">
        <v>154</v>
      </c>
      <c r="AU155" s="9" t="s">
        <v>299</v>
      </c>
      <c r="AV155" s="9" t="s">
        <v>101</v>
      </c>
      <c r="AW155" t="s">
        <v>626</v>
      </c>
    </row>
    <row r="156" spans="1:49" x14ac:dyDescent="0.25">
      <c r="A156" s="4">
        <v>155</v>
      </c>
      <c r="B156" s="4">
        <v>155</v>
      </c>
      <c r="C156" s="4">
        <v>140</v>
      </c>
      <c r="D156" s="4">
        <v>22</v>
      </c>
      <c r="E156" s="4">
        <v>461</v>
      </c>
      <c r="F156" s="4">
        <v>4</v>
      </c>
      <c r="G156" s="4">
        <v>0</v>
      </c>
      <c r="H156" s="4">
        <v>30</v>
      </c>
      <c r="I156" s="4">
        <v>1</v>
      </c>
      <c r="J156" s="4">
        <v>1</v>
      </c>
      <c r="K156" s="4">
        <v>2</v>
      </c>
      <c r="L156" s="4">
        <v>2</v>
      </c>
      <c r="M156" s="4">
        <v>2</v>
      </c>
      <c r="N156" s="4">
        <v>4</v>
      </c>
      <c r="O156" s="4">
        <v>2</v>
      </c>
      <c r="P156" s="4">
        <v>4</v>
      </c>
      <c r="Q156" s="4">
        <v>1</v>
      </c>
      <c r="R156" s="4">
        <v>4</v>
      </c>
      <c r="S156" s="4">
        <v>1</v>
      </c>
      <c r="T156" s="4">
        <v>0</v>
      </c>
      <c r="U156" s="4">
        <v>3</v>
      </c>
      <c r="V156" s="4">
        <v>0</v>
      </c>
      <c r="W156" s="4">
        <v>2</v>
      </c>
      <c r="X156" s="4">
        <v>0</v>
      </c>
      <c r="Y156" s="4">
        <v>0</v>
      </c>
      <c r="Z156" s="4">
        <v>1</v>
      </c>
      <c r="AA156" s="4">
        <v>0</v>
      </c>
      <c r="AB156" s="4">
        <v>1</v>
      </c>
      <c r="AC156" s="4">
        <v>2</v>
      </c>
      <c r="AD156" s="4">
        <v>1</v>
      </c>
      <c r="AE156" s="4">
        <v>1</v>
      </c>
      <c r="AF156" s="4">
        <v>2</v>
      </c>
      <c r="AG156" s="4">
        <v>0</v>
      </c>
      <c r="AH156" s="4">
        <v>0</v>
      </c>
      <c r="AI156" s="4">
        <v>3</v>
      </c>
      <c r="AJ156" s="4">
        <v>2</v>
      </c>
      <c r="AK156" s="4">
        <v>0</v>
      </c>
      <c r="AL156" s="4">
        <v>0</v>
      </c>
      <c r="AM156" s="4">
        <v>0</v>
      </c>
      <c r="AN156" s="4">
        <v>0</v>
      </c>
      <c r="AO156" s="4">
        <v>699</v>
      </c>
      <c r="AP156" s="4">
        <v>0</v>
      </c>
      <c r="AQ156" s="4">
        <v>0</v>
      </c>
      <c r="AR156" s="4">
        <v>699</v>
      </c>
      <c r="AS156" s="4">
        <v>0</v>
      </c>
      <c r="AT156" s="9">
        <v>155</v>
      </c>
      <c r="AU156" s="9" t="s">
        <v>300</v>
      </c>
      <c r="AV156" s="9" t="s">
        <v>101</v>
      </c>
      <c r="AW156" t="s">
        <v>626</v>
      </c>
    </row>
    <row r="157" spans="1:49" x14ac:dyDescent="0.25">
      <c r="A157" s="4">
        <v>156</v>
      </c>
      <c r="B157" s="4">
        <v>156</v>
      </c>
      <c r="C157" s="4">
        <v>277</v>
      </c>
      <c r="D157" s="4">
        <v>4</v>
      </c>
      <c r="E157" s="4">
        <v>268</v>
      </c>
      <c r="F157" s="4">
        <v>2</v>
      </c>
      <c r="G157" s="4">
        <v>0</v>
      </c>
      <c r="H157" s="4">
        <v>58</v>
      </c>
      <c r="I157" s="4">
        <v>0</v>
      </c>
      <c r="J157" s="4">
        <v>0</v>
      </c>
      <c r="K157" s="4">
        <v>0</v>
      </c>
      <c r="L157" s="4">
        <v>1</v>
      </c>
      <c r="M157" s="4">
        <v>0</v>
      </c>
      <c r="N157" s="4">
        <v>4</v>
      </c>
      <c r="O157" s="4">
        <v>0</v>
      </c>
      <c r="P157" s="4">
        <v>1</v>
      </c>
      <c r="Q157" s="4">
        <v>0</v>
      </c>
      <c r="R157" s="4">
        <v>3</v>
      </c>
      <c r="S157" s="4">
        <v>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620</v>
      </c>
      <c r="AP157" s="4">
        <v>0</v>
      </c>
      <c r="AQ157" s="4">
        <v>0</v>
      </c>
      <c r="AR157" s="4">
        <v>620</v>
      </c>
      <c r="AS157" s="4">
        <v>0</v>
      </c>
      <c r="AT157" s="9">
        <v>156</v>
      </c>
      <c r="AU157" s="9" t="s">
        <v>301</v>
      </c>
      <c r="AV157" s="9" t="s">
        <v>101</v>
      </c>
      <c r="AW157" t="s">
        <v>627</v>
      </c>
    </row>
    <row r="158" spans="1:49" x14ac:dyDescent="0.25">
      <c r="A158" s="4">
        <v>157</v>
      </c>
      <c r="B158" s="4">
        <v>157</v>
      </c>
      <c r="C158" s="4">
        <v>117</v>
      </c>
      <c r="D158" s="4">
        <v>18</v>
      </c>
      <c r="E158" s="4">
        <v>370</v>
      </c>
      <c r="F158" s="4">
        <v>3</v>
      </c>
      <c r="G158" s="4">
        <v>0</v>
      </c>
      <c r="H158" s="4">
        <v>5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1</v>
      </c>
      <c r="P158" s="4">
        <v>1</v>
      </c>
      <c r="Q158" s="4">
        <v>1</v>
      </c>
      <c r="R158" s="4">
        <v>1</v>
      </c>
      <c r="S158" s="4">
        <v>0</v>
      </c>
      <c r="T158" s="4">
        <v>0</v>
      </c>
      <c r="U158" s="4">
        <v>1</v>
      </c>
      <c r="V158" s="4">
        <v>0</v>
      </c>
      <c r="W158" s="4">
        <v>1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</v>
      </c>
      <c r="AG158" s="4">
        <v>0</v>
      </c>
      <c r="AH158" s="4">
        <v>0</v>
      </c>
      <c r="AI158" s="4">
        <v>2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522</v>
      </c>
      <c r="AP158" s="4">
        <v>0</v>
      </c>
      <c r="AQ158" s="4">
        <v>0</v>
      </c>
      <c r="AR158" s="4">
        <v>522</v>
      </c>
      <c r="AS158" s="4">
        <v>0</v>
      </c>
      <c r="AT158" s="9">
        <v>157</v>
      </c>
      <c r="AU158" s="9" t="s">
        <v>302</v>
      </c>
      <c r="AV158" s="9" t="s">
        <v>101</v>
      </c>
      <c r="AW158" t="s">
        <v>628</v>
      </c>
    </row>
    <row r="159" spans="1:49" x14ac:dyDescent="0.25">
      <c r="A159" s="4">
        <v>158</v>
      </c>
      <c r="B159" s="4">
        <v>158</v>
      </c>
      <c r="C159" s="4">
        <v>162</v>
      </c>
      <c r="D159" s="4">
        <v>18</v>
      </c>
      <c r="E159" s="4">
        <v>390</v>
      </c>
      <c r="F159" s="4">
        <v>5</v>
      </c>
      <c r="G159" s="4">
        <v>2</v>
      </c>
      <c r="H159" s="4">
        <v>12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1</v>
      </c>
      <c r="Q159" s="4">
        <v>4</v>
      </c>
      <c r="R159" s="4">
        <v>4</v>
      </c>
      <c r="S159" s="4">
        <v>0</v>
      </c>
      <c r="T159" s="4">
        <v>1</v>
      </c>
      <c r="U159" s="4">
        <v>0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</v>
      </c>
      <c r="AC159" s="4">
        <v>2</v>
      </c>
      <c r="AD159" s="4">
        <v>2</v>
      </c>
      <c r="AE159" s="4">
        <v>1</v>
      </c>
      <c r="AF159" s="4">
        <v>4</v>
      </c>
      <c r="AG159" s="4">
        <v>0</v>
      </c>
      <c r="AH159" s="4">
        <v>1</v>
      </c>
      <c r="AI159" s="4">
        <v>2</v>
      </c>
      <c r="AJ159" s="4">
        <v>0</v>
      </c>
      <c r="AK159" s="4">
        <v>2</v>
      </c>
      <c r="AL159" s="4">
        <v>0</v>
      </c>
      <c r="AM159" s="4">
        <v>0</v>
      </c>
      <c r="AN159" s="4">
        <v>0</v>
      </c>
      <c r="AO159" s="4">
        <v>616</v>
      </c>
      <c r="AP159" s="4">
        <v>0</v>
      </c>
      <c r="AQ159" s="4">
        <v>1</v>
      </c>
      <c r="AR159" s="4">
        <v>617</v>
      </c>
      <c r="AS159" s="4">
        <v>0</v>
      </c>
      <c r="AT159" s="9">
        <v>158</v>
      </c>
      <c r="AU159" s="9" t="s">
        <v>297</v>
      </c>
      <c r="AV159" s="9" t="s">
        <v>296</v>
      </c>
    </row>
    <row r="160" spans="1:49" ht="63.75" x14ac:dyDescent="0.25">
      <c r="A160" s="4">
        <v>159</v>
      </c>
      <c r="B160" s="4">
        <v>159</v>
      </c>
      <c r="C160" s="4">
        <v>210</v>
      </c>
      <c r="D160" s="4">
        <v>17</v>
      </c>
      <c r="E160" s="4">
        <v>266</v>
      </c>
      <c r="F160" s="4">
        <v>0</v>
      </c>
      <c r="G160" s="4">
        <v>3</v>
      </c>
      <c r="H160" s="4">
        <v>1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1</v>
      </c>
      <c r="O160" s="4">
        <v>0</v>
      </c>
      <c r="P160" s="4">
        <v>0</v>
      </c>
      <c r="Q160" s="4">
        <v>0</v>
      </c>
      <c r="R160" s="4">
        <v>4</v>
      </c>
      <c r="S160" s="4">
        <v>1</v>
      </c>
      <c r="T160" s="4">
        <v>0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2</v>
      </c>
      <c r="AC160" s="4">
        <v>1</v>
      </c>
      <c r="AD160" s="4">
        <v>1</v>
      </c>
      <c r="AE160" s="4">
        <v>0</v>
      </c>
      <c r="AF160" s="4">
        <v>1</v>
      </c>
      <c r="AG160" s="4">
        <v>0</v>
      </c>
      <c r="AH160" s="4">
        <v>2</v>
      </c>
      <c r="AI160" s="4">
        <v>3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516</v>
      </c>
      <c r="AP160" s="4">
        <v>0</v>
      </c>
      <c r="AQ160" s="4">
        <v>0</v>
      </c>
      <c r="AR160" s="4">
        <v>516</v>
      </c>
      <c r="AS160" s="4">
        <v>0</v>
      </c>
      <c r="AT160" s="9">
        <v>159</v>
      </c>
      <c r="AU160" s="9" t="s">
        <v>303</v>
      </c>
      <c r="AV160" s="9" t="s">
        <v>304</v>
      </c>
    </row>
    <row r="161" spans="1:48" x14ac:dyDescent="0.25">
      <c r="A161" s="4">
        <v>160</v>
      </c>
      <c r="B161" s="4">
        <v>160</v>
      </c>
      <c r="C161" s="4">
        <v>66</v>
      </c>
      <c r="D161" s="4">
        <v>7</v>
      </c>
      <c r="E161" s="4">
        <v>161</v>
      </c>
      <c r="F161" s="4">
        <v>0</v>
      </c>
      <c r="G161" s="4">
        <v>0</v>
      </c>
      <c r="H161" s="4">
        <v>1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238</v>
      </c>
      <c r="AP161" s="4">
        <v>0</v>
      </c>
      <c r="AQ161" s="4">
        <v>0</v>
      </c>
      <c r="AR161" s="4">
        <v>238</v>
      </c>
      <c r="AS161" s="4">
        <v>0</v>
      </c>
      <c r="AT161" s="9">
        <v>160</v>
      </c>
      <c r="AU161" s="9" t="s">
        <v>101</v>
      </c>
      <c r="AV161" s="9" t="s">
        <v>101</v>
      </c>
    </row>
    <row r="162" spans="1:48" x14ac:dyDescent="0.25">
      <c r="A162" s="4">
        <v>161</v>
      </c>
      <c r="B162" s="4">
        <v>161</v>
      </c>
      <c r="C162" s="4">
        <v>175</v>
      </c>
      <c r="D162" s="4">
        <v>18</v>
      </c>
      <c r="E162" s="4">
        <v>296</v>
      </c>
      <c r="F162" s="4">
        <v>2</v>
      </c>
      <c r="G162" s="4">
        <v>2</v>
      </c>
      <c r="H162" s="4">
        <v>3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1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</v>
      </c>
      <c r="AC162" s="4">
        <v>1</v>
      </c>
      <c r="AD162" s="4">
        <v>0</v>
      </c>
      <c r="AE162" s="4">
        <v>0</v>
      </c>
      <c r="AF162" s="4">
        <v>1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500</v>
      </c>
      <c r="AP162" s="4">
        <v>0</v>
      </c>
      <c r="AQ162" s="4">
        <v>0</v>
      </c>
      <c r="AR162" s="4">
        <v>500</v>
      </c>
      <c r="AS162" s="4">
        <v>0</v>
      </c>
      <c r="AT162" s="9">
        <v>161</v>
      </c>
      <c r="AU162" s="9" t="s">
        <v>305</v>
      </c>
      <c r="AV162" s="9" t="s">
        <v>101</v>
      </c>
    </row>
    <row r="163" spans="1:48" x14ac:dyDescent="0.25">
      <c r="A163" s="4">
        <v>162</v>
      </c>
      <c r="B163" s="4">
        <v>162</v>
      </c>
      <c r="C163" s="4">
        <v>219</v>
      </c>
      <c r="D163" s="4">
        <v>41</v>
      </c>
      <c r="E163" s="4">
        <v>172</v>
      </c>
      <c r="F163" s="4">
        <v>1</v>
      </c>
      <c r="G163" s="4">
        <v>0</v>
      </c>
      <c r="H163" s="4">
        <v>29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1</v>
      </c>
      <c r="O163" s="4">
        <v>0</v>
      </c>
      <c r="P163" s="4">
        <v>0</v>
      </c>
      <c r="Q163" s="4">
        <v>0</v>
      </c>
      <c r="R163" s="4">
        <v>1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</v>
      </c>
      <c r="AE163" s="4">
        <v>1</v>
      </c>
      <c r="AF163" s="4">
        <v>0</v>
      </c>
      <c r="AG163" s="4">
        <v>0</v>
      </c>
      <c r="AH163" s="4">
        <v>0</v>
      </c>
      <c r="AI163" s="4">
        <v>1</v>
      </c>
      <c r="AJ163" s="4">
        <v>0</v>
      </c>
      <c r="AK163" s="4">
        <v>1</v>
      </c>
      <c r="AL163" s="4">
        <v>0</v>
      </c>
      <c r="AM163" s="4">
        <v>0</v>
      </c>
      <c r="AN163" s="4">
        <v>0</v>
      </c>
      <c r="AO163" s="4">
        <v>469</v>
      </c>
      <c r="AP163" s="4">
        <v>0</v>
      </c>
      <c r="AQ163" s="4">
        <v>0</v>
      </c>
      <c r="AR163" s="4">
        <v>469</v>
      </c>
      <c r="AS163" s="4">
        <v>0</v>
      </c>
      <c r="AT163" s="9">
        <v>162</v>
      </c>
      <c r="AU163" s="9" t="s">
        <v>101</v>
      </c>
      <c r="AV163" s="9" t="s">
        <v>101</v>
      </c>
    </row>
    <row r="164" spans="1:48" x14ac:dyDescent="0.25">
      <c r="A164" s="4">
        <v>163</v>
      </c>
      <c r="B164" s="4">
        <v>163</v>
      </c>
      <c r="C164" s="4">
        <v>184</v>
      </c>
      <c r="D164" s="4">
        <v>23</v>
      </c>
      <c r="E164" s="4">
        <v>474</v>
      </c>
      <c r="F164" s="4">
        <v>4</v>
      </c>
      <c r="G164" s="4">
        <v>1</v>
      </c>
      <c r="H164" s="4">
        <v>2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1</v>
      </c>
      <c r="P164" s="4">
        <v>1</v>
      </c>
      <c r="Q164" s="4">
        <v>1</v>
      </c>
      <c r="R164" s="4">
        <v>1</v>
      </c>
      <c r="S164" s="4">
        <v>0</v>
      </c>
      <c r="T164" s="4">
        <v>0</v>
      </c>
      <c r="U164" s="4">
        <v>3</v>
      </c>
      <c r="V164" s="4">
        <v>0</v>
      </c>
      <c r="W164" s="4">
        <v>1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</v>
      </c>
      <c r="AD164" s="4">
        <v>0</v>
      </c>
      <c r="AE164" s="4">
        <v>0</v>
      </c>
      <c r="AF164" s="4">
        <v>2</v>
      </c>
      <c r="AG164" s="4">
        <v>1</v>
      </c>
      <c r="AH164" s="4">
        <v>1</v>
      </c>
      <c r="AI164" s="4">
        <v>1</v>
      </c>
      <c r="AJ164" s="4">
        <v>1</v>
      </c>
      <c r="AK164" s="4">
        <v>0</v>
      </c>
      <c r="AL164" s="4">
        <v>0</v>
      </c>
      <c r="AM164" s="4">
        <v>0</v>
      </c>
      <c r="AN164" s="4">
        <v>0</v>
      </c>
      <c r="AO164" s="4">
        <v>703</v>
      </c>
      <c r="AP164" s="4">
        <v>0</v>
      </c>
      <c r="AQ164" s="4">
        <v>1</v>
      </c>
      <c r="AR164" s="4">
        <v>704</v>
      </c>
      <c r="AS164" s="4">
        <v>0</v>
      </c>
      <c r="AT164" s="9">
        <v>163</v>
      </c>
      <c r="AU164" s="9" t="s">
        <v>306</v>
      </c>
      <c r="AV164" s="9" t="s">
        <v>101</v>
      </c>
    </row>
    <row r="165" spans="1:48" ht="51" x14ac:dyDescent="0.25">
      <c r="A165" s="4">
        <v>164</v>
      </c>
      <c r="B165" s="4">
        <v>164</v>
      </c>
      <c r="C165" s="4">
        <v>81</v>
      </c>
      <c r="D165" s="4">
        <v>14</v>
      </c>
      <c r="E165" s="4">
        <v>234</v>
      </c>
      <c r="F165" s="4">
        <v>2</v>
      </c>
      <c r="G165" s="4">
        <v>0</v>
      </c>
      <c r="H165" s="4">
        <v>16</v>
      </c>
      <c r="I165" s="4">
        <v>0</v>
      </c>
      <c r="J165" s="4">
        <v>0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  <c r="P165" s="4">
        <v>0</v>
      </c>
      <c r="Q165" s="4">
        <v>0</v>
      </c>
      <c r="R165" s="4">
        <v>1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0</v>
      </c>
      <c r="AE165" s="4">
        <v>0</v>
      </c>
      <c r="AF165" s="4">
        <v>1</v>
      </c>
      <c r="AG165" s="4">
        <v>2</v>
      </c>
      <c r="AH165" s="4">
        <v>2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356</v>
      </c>
      <c r="AP165" s="4">
        <v>0</v>
      </c>
      <c r="AQ165" s="4">
        <v>2</v>
      </c>
      <c r="AR165" s="4">
        <v>358</v>
      </c>
      <c r="AS165" s="4">
        <v>0</v>
      </c>
      <c r="AT165" s="9">
        <v>164</v>
      </c>
      <c r="AU165" s="9" t="s">
        <v>307</v>
      </c>
      <c r="AV165" s="9" t="s">
        <v>308</v>
      </c>
    </row>
    <row r="166" spans="1:48" x14ac:dyDescent="0.25">
      <c r="A166" s="4">
        <v>165</v>
      </c>
      <c r="B166" s="4">
        <v>165</v>
      </c>
      <c r="C166" s="4">
        <v>134</v>
      </c>
      <c r="D166" s="4">
        <v>89</v>
      </c>
      <c r="E166" s="4">
        <v>341</v>
      </c>
      <c r="F166" s="4">
        <v>0</v>
      </c>
      <c r="G166" s="4">
        <v>3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1</v>
      </c>
      <c r="Q166" s="4">
        <v>0</v>
      </c>
      <c r="R166" s="4">
        <v>5</v>
      </c>
      <c r="S166" s="4">
        <v>1</v>
      </c>
      <c r="T166" s="4">
        <v>3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578</v>
      </c>
      <c r="AP166" s="4">
        <v>0</v>
      </c>
      <c r="AQ166" s="4">
        <v>0</v>
      </c>
      <c r="AR166" s="4">
        <v>578</v>
      </c>
      <c r="AS166" s="4">
        <v>0</v>
      </c>
      <c r="AT166" s="9">
        <v>165</v>
      </c>
      <c r="AU166" s="9" t="s">
        <v>309</v>
      </c>
      <c r="AV166" s="9" t="s">
        <v>101</v>
      </c>
    </row>
    <row r="167" spans="1:48" x14ac:dyDescent="0.25">
      <c r="A167" s="4">
        <v>166</v>
      </c>
      <c r="B167" s="4">
        <v>166</v>
      </c>
      <c r="C167" s="4">
        <v>171</v>
      </c>
      <c r="D167" s="4">
        <v>75</v>
      </c>
      <c r="E167" s="4">
        <v>497</v>
      </c>
      <c r="F167" s="4">
        <v>4</v>
      </c>
      <c r="G167" s="4">
        <v>0</v>
      </c>
      <c r="H167" s="4">
        <v>1</v>
      </c>
      <c r="I167" s="4">
        <v>0</v>
      </c>
      <c r="J167" s="4">
        <v>1</v>
      </c>
      <c r="K167" s="4">
        <v>1</v>
      </c>
      <c r="L167" s="4">
        <v>0</v>
      </c>
      <c r="M167" s="4">
        <v>0</v>
      </c>
      <c r="N167" s="4">
        <v>2</v>
      </c>
      <c r="O167" s="4">
        <v>0</v>
      </c>
      <c r="P167" s="4">
        <v>3</v>
      </c>
      <c r="Q167" s="4">
        <v>0</v>
      </c>
      <c r="R167" s="4">
        <v>2</v>
      </c>
      <c r="S167" s="4">
        <v>0</v>
      </c>
      <c r="T167" s="4">
        <v>1</v>
      </c>
      <c r="U167" s="4">
        <v>1</v>
      </c>
      <c r="V167" s="4">
        <v>2</v>
      </c>
      <c r="W167" s="4">
        <v>0</v>
      </c>
      <c r="X167" s="4">
        <v>0</v>
      </c>
      <c r="Y167" s="4">
        <v>0</v>
      </c>
      <c r="Z167" s="4">
        <v>1</v>
      </c>
      <c r="AA167" s="4">
        <v>0</v>
      </c>
      <c r="AB167" s="4">
        <v>1</v>
      </c>
      <c r="AC167" s="4">
        <v>0</v>
      </c>
      <c r="AD167" s="4">
        <v>1</v>
      </c>
      <c r="AE167" s="4">
        <v>0</v>
      </c>
      <c r="AF167" s="4">
        <v>2</v>
      </c>
      <c r="AG167" s="4">
        <v>0</v>
      </c>
      <c r="AH167" s="4">
        <v>5</v>
      </c>
      <c r="AI167" s="4">
        <v>0</v>
      </c>
      <c r="AJ167" s="4">
        <v>0</v>
      </c>
      <c r="AK167" s="4">
        <v>0</v>
      </c>
      <c r="AL167" s="4">
        <v>0</v>
      </c>
      <c r="AM167" s="4">
        <v>1</v>
      </c>
      <c r="AN167" s="4">
        <v>0</v>
      </c>
      <c r="AO167" s="4">
        <v>772</v>
      </c>
      <c r="AP167" s="4">
        <v>0</v>
      </c>
      <c r="AQ167" s="4">
        <v>2</v>
      </c>
      <c r="AR167" s="4">
        <v>774</v>
      </c>
      <c r="AS167" s="4">
        <v>0</v>
      </c>
      <c r="AT167" s="9">
        <v>166</v>
      </c>
      <c r="AU167" s="9" t="s">
        <v>310</v>
      </c>
      <c r="AV167" s="9" t="s">
        <v>101</v>
      </c>
    </row>
    <row r="168" spans="1:48" x14ac:dyDescent="0.25">
      <c r="A168" s="4">
        <v>167</v>
      </c>
      <c r="B168" s="4">
        <v>167</v>
      </c>
      <c r="C168" s="4">
        <v>224</v>
      </c>
      <c r="D168" s="4">
        <v>4</v>
      </c>
      <c r="E168" s="4">
        <v>306</v>
      </c>
      <c r="F168" s="4">
        <v>2</v>
      </c>
      <c r="G168" s="4">
        <v>1</v>
      </c>
      <c r="H168" s="4">
        <v>27</v>
      </c>
      <c r="I168" s="4">
        <v>1</v>
      </c>
      <c r="J168" s="4">
        <v>2</v>
      </c>
      <c r="K168" s="4">
        <v>0</v>
      </c>
      <c r="L168" s="4">
        <v>1</v>
      </c>
      <c r="M168" s="4">
        <v>0</v>
      </c>
      <c r="N168" s="4">
        <v>3</v>
      </c>
      <c r="O168" s="4">
        <v>0</v>
      </c>
      <c r="P168" s="4">
        <v>1</v>
      </c>
      <c r="Q168" s="4">
        <v>0</v>
      </c>
      <c r="R168" s="4">
        <v>4</v>
      </c>
      <c r="S168" s="4">
        <v>5</v>
      </c>
      <c r="T168" s="4">
        <v>2</v>
      </c>
      <c r="U168" s="4">
        <v>1</v>
      </c>
      <c r="V168" s="4">
        <v>0</v>
      </c>
      <c r="W168" s="4">
        <v>0</v>
      </c>
      <c r="X168" s="4">
        <v>1</v>
      </c>
      <c r="Y168" s="4">
        <v>0</v>
      </c>
      <c r="Z168" s="4">
        <v>0</v>
      </c>
      <c r="AA168" s="4">
        <v>1</v>
      </c>
      <c r="AB168" s="4">
        <v>0</v>
      </c>
      <c r="AC168" s="4">
        <v>3</v>
      </c>
      <c r="AD168" s="4">
        <v>0</v>
      </c>
      <c r="AE168" s="4">
        <v>0</v>
      </c>
      <c r="AF168" s="4">
        <v>1</v>
      </c>
      <c r="AG168" s="4">
        <v>0</v>
      </c>
      <c r="AH168" s="4">
        <v>2</v>
      </c>
      <c r="AI168" s="4">
        <v>0</v>
      </c>
      <c r="AJ168" s="4">
        <v>1</v>
      </c>
      <c r="AK168" s="4">
        <v>1</v>
      </c>
      <c r="AL168" s="4">
        <v>0</v>
      </c>
      <c r="AM168" s="4">
        <v>0</v>
      </c>
      <c r="AN168" s="4">
        <v>0</v>
      </c>
      <c r="AO168" s="4">
        <v>594</v>
      </c>
      <c r="AP168" s="4">
        <v>0</v>
      </c>
      <c r="AQ168" s="4">
        <v>1</v>
      </c>
      <c r="AR168" s="4">
        <v>595</v>
      </c>
      <c r="AS168" s="4">
        <v>0</v>
      </c>
      <c r="AT168" s="9">
        <v>167</v>
      </c>
      <c r="AU168" s="9" t="s">
        <v>101</v>
      </c>
      <c r="AV168" s="9" t="s">
        <v>101</v>
      </c>
    </row>
    <row r="169" spans="1:48" ht="25.5" x14ac:dyDescent="0.25">
      <c r="A169" s="4">
        <v>168</v>
      </c>
      <c r="B169" s="4">
        <v>168</v>
      </c>
      <c r="C169" s="4">
        <v>27</v>
      </c>
      <c r="D169" s="4">
        <v>178</v>
      </c>
      <c r="E169" s="4">
        <v>326</v>
      </c>
      <c r="F169" s="4">
        <v>4</v>
      </c>
      <c r="G169" s="4">
        <v>2</v>
      </c>
      <c r="H169" s="4">
        <v>26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</v>
      </c>
      <c r="Q169" s="4">
        <v>0</v>
      </c>
      <c r="R169" s="4">
        <v>3</v>
      </c>
      <c r="S169" s="4">
        <v>1</v>
      </c>
      <c r="T169" s="4">
        <v>1</v>
      </c>
      <c r="U169" s="4">
        <v>2</v>
      </c>
      <c r="V169" s="4">
        <v>2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1</v>
      </c>
      <c r="AC169" s="4">
        <v>1</v>
      </c>
      <c r="AD169" s="4">
        <v>0</v>
      </c>
      <c r="AE169" s="4">
        <v>0</v>
      </c>
      <c r="AF169" s="4">
        <v>0</v>
      </c>
      <c r="AG169" s="4">
        <v>1</v>
      </c>
      <c r="AH169" s="4">
        <v>2</v>
      </c>
      <c r="AI169" s="4">
        <v>1</v>
      </c>
      <c r="AJ169" s="4">
        <v>0</v>
      </c>
      <c r="AK169" s="4">
        <v>2</v>
      </c>
      <c r="AL169" s="4">
        <v>0</v>
      </c>
      <c r="AM169" s="4">
        <v>0</v>
      </c>
      <c r="AN169" s="4">
        <v>1</v>
      </c>
      <c r="AO169" s="4">
        <v>583</v>
      </c>
      <c r="AP169" s="4">
        <v>0</v>
      </c>
      <c r="AQ169" s="4">
        <v>3</v>
      </c>
      <c r="AR169" s="4">
        <v>586</v>
      </c>
      <c r="AS169" s="4">
        <v>0</v>
      </c>
      <c r="AT169" s="9">
        <v>168</v>
      </c>
      <c r="AU169" s="9" t="s">
        <v>311</v>
      </c>
      <c r="AV169" s="9" t="s">
        <v>312</v>
      </c>
    </row>
    <row r="170" spans="1:48" ht="25.5" x14ac:dyDescent="0.25">
      <c r="A170" s="4">
        <v>169</v>
      </c>
      <c r="B170" s="4">
        <v>169</v>
      </c>
      <c r="C170" s="4">
        <v>41</v>
      </c>
      <c r="D170" s="4">
        <v>36</v>
      </c>
      <c r="E170" s="4">
        <v>848</v>
      </c>
      <c r="F170" s="4">
        <v>4</v>
      </c>
      <c r="G170" s="4">
        <v>1</v>
      </c>
      <c r="H170" s="4">
        <v>3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934</v>
      </c>
      <c r="AP170" s="4">
        <v>0</v>
      </c>
      <c r="AQ170" s="4">
        <v>0</v>
      </c>
      <c r="AR170" s="4">
        <v>934</v>
      </c>
      <c r="AS170" s="4">
        <v>0</v>
      </c>
      <c r="AT170" s="9">
        <v>169</v>
      </c>
      <c r="AU170" s="9" t="s">
        <v>313</v>
      </c>
      <c r="AV170" s="9" t="s">
        <v>314</v>
      </c>
    </row>
    <row r="171" spans="1:48" ht="25.5" x14ac:dyDescent="0.25">
      <c r="A171" s="4">
        <v>170</v>
      </c>
      <c r="B171" s="4">
        <v>170</v>
      </c>
      <c r="C171" s="4">
        <v>49</v>
      </c>
      <c r="D171" s="4">
        <v>34</v>
      </c>
      <c r="E171" s="4">
        <v>338</v>
      </c>
      <c r="F171" s="4">
        <v>2</v>
      </c>
      <c r="G171" s="4">
        <v>1</v>
      </c>
      <c r="H171" s="4">
        <v>3</v>
      </c>
      <c r="I171" s="4">
        <v>0</v>
      </c>
      <c r="J171" s="4">
        <v>0</v>
      </c>
      <c r="K171" s="4">
        <v>1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</v>
      </c>
      <c r="U171" s="4">
        <v>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</v>
      </c>
      <c r="AC171" s="4">
        <v>0</v>
      </c>
      <c r="AD171" s="4">
        <v>1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432</v>
      </c>
      <c r="AP171" s="4">
        <v>0</v>
      </c>
      <c r="AQ171" s="4">
        <v>0</v>
      </c>
      <c r="AR171" s="4">
        <v>432</v>
      </c>
      <c r="AS171" s="4">
        <v>0</v>
      </c>
      <c r="AT171" s="9">
        <v>170</v>
      </c>
      <c r="AU171" s="9" t="s">
        <v>313</v>
      </c>
      <c r="AV171" s="9" t="s">
        <v>314</v>
      </c>
    </row>
    <row r="172" spans="1:48" x14ac:dyDescent="0.25">
      <c r="A172" s="4">
        <v>171</v>
      </c>
      <c r="B172" s="4">
        <v>171</v>
      </c>
      <c r="C172" s="4">
        <v>62</v>
      </c>
      <c r="D172" s="4">
        <v>6</v>
      </c>
      <c r="E172" s="4">
        <v>326</v>
      </c>
      <c r="F172" s="4">
        <v>3</v>
      </c>
      <c r="G172" s="4">
        <v>1</v>
      </c>
      <c r="H172" s="4">
        <v>24</v>
      </c>
      <c r="I172" s="4">
        <v>1</v>
      </c>
      <c r="J172" s="4">
        <v>0</v>
      </c>
      <c r="K172" s="4">
        <v>1</v>
      </c>
      <c r="L172" s="4">
        <v>0</v>
      </c>
      <c r="M172" s="4">
        <v>2</v>
      </c>
      <c r="N172" s="4">
        <v>0</v>
      </c>
      <c r="O172" s="4">
        <v>0</v>
      </c>
      <c r="P172" s="4">
        <v>0</v>
      </c>
      <c r="Q172" s="4">
        <v>1</v>
      </c>
      <c r="R172" s="4">
        <v>2</v>
      </c>
      <c r="S172" s="4">
        <v>1</v>
      </c>
      <c r="T172" s="4">
        <v>0</v>
      </c>
      <c r="U172" s="4">
        <v>1</v>
      </c>
      <c r="V172" s="4">
        <v>0</v>
      </c>
      <c r="W172" s="4">
        <v>1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2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1</v>
      </c>
      <c r="AL172" s="4">
        <v>0</v>
      </c>
      <c r="AM172" s="4">
        <v>0</v>
      </c>
      <c r="AN172" s="4">
        <v>2</v>
      </c>
      <c r="AO172" s="4">
        <v>437</v>
      </c>
      <c r="AP172" s="4">
        <v>0</v>
      </c>
      <c r="AQ172" s="4">
        <v>0</v>
      </c>
      <c r="AR172" s="4">
        <v>437</v>
      </c>
      <c r="AS172" s="4">
        <v>0</v>
      </c>
      <c r="AT172" s="9">
        <v>171</v>
      </c>
      <c r="AU172" s="9" t="s">
        <v>315</v>
      </c>
      <c r="AV172" s="9" t="s">
        <v>101</v>
      </c>
    </row>
    <row r="173" spans="1:48" ht="25.5" x14ac:dyDescent="0.25">
      <c r="A173" s="4">
        <v>172</v>
      </c>
      <c r="B173" s="4">
        <v>172</v>
      </c>
      <c r="C173" s="4">
        <v>172</v>
      </c>
      <c r="D173" s="4">
        <v>5</v>
      </c>
      <c r="E173" s="4">
        <v>332</v>
      </c>
      <c r="F173" s="4">
        <v>3</v>
      </c>
      <c r="G173" s="4">
        <v>0</v>
      </c>
      <c r="H173" s="4">
        <v>34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</v>
      </c>
      <c r="O173" s="4">
        <v>1</v>
      </c>
      <c r="P173" s="4">
        <v>1</v>
      </c>
      <c r="Q173" s="4">
        <v>0</v>
      </c>
      <c r="R173" s="4">
        <v>1</v>
      </c>
      <c r="S173" s="4">
        <v>0</v>
      </c>
      <c r="T173" s="4">
        <v>0</v>
      </c>
      <c r="U173" s="4">
        <v>4</v>
      </c>
      <c r="V173" s="4">
        <v>0</v>
      </c>
      <c r="W173" s="4">
        <v>1</v>
      </c>
      <c r="X173" s="4">
        <v>0</v>
      </c>
      <c r="Y173" s="4"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</v>
      </c>
      <c r="AG173" s="4">
        <v>0</v>
      </c>
      <c r="AH173" s="4">
        <v>0</v>
      </c>
      <c r="AI173" s="4">
        <v>2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559</v>
      </c>
      <c r="AP173" s="4">
        <v>0</v>
      </c>
      <c r="AQ173" s="4">
        <v>1</v>
      </c>
      <c r="AR173" s="4">
        <v>560</v>
      </c>
      <c r="AS173" s="4">
        <v>0</v>
      </c>
      <c r="AT173" s="9">
        <v>172</v>
      </c>
      <c r="AU173" s="9" t="s">
        <v>316</v>
      </c>
      <c r="AV173" s="9" t="s">
        <v>317</v>
      </c>
    </row>
    <row r="174" spans="1:48" ht="25.5" x14ac:dyDescent="0.25">
      <c r="A174" s="4">
        <v>173</v>
      </c>
      <c r="B174" s="4">
        <v>173</v>
      </c>
      <c r="C174" s="4">
        <v>91</v>
      </c>
      <c r="D174" s="4">
        <v>24</v>
      </c>
      <c r="E174" s="4">
        <v>110</v>
      </c>
      <c r="F174" s="4">
        <v>1</v>
      </c>
      <c r="G174" s="4">
        <v>1</v>
      </c>
      <c r="H174" s="4">
        <v>1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3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1</v>
      </c>
      <c r="AI174" s="4">
        <v>1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233</v>
      </c>
      <c r="AP174" s="4">
        <v>0</v>
      </c>
      <c r="AQ174" s="4">
        <v>0</v>
      </c>
      <c r="AR174" s="4">
        <v>233</v>
      </c>
      <c r="AS174" s="4">
        <v>0</v>
      </c>
      <c r="AT174" s="9">
        <v>173</v>
      </c>
      <c r="AU174" s="9" t="s">
        <v>318</v>
      </c>
      <c r="AV174" s="9" t="s">
        <v>319</v>
      </c>
    </row>
    <row r="175" spans="1:48" x14ac:dyDescent="0.25">
      <c r="A175" s="4">
        <v>174</v>
      </c>
      <c r="B175" s="4">
        <v>174</v>
      </c>
      <c r="C175" s="4">
        <v>81</v>
      </c>
      <c r="D175" s="4">
        <v>597</v>
      </c>
      <c r="E175" s="4">
        <v>25</v>
      </c>
      <c r="F175" s="4">
        <v>0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1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1</v>
      </c>
      <c r="AL175" s="4">
        <v>0</v>
      </c>
      <c r="AM175" s="4">
        <v>0</v>
      </c>
      <c r="AN175" s="4">
        <v>0</v>
      </c>
      <c r="AO175" s="4">
        <v>706</v>
      </c>
      <c r="AP175" s="4">
        <v>0</v>
      </c>
      <c r="AQ175" s="4">
        <v>0</v>
      </c>
      <c r="AR175" s="4">
        <v>706</v>
      </c>
      <c r="AS175" s="4">
        <v>0</v>
      </c>
      <c r="AT175" s="9">
        <v>174</v>
      </c>
      <c r="AU175" s="9" t="s">
        <v>320</v>
      </c>
      <c r="AV175" s="9" t="s">
        <v>101</v>
      </c>
    </row>
    <row r="176" spans="1:48" x14ac:dyDescent="0.25">
      <c r="A176" s="4">
        <v>175</v>
      </c>
      <c r="B176" s="4">
        <v>175</v>
      </c>
      <c r="C176" s="4">
        <v>66</v>
      </c>
      <c r="D176" s="4">
        <v>556</v>
      </c>
      <c r="E176" s="4">
        <v>152</v>
      </c>
      <c r="F176" s="4">
        <v>2</v>
      </c>
      <c r="G176" s="4">
        <v>4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2</v>
      </c>
      <c r="N176" s="4">
        <v>0</v>
      </c>
      <c r="O176" s="4">
        <v>1</v>
      </c>
      <c r="P176" s="4">
        <v>0</v>
      </c>
      <c r="Q176" s="4">
        <v>1</v>
      </c>
      <c r="R176" s="4">
        <v>3</v>
      </c>
      <c r="S176" s="4">
        <v>2</v>
      </c>
      <c r="T176" s="4">
        <v>3</v>
      </c>
      <c r="U176" s="4">
        <v>2</v>
      </c>
      <c r="V176" s="4">
        <v>0</v>
      </c>
      <c r="W176" s="4">
        <v>1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3</v>
      </c>
      <c r="AD176" s="4">
        <v>0</v>
      </c>
      <c r="AE176" s="4">
        <v>0</v>
      </c>
      <c r="AF176" s="4">
        <v>1</v>
      </c>
      <c r="AG176" s="4">
        <v>3</v>
      </c>
      <c r="AH176" s="4">
        <v>3</v>
      </c>
      <c r="AI176" s="4">
        <v>1</v>
      </c>
      <c r="AJ176" s="4">
        <v>1</v>
      </c>
      <c r="AK176" s="4">
        <v>0</v>
      </c>
      <c r="AL176" s="4">
        <v>0</v>
      </c>
      <c r="AM176" s="4">
        <v>0</v>
      </c>
      <c r="AN176" s="4">
        <v>0</v>
      </c>
      <c r="AO176" s="4">
        <v>807</v>
      </c>
      <c r="AP176" s="4">
        <v>0</v>
      </c>
      <c r="AQ176" s="4">
        <v>0</v>
      </c>
      <c r="AR176" s="4">
        <v>807</v>
      </c>
      <c r="AS176" s="4">
        <v>0</v>
      </c>
      <c r="AT176" s="9">
        <v>175</v>
      </c>
      <c r="AU176" s="9" t="s">
        <v>101</v>
      </c>
      <c r="AV176" s="9" t="s">
        <v>101</v>
      </c>
    </row>
    <row r="177" spans="1:48" x14ac:dyDescent="0.25">
      <c r="A177" s="4">
        <v>176</v>
      </c>
      <c r="B177" s="4">
        <v>176</v>
      </c>
      <c r="C177" s="4">
        <v>34</v>
      </c>
      <c r="D177" s="4">
        <v>651</v>
      </c>
      <c r="E177" s="4">
        <v>108</v>
      </c>
      <c r="F177" s="4">
        <v>0</v>
      </c>
      <c r="G177" s="4">
        <v>0</v>
      </c>
      <c r="H177" s="4">
        <v>4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1</v>
      </c>
      <c r="R177" s="4">
        <v>0</v>
      </c>
      <c r="S177" s="4">
        <v>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1</v>
      </c>
      <c r="AO177" s="4">
        <v>801</v>
      </c>
      <c r="AP177" s="4">
        <v>0</v>
      </c>
      <c r="AQ177" s="4">
        <v>1</v>
      </c>
      <c r="AR177" s="4">
        <v>802</v>
      </c>
      <c r="AS177" s="4">
        <v>0</v>
      </c>
      <c r="AT177" s="9">
        <v>176</v>
      </c>
      <c r="AU177" s="9" t="s">
        <v>321</v>
      </c>
      <c r="AV177" s="9" t="s">
        <v>101</v>
      </c>
    </row>
    <row r="178" spans="1:48" x14ac:dyDescent="0.25">
      <c r="A178" s="4">
        <v>177</v>
      </c>
      <c r="B178" s="4">
        <v>177</v>
      </c>
      <c r="C178" s="4">
        <v>83</v>
      </c>
      <c r="D178" s="4">
        <v>29</v>
      </c>
      <c r="E178" s="4">
        <v>269</v>
      </c>
      <c r="F178" s="4">
        <v>3</v>
      </c>
      <c r="G178" s="4">
        <v>2</v>
      </c>
      <c r="H178" s="4">
        <v>7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</v>
      </c>
      <c r="P178" s="4">
        <v>1</v>
      </c>
      <c r="Q178" s="4">
        <v>0</v>
      </c>
      <c r="R178" s="4">
        <v>0</v>
      </c>
      <c r="S178" s="4">
        <v>0</v>
      </c>
      <c r="T178" s="4">
        <v>0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1</v>
      </c>
      <c r="AN178" s="4">
        <v>0</v>
      </c>
      <c r="AO178" s="4">
        <v>398</v>
      </c>
      <c r="AP178" s="4">
        <v>0</v>
      </c>
      <c r="AQ178" s="4">
        <v>1</v>
      </c>
      <c r="AR178" s="4">
        <v>399</v>
      </c>
      <c r="AS178" s="4">
        <v>0</v>
      </c>
      <c r="AT178" s="9">
        <v>177</v>
      </c>
      <c r="AU178" s="9" t="s">
        <v>322</v>
      </c>
      <c r="AV178" s="9" t="s">
        <v>101</v>
      </c>
    </row>
    <row r="179" spans="1:48" x14ac:dyDescent="0.25">
      <c r="A179" s="4">
        <v>178</v>
      </c>
      <c r="B179" s="4">
        <v>178</v>
      </c>
      <c r="C179" s="4">
        <v>232</v>
      </c>
      <c r="D179" s="4">
        <v>21</v>
      </c>
      <c r="E179" s="4">
        <v>97</v>
      </c>
      <c r="F179" s="4">
        <v>0</v>
      </c>
      <c r="G179" s="4">
        <v>1</v>
      </c>
      <c r="H179" s="4">
        <v>19</v>
      </c>
      <c r="I179" s="4">
        <v>1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1</v>
      </c>
      <c r="S179" s="4">
        <v>0</v>
      </c>
      <c r="T179" s="4">
        <v>0</v>
      </c>
      <c r="U179" s="4">
        <v>0</v>
      </c>
      <c r="V179" s="4">
        <v>0</v>
      </c>
      <c r="W179" s="4">
        <v>1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2</v>
      </c>
      <c r="AD179" s="4">
        <v>0</v>
      </c>
      <c r="AE179" s="4">
        <v>0</v>
      </c>
      <c r="AF179" s="4">
        <v>0</v>
      </c>
      <c r="AG179" s="4">
        <v>0</v>
      </c>
      <c r="AH179" s="4">
        <v>1</v>
      </c>
      <c r="AI179" s="4">
        <v>0</v>
      </c>
      <c r="AJ179" s="4">
        <v>0</v>
      </c>
      <c r="AK179" s="4">
        <v>0</v>
      </c>
      <c r="AL179" s="4">
        <v>0</v>
      </c>
      <c r="AM179" s="4">
        <v>1</v>
      </c>
      <c r="AN179" s="4">
        <v>0</v>
      </c>
      <c r="AO179" s="4">
        <v>377</v>
      </c>
      <c r="AP179" s="4">
        <v>0</v>
      </c>
      <c r="AQ179" s="4">
        <v>0</v>
      </c>
      <c r="AR179" s="4">
        <v>377</v>
      </c>
      <c r="AS179" s="4">
        <v>0</v>
      </c>
      <c r="AT179" s="9">
        <v>178</v>
      </c>
      <c r="AU179" s="9" t="s">
        <v>101</v>
      </c>
      <c r="AV179" s="9" t="s">
        <v>101</v>
      </c>
    </row>
    <row r="180" spans="1:48" x14ac:dyDescent="0.25">
      <c r="A180" s="4">
        <v>179</v>
      </c>
      <c r="B180" s="4">
        <v>179</v>
      </c>
      <c r="C180" s="4">
        <v>69</v>
      </c>
      <c r="D180" s="4">
        <v>309</v>
      </c>
      <c r="E180" s="4">
        <v>118</v>
      </c>
      <c r="F180" s="4">
        <v>1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1</v>
      </c>
      <c r="O180" s="4">
        <v>0</v>
      </c>
      <c r="P180" s="4">
        <v>0</v>
      </c>
      <c r="Q180" s="4">
        <v>0</v>
      </c>
      <c r="R180" s="4">
        <v>1</v>
      </c>
      <c r="S180" s="4">
        <v>0</v>
      </c>
      <c r="T180" s="4">
        <v>0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1</v>
      </c>
      <c r="AI180" s="4">
        <v>0</v>
      </c>
      <c r="AJ180" s="4">
        <v>0</v>
      </c>
      <c r="AK180" s="4">
        <v>0</v>
      </c>
      <c r="AL180" s="4">
        <v>1</v>
      </c>
      <c r="AM180" s="4">
        <v>0</v>
      </c>
      <c r="AN180" s="4">
        <v>0</v>
      </c>
      <c r="AO180" s="4">
        <v>503</v>
      </c>
      <c r="AP180" s="4">
        <v>0</v>
      </c>
      <c r="AQ180" s="4">
        <v>0</v>
      </c>
      <c r="AR180" s="4">
        <v>503</v>
      </c>
      <c r="AS180" s="4">
        <v>0</v>
      </c>
      <c r="AT180" s="9">
        <v>179</v>
      </c>
      <c r="AU180" s="9" t="s">
        <v>323</v>
      </c>
      <c r="AV180" s="9" t="s">
        <v>101</v>
      </c>
    </row>
    <row r="181" spans="1:48" x14ac:dyDescent="0.25">
      <c r="A181" s="4">
        <v>180</v>
      </c>
      <c r="B181" s="4">
        <v>180</v>
      </c>
      <c r="C181" s="4">
        <v>131</v>
      </c>
      <c r="D181" s="4">
        <v>302</v>
      </c>
      <c r="E181" s="4">
        <v>243</v>
      </c>
      <c r="F181" s="4">
        <v>5</v>
      </c>
      <c r="G181" s="4">
        <v>0</v>
      </c>
      <c r="H181" s="4">
        <v>8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1</v>
      </c>
      <c r="O181" s="4">
        <v>0</v>
      </c>
      <c r="P181" s="4">
        <v>1</v>
      </c>
      <c r="Q181" s="4">
        <v>0</v>
      </c>
      <c r="R181" s="4">
        <v>3</v>
      </c>
      <c r="S181" s="4">
        <v>0</v>
      </c>
      <c r="T181" s="4">
        <v>0</v>
      </c>
      <c r="U181" s="4">
        <v>1</v>
      </c>
      <c r="V181" s="4">
        <v>0</v>
      </c>
      <c r="W181" s="4">
        <v>1</v>
      </c>
      <c r="X181" s="4">
        <v>1</v>
      </c>
      <c r="Y181" s="4">
        <v>0</v>
      </c>
      <c r="Z181" s="4">
        <v>0</v>
      </c>
      <c r="AA181" s="4">
        <v>1</v>
      </c>
      <c r="AB181" s="4">
        <v>0</v>
      </c>
      <c r="AC181" s="4">
        <v>1</v>
      </c>
      <c r="AD181" s="4">
        <v>0</v>
      </c>
      <c r="AE181" s="4">
        <v>0</v>
      </c>
      <c r="AF181" s="4">
        <v>0</v>
      </c>
      <c r="AG181" s="4">
        <v>1</v>
      </c>
      <c r="AH181" s="4">
        <v>1</v>
      </c>
      <c r="AI181" s="4">
        <v>1</v>
      </c>
      <c r="AJ181" s="4">
        <v>0</v>
      </c>
      <c r="AK181" s="4">
        <v>0</v>
      </c>
      <c r="AL181" s="4">
        <v>0</v>
      </c>
      <c r="AM181" s="4">
        <v>0</v>
      </c>
      <c r="AN181" s="4">
        <v>2</v>
      </c>
      <c r="AO181" s="4">
        <v>704</v>
      </c>
      <c r="AP181" s="4">
        <v>0</v>
      </c>
      <c r="AQ181" s="4">
        <v>1</v>
      </c>
      <c r="AR181" s="4">
        <v>705</v>
      </c>
      <c r="AS181" s="4">
        <v>0</v>
      </c>
      <c r="AT181" s="9">
        <v>180</v>
      </c>
      <c r="AU181" s="9" t="s">
        <v>324</v>
      </c>
      <c r="AV181" s="9" t="s">
        <v>101</v>
      </c>
    </row>
    <row r="182" spans="1:48" x14ac:dyDescent="0.25">
      <c r="A182" s="4">
        <v>181</v>
      </c>
      <c r="B182" s="4">
        <v>181</v>
      </c>
      <c r="C182" s="4">
        <v>268</v>
      </c>
      <c r="D182" s="4">
        <v>235</v>
      </c>
      <c r="E182" s="4">
        <v>240</v>
      </c>
      <c r="F182" s="4">
        <v>2</v>
      </c>
      <c r="G182" s="4">
        <v>0</v>
      </c>
      <c r="H182" s="4">
        <v>23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2</v>
      </c>
      <c r="S182" s="4">
        <v>3</v>
      </c>
      <c r="T182" s="4">
        <v>0</v>
      </c>
      <c r="U182" s="4">
        <v>4</v>
      </c>
      <c r="V182" s="4">
        <v>1</v>
      </c>
      <c r="W182" s="4">
        <v>1</v>
      </c>
      <c r="X182" s="4">
        <v>0</v>
      </c>
      <c r="Y182" s="4">
        <v>1</v>
      </c>
      <c r="Z182" s="4">
        <v>0</v>
      </c>
      <c r="AA182" s="4">
        <v>0</v>
      </c>
      <c r="AB182" s="4">
        <v>0</v>
      </c>
      <c r="AC182" s="4">
        <v>1</v>
      </c>
      <c r="AD182" s="4">
        <v>1</v>
      </c>
      <c r="AE182" s="4">
        <v>0</v>
      </c>
      <c r="AF182" s="4">
        <v>0</v>
      </c>
      <c r="AG182" s="4">
        <v>1</v>
      </c>
      <c r="AH182" s="4">
        <v>0</v>
      </c>
      <c r="AI182" s="4">
        <v>3</v>
      </c>
      <c r="AJ182" s="4">
        <v>2</v>
      </c>
      <c r="AK182" s="4">
        <v>2</v>
      </c>
      <c r="AL182" s="4">
        <v>0</v>
      </c>
      <c r="AM182" s="4">
        <v>0</v>
      </c>
      <c r="AN182" s="4">
        <v>0</v>
      </c>
      <c r="AO182" s="4">
        <v>790</v>
      </c>
      <c r="AP182" s="4">
        <v>0</v>
      </c>
      <c r="AQ182" s="4">
        <v>1</v>
      </c>
      <c r="AR182" s="4">
        <v>791</v>
      </c>
      <c r="AS182" s="4">
        <v>0</v>
      </c>
      <c r="AT182" s="9">
        <v>181</v>
      </c>
      <c r="AU182" s="9" t="s">
        <v>325</v>
      </c>
      <c r="AV182" s="9" t="s">
        <v>101</v>
      </c>
    </row>
    <row r="183" spans="1:48" x14ac:dyDescent="0.25">
      <c r="A183" s="4">
        <v>182</v>
      </c>
      <c r="B183" s="4">
        <v>182</v>
      </c>
      <c r="C183" s="4">
        <v>77</v>
      </c>
      <c r="D183" s="4">
        <v>226</v>
      </c>
      <c r="E183" s="4">
        <v>104</v>
      </c>
      <c r="F183" s="4">
        <v>0</v>
      </c>
      <c r="G183" s="4">
        <v>1</v>
      </c>
      <c r="H183" s="4">
        <v>34</v>
      </c>
      <c r="I183" s="4">
        <v>0</v>
      </c>
      <c r="J183" s="4">
        <v>1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1</v>
      </c>
      <c r="U183" s="4">
        <v>0</v>
      </c>
      <c r="V183" s="4">
        <v>0</v>
      </c>
      <c r="W183" s="4">
        <v>0</v>
      </c>
      <c r="X183" s="4">
        <v>0</v>
      </c>
      <c r="Y183" s="4">
        <v>1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1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446</v>
      </c>
      <c r="AP183" s="4">
        <v>0</v>
      </c>
      <c r="AQ183" s="4">
        <v>0</v>
      </c>
      <c r="AR183" s="4">
        <v>446</v>
      </c>
      <c r="AS183" s="4">
        <v>0</v>
      </c>
      <c r="AT183" s="9">
        <v>182</v>
      </c>
      <c r="AU183" s="9" t="s">
        <v>326</v>
      </c>
      <c r="AV183" s="9" t="s">
        <v>101</v>
      </c>
    </row>
    <row r="184" spans="1:48" x14ac:dyDescent="0.25">
      <c r="A184" s="4">
        <v>183</v>
      </c>
      <c r="B184" s="4">
        <v>183</v>
      </c>
      <c r="C184" s="4">
        <v>42</v>
      </c>
      <c r="D184" s="4">
        <v>8</v>
      </c>
      <c r="E184" s="4">
        <v>488</v>
      </c>
      <c r="F184" s="4">
        <v>2</v>
      </c>
      <c r="G184" s="4">
        <v>0</v>
      </c>
      <c r="H184" s="4">
        <v>9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1</v>
      </c>
      <c r="Q184" s="4">
        <v>0</v>
      </c>
      <c r="R184" s="4">
        <v>1</v>
      </c>
      <c r="S184" s="4">
        <v>0</v>
      </c>
      <c r="T184" s="4">
        <v>0</v>
      </c>
      <c r="U184" s="4">
        <v>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554</v>
      </c>
      <c r="AP184" s="4">
        <v>0</v>
      </c>
      <c r="AQ184" s="4">
        <v>0</v>
      </c>
      <c r="AR184" s="4">
        <v>554</v>
      </c>
      <c r="AS184" s="4">
        <v>0</v>
      </c>
      <c r="AT184" s="9">
        <v>183</v>
      </c>
      <c r="AU184" s="9" t="s">
        <v>327</v>
      </c>
      <c r="AV184" s="9" t="s">
        <v>101</v>
      </c>
    </row>
    <row r="185" spans="1:48" ht="140.25" x14ac:dyDescent="0.25">
      <c r="A185" s="4">
        <v>184</v>
      </c>
      <c r="B185" s="4">
        <v>184</v>
      </c>
      <c r="C185" s="4">
        <v>175</v>
      </c>
      <c r="D185" s="4">
        <v>126</v>
      </c>
      <c r="E185" s="4">
        <v>250</v>
      </c>
      <c r="F185" s="4">
        <v>3</v>
      </c>
      <c r="G185" s="4">
        <v>0</v>
      </c>
      <c r="H185" s="4">
        <v>9</v>
      </c>
      <c r="I185" s="4">
        <v>0</v>
      </c>
      <c r="J185" s="4">
        <v>1</v>
      </c>
      <c r="K185" s="4">
        <v>0</v>
      </c>
      <c r="L185" s="4">
        <v>0</v>
      </c>
      <c r="M185" s="4">
        <v>1</v>
      </c>
      <c r="N185" s="4">
        <v>0</v>
      </c>
      <c r="O185" s="4">
        <v>0</v>
      </c>
      <c r="P185" s="4">
        <v>1</v>
      </c>
      <c r="Q185" s="4">
        <v>2</v>
      </c>
      <c r="R185" s="4">
        <v>3</v>
      </c>
      <c r="S185" s="4">
        <v>0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1</v>
      </c>
      <c r="Z185" s="4">
        <v>1</v>
      </c>
      <c r="AA185" s="4">
        <v>0</v>
      </c>
      <c r="AB185" s="4">
        <v>0</v>
      </c>
      <c r="AC185" s="4">
        <v>1</v>
      </c>
      <c r="AD185" s="4">
        <v>0</v>
      </c>
      <c r="AE185" s="4">
        <v>1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1</v>
      </c>
      <c r="AL185" s="4">
        <v>0</v>
      </c>
      <c r="AM185" s="4">
        <v>0</v>
      </c>
      <c r="AN185" s="4">
        <v>0</v>
      </c>
      <c r="AO185" s="4">
        <v>578</v>
      </c>
      <c r="AP185" s="4">
        <v>0</v>
      </c>
      <c r="AQ185" s="4">
        <v>0</v>
      </c>
      <c r="AR185" s="4">
        <v>578</v>
      </c>
      <c r="AS185" s="4">
        <v>0</v>
      </c>
      <c r="AT185" s="9">
        <v>184</v>
      </c>
      <c r="AU185" s="9" t="s">
        <v>328</v>
      </c>
      <c r="AV185" s="9" t="s">
        <v>329</v>
      </c>
    </row>
    <row r="186" spans="1:48" x14ac:dyDescent="0.25">
      <c r="A186" s="4">
        <v>185</v>
      </c>
      <c r="B186" s="4">
        <v>185</v>
      </c>
      <c r="C186" s="4">
        <v>184</v>
      </c>
      <c r="D186" s="4">
        <v>436</v>
      </c>
      <c r="E186" s="4">
        <v>256</v>
      </c>
      <c r="F186" s="4">
        <v>1</v>
      </c>
      <c r="G186" s="4">
        <v>0</v>
      </c>
      <c r="H186" s="4">
        <v>31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4</v>
      </c>
      <c r="S186" s="4">
        <v>1</v>
      </c>
      <c r="T186" s="4">
        <v>0</v>
      </c>
      <c r="U186" s="4">
        <v>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1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916</v>
      </c>
      <c r="AP186" s="4">
        <v>0</v>
      </c>
      <c r="AQ186" s="4">
        <v>0</v>
      </c>
      <c r="AR186" s="4">
        <v>916</v>
      </c>
      <c r="AS186" s="4">
        <v>0</v>
      </c>
      <c r="AT186" s="9">
        <v>185</v>
      </c>
      <c r="AU186" s="9" t="s">
        <v>330</v>
      </c>
      <c r="AV186" s="9" t="s">
        <v>331</v>
      </c>
    </row>
    <row r="187" spans="1:48" x14ac:dyDescent="0.25">
      <c r="A187" s="4">
        <v>186</v>
      </c>
      <c r="B187" s="4">
        <v>186</v>
      </c>
      <c r="C187" s="4">
        <v>93</v>
      </c>
      <c r="D187" s="4">
        <v>71</v>
      </c>
      <c r="E187" s="4">
        <v>411</v>
      </c>
      <c r="F187" s="4">
        <v>4</v>
      </c>
      <c r="G187" s="4">
        <v>1</v>
      </c>
      <c r="H187" s="4">
        <v>17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  <c r="Q187" s="4">
        <v>0</v>
      </c>
      <c r="R187" s="4">
        <v>2</v>
      </c>
      <c r="S187" s="4">
        <v>0</v>
      </c>
      <c r="T187" s="4">
        <v>0</v>
      </c>
      <c r="U187" s="4">
        <v>0</v>
      </c>
      <c r="V187" s="4">
        <v>0</v>
      </c>
      <c r="W187" s="4">
        <v>1</v>
      </c>
      <c r="X187" s="4">
        <v>1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1</v>
      </c>
      <c r="AF187" s="4">
        <v>1</v>
      </c>
      <c r="AG187" s="4">
        <v>0</v>
      </c>
      <c r="AH187" s="4">
        <v>1</v>
      </c>
      <c r="AI187" s="4">
        <v>0</v>
      </c>
      <c r="AJ187" s="4">
        <v>0</v>
      </c>
      <c r="AK187" s="4">
        <v>0</v>
      </c>
      <c r="AL187" s="4">
        <v>1</v>
      </c>
      <c r="AM187" s="4">
        <v>0</v>
      </c>
      <c r="AN187" s="4">
        <v>0</v>
      </c>
      <c r="AO187" s="4">
        <v>609</v>
      </c>
      <c r="AP187" s="4">
        <v>0</v>
      </c>
      <c r="AQ187" s="4">
        <v>0</v>
      </c>
      <c r="AR187" s="4">
        <v>609</v>
      </c>
      <c r="AS187" s="4">
        <v>0</v>
      </c>
      <c r="AT187" s="9">
        <v>186</v>
      </c>
      <c r="AU187" s="9" t="s">
        <v>332</v>
      </c>
      <c r="AV187" s="9" t="s">
        <v>101</v>
      </c>
    </row>
    <row r="188" spans="1:48" x14ac:dyDescent="0.25">
      <c r="A188" s="4">
        <v>187</v>
      </c>
      <c r="B188" s="4">
        <v>187</v>
      </c>
      <c r="C188" s="4">
        <v>23</v>
      </c>
      <c r="D188" s="4">
        <v>156</v>
      </c>
      <c r="E188" s="4">
        <v>419</v>
      </c>
      <c r="F188" s="4">
        <v>13</v>
      </c>
      <c r="G188" s="4">
        <v>2</v>
      </c>
      <c r="H188" s="4">
        <v>9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1</v>
      </c>
      <c r="R188" s="4">
        <v>0</v>
      </c>
      <c r="S188" s="4">
        <v>0</v>
      </c>
      <c r="T188" s="4">
        <v>0</v>
      </c>
      <c r="U188" s="4">
        <v>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2</v>
      </c>
      <c r="AN188" s="4">
        <v>0</v>
      </c>
      <c r="AO188" s="4">
        <v>627</v>
      </c>
      <c r="AP188" s="4">
        <v>0</v>
      </c>
      <c r="AQ188" s="4">
        <v>0</v>
      </c>
      <c r="AR188" s="4">
        <v>627</v>
      </c>
      <c r="AS188" s="4">
        <v>0</v>
      </c>
      <c r="AT188" s="9">
        <v>187</v>
      </c>
      <c r="AU188" s="9" t="s">
        <v>106</v>
      </c>
      <c r="AV188" s="9" t="s">
        <v>101</v>
      </c>
    </row>
    <row r="189" spans="1:48" x14ac:dyDescent="0.25">
      <c r="A189" s="4">
        <v>188</v>
      </c>
      <c r="B189" s="4">
        <v>188</v>
      </c>
      <c r="C189" s="4">
        <v>42</v>
      </c>
      <c r="D189" s="4">
        <v>109</v>
      </c>
      <c r="E189" s="4">
        <v>194</v>
      </c>
      <c r="F189" s="4">
        <v>0</v>
      </c>
      <c r="G189" s="4">
        <v>0</v>
      </c>
      <c r="H189" s="4">
        <v>3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348</v>
      </c>
      <c r="AP189" s="4">
        <v>0</v>
      </c>
      <c r="AQ189" s="4">
        <v>0</v>
      </c>
      <c r="AR189" s="4">
        <v>348</v>
      </c>
      <c r="AS189" s="4">
        <v>0</v>
      </c>
      <c r="AT189" s="9">
        <v>188</v>
      </c>
      <c r="AU189" s="9" t="s">
        <v>101</v>
      </c>
      <c r="AV189" s="9" t="s">
        <v>101</v>
      </c>
    </row>
    <row r="190" spans="1:48" ht="25.5" x14ac:dyDescent="0.25">
      <c r="A190" s="4">
        <v>189</v>
      </c>
      <c r="B190" s="4">
        <v>189</v>
      </c>
      <c r="C190" s="4">
        <v>45</v>
      </c>
      <c r="D190" s="4">
        <v>306</v>
      </c>
      <c r="E190" s="4">
        <v>125</v>
      </c>
      <c r="F190" s="4">
        <v>0</v>
      </c>
      <c r="G190" s="4">
        <v>0</v>
      </c>
      <c r="H190" s="4">
        <v>5</v>
      </c>
      <c r="I190" s="4">
        <v>0</v>
      </c>
      <c r="J190" s="4">
        <v>0</v>
      </c>
      <c r="K190" s="4">
        <v>1</v>
      </c>
      <c r="L190" s="4">
        <v>0</v>
      </c>
      <c r="M190" s="4">
        <v>0</v>
      </c>
      <c r="N190" s="4">
        <v>1</v>
      </c>
      <c r="O190" s="4">
        <v>0</v>
      </c>
      <c r="P190" s="4">
        <v>0</v>
      </c>
      <c r="Q190" s="4">
        <v>1</v>
      </c>
      <c r="R190" s="4">
        <v>4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</v>
      </c>
      <c r="AD190" s="4">
        <v>1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490</v>
      </c>
      <c r="AP190" s="4">
        <v>0</v>
      </c>
      <c r="AQ190" s="4">
        <v>0</v>
      </c>
      <c r="AR190" s="4">
        <v>490</v>
      </c>
      <c r="AS190" s="4">
        <v>0</v>
      </c>
      <c r="AT190" s="9">
        <v>189</v>
      </c>
      <c r="AU190" s="9" t="s">
        <v>333</v>
      </c>
      <c r="AV190" s="9" t="s">
        <v>334</v>
      </c>
    </row>
    <row r="191" spans="1:48" x14ac:dyDescent="0.25">
      <c r="A191" s="4">
        <v>190</v>
      </c>
      <c r="B191" s="4">
        <v>190</v>
      </c>
      <c r="C191" s="4">
        <v>72</v>
      </c>
      <c r="D191" s="4">
        <v>161</v>
      </c>
      <c r="E191" s="4">
        <v>162</v>
      </c>
      <c r="F191" s="4">
        <v>0</v>
      </c>
      <c r="G191" s="4">
        <v>0</v>
      </c>
      <c r="H191" s="4">
        <v>4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2</v>
      </c>
      <c r="S191" s="4">
        <v>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</v>
      </c>
      <c r="AE191" s="4">
        <v>0</v>
      </c>
      <c r="AF191" s="4">
        <v>0</v>
      </c>
      <c r="AG191" s="4">
        <v>1</v>
      </c>
      <c r="AH191" s="4">
        <v>0</v>
      </c>
      <c r="AI191" s="4">
        <v>0</v>
      </c>
      <c r="AJ191" s="4">
        <v>1</v>
      </c>
      <c r="AK191" s="4">
        <v>1</v>
      </c>
      <c r="AL191" s="4">
        <v>0</v>
      </c>
      <c r="AM191" s="4">
        <v>0</v>
      </c>
      <c r="AN191" s="4">
        <v>1</v>
      </c>
      <c r="AO191" s="4">
        <v>407</v>
      </c>
      <c r="AP191" s="4">
        <v>0</v>
      </c>
      <c r="AQ191" s="4">
        <v>0</v>
      </c>
      <c r="AR191" s="4">
        <v>407</v>
      </c>
      <c r="AS191" s="4">
        <v>0</v>
      </c>
      <c r="AT191" s="9">
        <v>190</v>
      </c>
      <c r="AU191" s="9" t="s">
        <v>335</v>
      </c>
      <c r="AV191" s="9" t="s">
        <v>101</v>
      </c>
    </row>
    <row r="192" spans="1:48" x14ac:dyDescent="0.25">
      <c r="A192" s="4">
        <v>191</v>
      </c>
      <c r="B192" s="4">
        <v>191</v>
      </c>
      <c r="C192" s="4">
        <v>91</v>
      </c>
      <c r="D192" s="4">
        <v>60</v>
      </c>
      <c r="E192" s="4">
        <v>293</v>
      </c>
      <c r="F192" s="4">
        <v>1</v>
      </c>
      <c r="G192" s="4">
        <v>0</v>
      </c>
      <c r="H192" s="4">
        <v>7</v>
      </c>
      <c r="I192" s="4">
        <v>0</v>
      </c>
      <c r="J192" s="4">
        <v>0</v>
      </c>
      <c r="K192" s="4">
        <v>1</v>
      </c>
      <c r="L192" s="4">
        <v>0</v>
      </c>
      <c r="M192" s="4">
        <v>0</v>
      </c>
      <c r="N192" s="4">
        <v>0</v>
      </c>
      <c r="O192" s="4">
        <v>0</v>
      </c>
      <c r="P192" s="4">
        <v>1</v>
      </c>
      <c r="Q192" s="4">
        <v>0</v>
      </c>
      <c r="R192" s="4">
        <v>4</v>
      </c>
      <c r="S192" s="4">
        <v>1</v>
      </c>
      <c r="T192" s="4">
        <v>0</v>
      </c>
      <c r="U192" s="4">
        <v>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4">
        <v>0</v>
      </c>
      <c r="AD192" s="4">
        <v>0</v>
      </c>
      <c r="AE192" s="4">
        <v>0</v>
      </c>
      <c r="AF192" s="4">
        <v>2</v>
      </c>
      <c r="AG192" s="4">
        <v>0</v>
      </c>
      <c r="AH192" s="4">
        <v>1</v>
      </c>
      <c r="AI192" s="4">
        <v>1</v>
      </c>
      <c r="AJ192" s="4">
        <v>0</v>
      </c>
      <c r="AK192" s="4">
        <v>1</v>
      </c>
      <c r="AL192" s="4">
        <v>0</v>
      </c>
      <c r="AM192" s="4">
        <v>0</v>
      </c>
      <c r="AN192" s="4">
        <v>0</v>
      </c>
      <c r="AO192" s="4">
        <v>469</v>
      </c>
      <c r="AP192" s="4">
        <v>0</v>
      </c>
      <c r="AQ192" s="4">
        <v>5</v>
      </c>
      <c r="AR192" s="4">
        <v>474</v>
      </c>
      <c r="AS192" s="4">
        <v>0</v>
      </c>
      <c r="AT192" s="9">
        <v>191</v>
      </c>
      <c r="AU192" s="9" t="s">
        <v>336</v>
      </c>
      <c r="AV192" s="9" t="s">
        <v>296</v>
      </c>
    </row>
    <row r="193" spans="1:48" x14ac:dyDescent="0.25">
      <c r="A193" s="4">
        <v>192</v>
      </c>
      <c r="B193" s="4">
        <v>192</v>
      </c>
      <c r="C193" s="4">
        <v>60</v>
      </c>
      <c r="D193" s="4">
        <v>9</v>
      </c>
      <c r="E193" s="4">
        <v>343</v>
      </c>
      <c r="F193" s="4">
        <v>1</v>
      </c>
      <c r="G193" s="4">
        <v>0</v>
      </c>
      <c r="H193" s="4">
        <v>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2</v>
      </c>
      <c r="Q193" s="4">
        <v>0</v>
      </c>
      <c r="R193" s="4">
        <v>3</v>
      </c>
      <c r="S193" s="4">
        <v>0</v>
      </c>
      <c r="T193" s="4">
        <v>0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1</v>
      </c>
      <c r="AK193" s="4">
        <v>0</v>
      </c>
      <c r="AL193" s="4">
        <v>0</v>
      </c>
      <c r="AM193" s="4">
        <v>0</v>
      </c>
      <c r="AN193" s="4">
        <v>0</v>
      </c>
      <c r="AO193" s="4">
        <v>422</v>
      </c>
      <c r="AP193" s="4">
        <v>0</v>
      </c>
      <c r="AQ193" s="4">
        <v>0</v>
      </c>
      <c r="AR193" s="4">
        <v>422</v>
      </c>
      <c r="AS193" s="4">
        <v>0</v>
      </c>
      <c r="AT193" s="9">
        <v>192</v>
      </c>
      <c r="AU193" s="9" t="s">
        <v>335</v>
      </c>
      <c r="AV193" s="9" t="s">
        <v>296</v>
      </c>
    </row>
    <row r="194" spans="1:48" x14ac:dyDescent="0.25">
      <c r="A194" s="4">
        <v>193</v>
      </c>
      <c r="B194" s="4">
        <v>193</v>
      </c>
      <c r="C194" s="4">
        <v>148</v>
      </c>
      <c r="D194" s="4">
        <v>6</v>
      </c>
      <c r="E194" s="4">
        <v>101</v>
      </c>
      <c r="F194" s="4">
        <v>1</v>
      </c>
      <c r="G194" s="4">
        <v>0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2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1</v>
      </c>
      <c r="AL194" s="4">
        <v>0</v>
      </c>
      <c r="AM194" s="4">
        <v>0</v>
      </c>
      <c r="AN194" s="4">
        <v>0</v>
      </c>
      <c r="AO194" s="4">
        <v>261</v>
      </c>
      <c r="AP194" s="4">
        <v>0</v>
      </c>
      <c r="AQ194" s="4">
        <v>1</v>
      </c>
      <c r="AR194" s="4">
        <v>262</v>
      </c>
      <c r="AS194" s="4">
        <v>0</v>
      </c>
      <c r="AT194" s="9">
        <v>193</v>
      </c>
      <c r="AU194" s="9" t="s">
        <v>337</v>
      </c>
      <c r="AV194" s="9" t="s">
        <v>101</v>
      </c>
    </row>
    <row r="195" spans="1:48" x14ac:dyDescent="0.25">
      <c r="A195" s="4">
        <v>194</v>
      </c>
      <c r="B195" s="4">
        <v>194</v>
      </c>
      <c r="C195" s="4">
        <v>63</v>
      </c>
      <c r="D195" s="4">
        <v>131</v>
      </c>
      <c r="E195" s="4">
        <v>92</v>
      </c>
      <c r="F195" s="4">
        <v>1</v>
      </c>
      <c r="G195" s="4">
        <v>1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1</v>
      </c>
      <c r="O195" s="4">
        <v>1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1</v>
      </c>
      <c r="X195" s="4">
        <v>0</v>
      </c>
      <c r="Y195" s="4">
        <v>0</v>
      </c>
      <c r="Z195" s="4">
        <v>0</v>
      </c>
      <c r="AA195" s="4">
        <v>0</v>
      </c>
      <c r="AB195" s="4">
        <v>1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292</v>
      </c>
      <c r="AP195" s="4">
        <v>0</v>
      </c>
      <c r="AQ195" s="4">
        <v>0</v>
      </c>
      <c r="AR195" s="4">
        <v>292</v>
      </c>
      <c r="AS195" s="4">
        <v>0</v>
      </c>
      <c r="AT195" s="9">
        <v>194</v>
      </c>
      <c r="AU195" s="9" t="s">
        <v>338</v>
      </c>
      <c r="AV195" s="9" t="s">
        <v>101</v>
      </c>
    </row>
    <row r="196" spans="1:48" x14ac:dyDescent="0.25">
      <c r="A196" s="4">
        <v>195</v>
      </c>
      <c r="B196" s="4">
        <v>195</v>
      </c>
      <c r="C196" s="4">
        <v>220</v>
      </c>
      <c r="D196" s="4">
        <v>193</v>
      </c>
      <c r="E196" s="4">
        <v>220</v>
      </c>
      <c r="F196" s="4">
        <v>3</v>
      </c>
      <c r="G196" s="4">
        <v>0</v>
      </c>
      <c r="H196" s="4">
        <v>4</v>
      </c>
      <c r="I196" s="4">
        <v>0</v>
      </c>
      <c r="J196" s="4">
        <v>2</v>
      </c>
      <c r="K196" s="4">
        <v>0</v>
      </c>
      <c r="L196" s="4">
        <v>1</v>
      </c>
      <c r="M196" s="4">
        <v>0</v>
      </c>
      <c r="N196" s="4">
        <v>0</v>
      </c>
      <c r="O196" s="4">
        <v>0</v>
      </c>
      <c r="P196" s="4">
        <v>1</v>
      </c>
      <c r="Q196" s="4">
        <v>0</v>
      </c>
      <c r="R196" s="4">
        <v>2</v>
      </c>
      <c r="S196" s="4">
        <v>0</v>
      </c>
      <c r="T196" s="4">
        <v>0</v>
      </c>
      <c r="U196" s="4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</v>
      </c>
      <c r="AH196" s="4">
        <v>0</v>
      </c>
      <c r="AI196" s="4">
        <v>0</v>
      </c>
      <c r="AJ196" s="4">
        <v>1</v>
      </c>
      <c r="AK196" s="4">
        <v>0</v>
      </c>
      <c r="AL196" s="4">
        <v>0</v>
      </c>
      <c r="AM196" s="4">
        <v>0</v>
      </c>
      <c r="AN196" s="4">
        <v>0</v>
      </c>
      <c r="AO196" s="4">
        <v>649</v>
      </c>
      <c r="AP196" s="4">
        <v>0</v>
      </c>
      <c r="AQ196" s="4">
        <v>1</v>
      </c>
      <c r="AR196" s="4">
        <v>650</v>
      </c>
      <c r="AS196" s="4">
        <v>0</v>
      </c>
      <c r="AT196" s="9">
        <v>195</v>
      </c>
      <c r="AU196" s="9" t="s">
        <v>339</v>
      </c>
      <c r="AV196" s="9" t="s">
        <v>101</v>
      </c>
    </row>
    <row r="197" spans="1:48" x14ac:dyDescent="0.25">
      <c r="A197" s="4">
        <v>196</v>
      </c>
      <c r="B197" s="4">
        <v>196</v>
      </c>
      <c r="C197" s="4">
        <v>164</v>
      </c>
      <c r="D197" s="4">
        <v>19</v>
      </c>
      <c r="E197" s="4">
        <v>247</v>
      </c>
      <c r="F197" s="4">
        <v>1</v>
      </c>
      <c r="G197" s="4">
        <v>0</v>
      </c>
      <c r="H197" s="4">
        <v>0</v>
      </c>
      <c r="I197" s="4">
        <v>1</v>
      </c>
      <c r="J197" s="4">
        <v>0</v>
      </c>
      <c r="K197" s="4">
        <v>1</v>
      </c>
      <c r="L197" s="4">
        <v>0</v>
      </c>
      <c r="M197" s="4">
        <v>0</v>
      </c>
      <c r="N197" s="4">
        <v>1</v>
      </c>
      <c r="O197" s="4">
        <v>3</v>
      </c>
      <c r="P197" s="4">
        <v>3</v>
      </c>
      <c r="Q197" s="4">
        <v>2</v>
      </c>
      <c r="R197" s="4">
        <v>4</v>
      </c>
      <c r="S197" s="4">
        <v>1</v>
      </c>
      <c r="T197" s="4">
        <v>2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</v>
      </c>
      <c r="AF197" s="4">
        <v>1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453</v>
      </c>
      <c r="AP197" s="4">
        <v>0</v>
      </c>
      <c r="AQ197" s="4">
        <v>0</v>
      </c>
      <c r="AR197" s="4">
        <v>453</v>
      </c>
      <c r="AS197" s="4">
        <v>0</v>
      </c>
      <c r="AT197" s="9">
        <v>196</v>
      </c>
      <c r="AU197" s="9" t="s">
        <v>340</v>
      </c>
      <c r="AV197" s="9" t="s">
        <v>101</v>
      </c>
    </row>
    <row r="198" spans="1:48" x14ac:dyDescent="0.25">
      <c r="A198" s="4">
        <v>197</v>
      </c>
      <c r="B198" s="4">
        <v>197</v>
      </c>
      <c r="C198" s="4">
        <v>246</v>
      </c>
      <c r="D198" s="4">
        <v>36</v>
      </c>
      <c r="E198" s="4">
        <v>303</v>
      </c>
      <c r="F198" s="4">
        <v>1</v>
      </c>
      <c r="G198" s="4">
        <v>2</v>
      </c>
      <c r="H198" s="4">
        <v>18</v>
      </c>
      <c r="I198" s="4">
        <v>1</v>
      </c>
      <c r="J198" s="4">
        <v>0</v>
      </c>
      <c r="K198" s="4">
        <v>0</v>
      </c>
      <c r="L198" s="4">
        <v>0</v>
      </c>
      <c r="M198" s="4">
        <v>1</v>
      </c>
      <c r="N198" s="4">
        <v>0</v>
      </c>
      <c r="O198" s="4">
        <v>0</v>
      </c>
      <c r="P198" s="4">
        <v>1</v>
      </c>
      <c r="Q198" s="4">
        <v>1</v>
      </c>
      <c r="R198" s="4">
        <v>2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0</v>
      </c>
      <c r="AE198" s="4">
        <v>1</v>
      </c>
      <c r="AF198" s="4">
        <v>0</v>
      </c>
      <c r="AG198" s="4">
        <v>1</v>
      </c>
      <c r="AH198" s="4">
        <v>1</v>
      </c>
      <c r="AI198" s="4">
        <v>2</v>
      </c>
      <c r="AJ198" s="4">
        <v>0</v>
      </c>
      <c r="AK198" s="4">
        <v>1</v>
      </c>
      <c r="AL198" s="4">
        <v>0</v>
      </c>
      <c r="AM198" s="4">
        <v>0</v>
      </c>
      <c r="AN198" s="4">
        <v>0</v>
      </c>
      <c r="AO198" s="4">
        <v>619</v>
      </c>
      <c r="AP198" s="4">
        <v>0</v>
      </c>
      <c r="AQ198" s="4">
        <v>1</v>
      </c>
      <c r="AR198" s="4">
        <v>620</v>
      </c>
      <c r="AS198" s="4">
        <v>0</v>
      </c>
      <c r="AT198" s="9">
        <v>197</v>
      </c>
      <c r="AU198" s="9" t="s">
        <v>341</v>
      </c>
      <c r="AV198" s="9" t="s">
        <v>101</v>
      </c>
    </row>
    <row r="199" spans="1:48" x14ac:dyDescent="0.25">
      <c r="A199" s="4">
        <v>198</v>
      </c>
      <c r="B199" s="4">
        <v>198</v>
      </c>
      <c r="C199" s="4">
        <v>98</v>
      </c>
      <c r="D199" s="4">
        <v>170</v>
      </c>
      <c r="E199" s="4">
        <v>225</v>
      </c>
      <c r="F199" s="4">
        <v>1</v>
      </c>
      <c r="G199" s="4">
        <v>1</v>
      </c>
      <c r="H199" s="4">
        <v>1</v>
      </c>
      <c r="I199" s="4">
        <v>0</v>
      </c>
      <c r="J199" s="4">
        <v>0</v>
      </c>
      <c r="K199" s="4">
        <v>1</v>
      </c>
      <c r="L199" s="4">
        <v>0</v>
      </c>
      <c r="M199" s="4">
        <v>0</v>
      </c>
      <c r="N199" s="4">
        <v>2</v>
      </c>
      <c r="O199" s="4">
        <v>0</v>
      </c>
      <c r="P199" s="4">
        <v>0</v>
      </c>
      <c r="Q199" s="4">
        <v>1</v>
      </c>
      <c r="R199" s="4">
        <v>1</v>
      </c>
      <c r="S199" s="4">
        <v>3</v>
      </c>
      <c r="T199" s="4">
        <v>1</v>
      </c>
      <c r="U199" s="4">
        <v>1</v>
      </c>
      <c r="V199" s="4">
        <v>0</v>
      </c>
      <c r="W199" s="4">
        <v>0</v>
      </c>
      <c r="X199" s="4">
        <v>0</v>
      </c>
      <c r="Y199" s="4">
        <v>0</v>
      </c>
      <c r="Z199" s="4">
        <v>1</v>
      </c>
      <c r="AA199" s="4">
        <v>1</v>
      </c>
      <c r="AB199" s="4">
        <v>0</v>
      </c>
      <c r="AC199" s="4">
        <v>0</v>
      </c>
      <c r="AD199" s="4">
        <v>1</v>
      </c>
      <c r="AE199" s="4">
        <v>1</v>
      </c>
      <c r="AF199" s="4">
        <v>0</v>
      </c>
      <c r="AG199" s="4">
        <v>0</v>
      </c>
      <c r="AH199" s="4">
        <v>2</v>
      </c>
      <c r="AI199" s="4">
        <v>0</v>
      </c>
      <c r="AJ199" s="4">
        <v>2</v>
      </c>
      <c r="AK199" s="4">
        <v>0</v>
      </c>
      <c r="AL199" s="4">
        <v>0</v>
      </c>
      <c r="AM199" s="4">
        <v>0</v>
      </c>
      <c r="AN199" s="4">
        <v>0</v>
      </c>
      <c r="AO199" s="4">
        <v>514</v>
      </c>
      <c r="AP199" s="4">
        <v>0</v>
      </c>
      <c r="AQ199" s="4">
        <v>1</v>
      </c>
      <c r="AR199" s="4">
        <v>515</v>
      </c>
      <c r="AS199" s="4">
        <v>0</v>
      </c>
      <c r="AT199" s="9">
        <v>198</v>
      </c>
      <c r="AU199" s="9" t="s">
        <v>342</v>
      </c>
      <c r="AV199" s="9" t="s">
        <v>101</v>
      </c>
    </row>
    <row r="200" spans="1:48" ht="114.75" x14ac:dyDescent="0.25">
      <c r="A200" s="4">
        <v>199</v>
      </c>
      <c r="B200" s="4">
        <v>199</v>
      </c>
      <c r="C200" s="4">
        <v>62</v>
      </c>
      <c r="D200" s="4">
        <v>59</v>
      </c>
      <c r="E200" s="4">
        <v>277</v>
      </c>
      <c r="F200" s="4">
        <v>4</v>
      </c>
      <c r="G200" s="4">
        <v>0</v>
      </c>
      <c r="H200" s="4">
        <v>5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1</v>
      </c>
      <c r="Q200" s="4">
        <v>0</v>
      </c>
      <c r="R200" s="4">
        <v>0</v>
      </c>
      <c r="S200" s="4">
        <v>1</v>
      </c>
      <c r="T200" s="4">
        <v>0</v>
      </c>
      <c r="U200" s="4">
        <v>0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2</v>
      </c>
      <c r="AD200" s="4">
        <v>1</v>
      </c>
      <c r="AE200" s="4">
        <v>0</v>
      </c>
      <c r="AF200" s="4">
        <v>0</v>
      </c>
      <c r="AG200" s="4">
        <v>0</v>
      </c>
      <c r="AH200" s="4">
        <v>1</v>
      </c>
      <c r="AI200" s="4">
        <v>0</v>
      </c>
      <c r="AJ200" s="4">
        <v>0</v>
      </c>
      <c r="AK200" s="4">
        <v>0</v>
      </c>
      <c r="AL200" s="4">
        <v>1</v>
      </c>
      <c r="AM200" s="4">
        <v>0</v>
      </c>
      <c r="AN200" s="4">
        <v>0</v>
      </c>
      <c r="AO200" s="4">
        <v>415</v>
      </c>
      <c r="AP200" s="4">
        <v>0</v>
      </c>
      <c r="AQ200" s="4">
        <v>0</v>
      </c>
      <c r="AR200" s="4">
        <v>415</v>
      </c>
      <c r="AS200" s="4">
        <v>0</v>
      </c>
      <c r="AT200" s="9">
        <v>199</v>
      </c>
      <c r="AU200" s="9" t="s">
        <v>343</v>
      </c>
      <c r="AV200" s="9" t="s">
        <v>344</v>
      </c>
    </row>
    <row r="201" spans="1:48" x14ac:dyDescent="0.25">
      <c r="A201" s="4">
        <v>200</v>
      </c>
      <c r="B201" s="4">
        <v>200</v>
      </c>
      <c r="C201" s="4">
        <v>122</v>
      </c>
      <c r="D201" s="4">
        <v>19</v>
      </c>
      <c r="E201" s="4">
        <v>348</v>
      </c>
      <c r="F201" s="4">
        <v>3</v>
      </c>
      <c r="G201" s="4">
        <v>0</v>
      </c>
      <c r="H201" s="4">
        <v>17</v>
      </c>
      <c r="I201" s="4">
        <v>0</v>
      </c>
      <c r="J201" s="4">
        <v>0</v>
      </c>
      <c r="K201" s="4">
        <v>1</v>
      </c>
      <c r="L201" s="4">
        <v>0</v>
      </c>
      <c r="M201" s="4">
        <v>0</v>
      </c>
      <c r="N201" s="4">
        <v>2</v>
      </c>
      <c r="O201" s="4">
        <v>1</v>
      </c>
      <c r="P201" s="4">
        <v>0</v>
      </c>
      <c r="Q201" s="4">
        <v>1</v>
      </c>
      <c r="R201" s="4">
        <v>3</v>
      </c>
      <c r="S201" s="4">
        <v>0</v>
      </c>
      <c r="T201" s="4">
        <v>0</v>
      </c>
      <c r="U201" s="4">
        <v>1</v>
      </c>
      <c r="V201" s="4">
        <v>0</v>
      </c>
      <c r="W201" s="4">
        <v>0</v>
      </c>
      <c r="X201" s="4">
        <v>1</v>
      </c>
      <c r="Y201" s="4">
        <v>0</v>
      </c>
      <c r="Z201" s="4">
        <v>0</v>
      </c>
      <c r="AA201" s="4">
        <v>1</v>
      </c>
      <c r="AB201" s="4">
        <v>0</v>
      </c>
      <c r="AC201" s="4">
        <v>2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522</v>
      </c>
      <c r="AP201" s="4">
        <v>0</v>
      </c>
      <c r="AQ201" s="4">
        <v>0</v>
      </c>
      <c r="AR201" s="4">
        <v>522</v>
      </c>
      <c r="AS201" s="4">
        <v>0</v>
      </c>
      <c r="AT201" s="9">
        <v>200</v>
      </c>
      <c r="AU201" s="9" t="s">
        <v>101</v>
      </c>
      <c r="AV201" s="9" t="s">
        <v>101</v>
      </c>
    </row>
    <row r="202" spans="1:48" x14ac:dyDescent="0.25">
      <c r="A202" s="4">
        <v>201</v>
      </c>
      <c r="B202" s="4">
        <v>201</v>
      </c>
      <c r="C202" s="4">
        <v>127</v>
      </c>
      <c r="D202" s="4">
        <v>139</v>
      </c>
      <c r="E202" s="4">
        <v>124</v>
      </c>
      <c r="F202" s="4">
        <v>0</v>
      </c>
      <c r="G202" s="4">
        <v>0</v>
      </c>
      <c r="H202" s="4">
        <v>20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1</v>
      </c>
      <c r="O202" s="4">
        <v>0</v>
      </c>
      <c r="P202" s="4">
        <v>1</v>
      </c>
      <c r="Q202" s="4">
        <v>0</v>
      </c>
      <c r="R202" s="4">
        <v>2</v>
      </c>
      <c r="S202" s="4">
        <v>0</v>
      </c>
      <c r="T202" s="4">
        <v>0</v>
      </c>
      <c r="U202" s="4">
        <v>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1</v>
      </c>
      <c r="AK202" s="4">
        <v>0</v>
      </c>
      <c r="AL202" s="4">
        <v>0</v>
      </c>
      <c r="AM202" s="4">
        <v>0</v>
      </c>
      <c r="AN202" s="4">
        <v>0</v>
      </c>
      <c r="AO202" s="4">
        <v>416</v>
      </c>
      <c r="AP202" s="4">
        <v>0</v>
      </c>
      <c r="AQ202" s="4">
        <v>0</v>
      </c>
      <c r="AR202" s="4">
        <v>416</v>
      </c>
      <c r="AS202" s="4">
        <v>0</v>
      </c>
      <c r="AT202" s="9">
        <v>201</v>
      </c>
      <c r="AU202" s="9" t="s">
        <v>345</v>
      </c>
      <c r="AV202" s="9" t="s">
        <v>101</v>
      </c>
    </row>
    <row r="203" spans="1:48" x14ac:dyDescent="0.25">
      <c r="A203" s="4">
        <v>202</v>
      </c>
      <c r="B203" s="4">
        <v>202</v>
      </c>
      <c r="C203" s="4">
        <v>198</v>
      </c>
      <c r="D203" s="4">
        <v>28</v>
      </c>
      <c r="E203" s="4">
        <v>107</v>
      </c>
      <c r="F203" s="4">
        <v>0</v>
      </c>
      <c r="G203" s="4">
        <v>0</v>
      </c>
      <c r="H203" s="4">
        <v>20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1</v>
      </c>
      <c r="AM203" s="4">
        <v>0</v>
      </c>
      <c r="AN203" s="4">
        <v>0</v>
      </c>
      <c r="AO203" s="4">
        <v>355</v>
      </c>
      <c r="AP203" s="4">
        <v>0</v>
      </c>
      <c r="AQ203" s="4">
        <v>0</v>
      </c>
      <c r="AR203" s="4">
        <v>355</v>
      </c>
      <c r="AS203" s="4">
        <v>0</v>
      </c>
      <c r="AT203" s="9">
        <v>202</v>
      </c>
      <c r="AU203" s="9" t="s">
        <v>346</v>
      </c>
      <c r="AV203" s="9" t="s">
        <v>347</v>
      </c>
    </row>
    <row r="204" spans="1:48" x14ac:dyDescent="0.25">
      <c r="A204" s="4">
        <v>203</v>
      </c>
      <c r="B204" s="4">
        <v>203</v>
      </c>
      <c r="C204" s="4">
        <v>115</v>
      </c>
      <c r="D204" s="4">
        <v>164</v>
      </c>
      <c r="E204" s="4">
        <v>447</v>
      </c>
      <c r="F204" s="4">
        <v>0</v>
      </c>
      <c r="G204" s="4">
        <v>1</v>
      </c>
      <c r="H204" s="4">
        <v>4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1</v>
      </c>
      <c r="R204" s="4">
        <v>2</v>
      </c>
      <c r="S204" s="4">
        <v>1</v>
      </c>
      <c r="T204" s="4">
        <v>2</v>
      </c>
      <c r="U204" s="4">
        <v>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1</v>
      </c>
      <c r="AC204" s="4">
        <v>0</v>
      </c>
      <c r="AD204" s="4">
        <v>0</v>
      </c>
      <c r="AE204" s="4">
        <v>0</v>
      </c>
      <c r="AF204" s="4">
        <v>2</v>
      </c>
      <c r="AG204" s="4">
        <v>0</v>
      </c>
      <c r="AH204" s="4">
        <v>0</v>
      </c>
      <c r="AI204" s="4">
        <v>0</v>
      </c>
      <c r="AJ204" s="4">
        <v>1</v>
      </c>
      <c r="AK204" s="4">
        <v>0</v>
      </c>
      <c r="AL204" s="4">
        <v>0</v>
      </c>
      <c r="AM204" s="4">
        <v>0</v>
      </c>
      <c r="AN204" s="4">
        <v>0</v>
      </c>
      <c r="AO204" s="4">
        <v>742</v>
      </c>
      <c r="AP204" s="4">
        <v>0</v>
      </c>
      <c r="AQ204" s="4">
        <v>5</v>
      </c>
      <c r="AR204" s="4">
        <v>747</v>
      </c>
      <c r="AS204" s="4">
        <v>0</v>
      </c>
      <c r="AT204" s="9">
        <v>203</v>
      </c>
      <c r="AU204" s="9" t="s">
        <v>348</v>
      </c>
      <c r="AV204" s="10"/>
    </row>
    <row r="205" spans="1:48" x14ac:dyDescent="0.25">
      <c r="A205" s="4">
        <v>204</v>
      </c>
      <c r="B205" s="4">
        <v>204</v>
      </c>
      <c r="C205" s="4">
        <v>183</v>
      </c>
      <c r="D205" s="4">
        <v>23</v>
      </c>
      <c r="E205" s="4">
        <v>328</v>
      </c>
      <c r="F205" s="4">
        <v>4</v>
      </c>
      <c r="G205" s="4">
        <v>1</v>
      </c>
      <c r="H205" s="4">
        <v>15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1</v>
      </c>
      <c r="Q205" s="4">
        <v>0</v>
      </c>
      <c r="R205" s="4">
        <v>1</v>
      </c>
      <c r="S205" s="4">
        <v>2</v>
      </c>
      <c r="T205" s="4">
        <v>0</v>
      </c>
      <c r="U205" s="4">
        <v>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</v>
      </c>
      <c r="AB205" s="4">
        <v>0</v>
      </c>
      <c r="AC205" s="4">
        <v>1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2</v>
      </c>
      <c r="AJ205" s="4">
        <v>0</v>
      </c>
      <c r="AK205" s="4">
        <v>1</v>
      </c>
      <c r="AL205" s="4">
        <v>1</v>
      </c>
      <c r="AM205" s="4">
        <v>1</v>
      </c>
      <c r="AN205" s="4">
        <v>0</v>
      </c>
      <c r="AO205" s="4">
        <v>567</v>
      </c>
      <c r="AP205" s="4">
        <v>0</v>
      </c>
      <c r="AQ205" s="4">
        <v>1</v>
      </c>
      <c r="AR205" s="4">
        <v>568</v>
      </c>
      <c r="AS205" s="4">
        <v>0</v>
      </c>
      <c r="AT205" s="9">
        <v>204</v>
      </c>
      <c r="AU205" s="9" t="s">
        <v>349</v>
      </c>
      <c r="AV205" s="10"/>
    </row>
    <row r="206" spans="1:48" x14ac:dyDescent="0.25">
      <c r="A206" s="4">
        <v>205</v>
      </c>
      <c r="B206" s="4">
        <v>205</v>
      </c>
      <c r="C206" s="4">
        <v>106</v>
      </c>
      <c r="D206" s="4">
        <v>91</v>
      </c>
      <c r="E206" s="4">
        <v>371</v>
      </c>
      <c r="F206" s="4">
        <v>3</v>
      </c>
      <c r="G206" s="4">
        <v>1</v>
      </c>
      <c r="H206" s="4">
        <v>1</v>
      </c>
      <c r="I206" s="4">
        <v>0</v>
      </c>
      <c r="J206" s="4">
        <v>0</v>
      </c>
      <c r="K206" s="4">
        <v>1</v>
      </c>
      <c r="L206" s="4">
        <v>0</v>
      </c>
      <c r="M206" s="4">
        <v>0</v>
      </c>
      <c r="N206" s="4">
        <v>1</v>
      </c>
      <c r="O206" s="4">
        <v>0</v>
      </c>
      <c r="P206" s="4">
        <v>2</v>
      </c>
      <c r="Q206" s="4">
        <v>0</v>
      </c>
      <c r="R206" s="4">
        <v>1</v>
      </c>
      <c r="S206" s="4">
        <v>0</v>
      </c>
      <c r="T206" s="4">
        <v>1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1</v>
      </c>
      <c r="AK206" s="4">
        <v>0</v>
      </c>
      <c r="AL206" s="4">
        <v>0</v>
      </c>
      <c r="AM206" s="4">
        <v>1</v>
      </c>
      <c r="AN206" s="4">
        <v>0</v>
      </c>
      <c r="AO206" s="4">
        <v>581</v>
      </c>
      <c r="AP206" s="4">
        <v>0</v>
      </c>
      <c r="AQ206" s="4">
        <v>0</v>
      </c>
      <c r="AR206" s="4">
        <v>581</v>
      </c>
      <c r="AS206" s="4">
        <v>0</v>
      </c>
      <c r="AT206" s="9">
        <v>205</v>
      </c>
      <c r="AU206" s="9" t="s">
        <v>350</v>
      </c>
      <c r="AV206" s="9" t="s">
        <v>351</v>
      </c>
    </row>
    <row r="207" spans="1:48" x14ac:dyDescent="0.25">
      <c r="A207" s="4">
        <v>206</v>
      </c>
      <c r="B207" s="4">
        <v>206</v>
      </c>
      <c r="C207" s="4">
        <v>115</v>
      </c>
      <c r="D207" s="4">
        <v>513</v>
      </c>
      <c r="E207" s="4">
        <v>123</v>
      </c>
      <c r="F207" s="4">
        <v>0</v>
      </c>
      <c r="G207" s="4">
        <v>24</v>
      </c>
      <c r="H207" s="4">
        <v>20</v>
      </c>
      <c r="I207" s="4">
        <v>2</v>
      </c>
      <c r="J207" s="4">
        <v>2</v>
      </c>
      <c r="K207" s="4">
        <v>0</v>
      </c>
      <c r="L207" s="4">
        <v>1</v>
      </c>
      <c r="M207" s="4">
        <v>0</v>
      </c>
      <c r="N207" s="4">
        <v>1</v>
      </c>
      <c r="O207" s="4">
        <v>1</v>
      </c>
      <c r="P207" s="4">
        <v>0</v>
      </c>
      <c r="Q207" s="4">
        <v>0</v>
      </c>
      <c r="R207" s="4">
        <v>3</v>
      </c>
      <c r="S207" s="4">
        <v>3</v>
      </c>
      <c r="T207" s="4">
        <v>3</v>
      </c>
      <c r="U207" s="4">
        <v>0</v>
      </c>
      <c r="V207" s="4">
        <v>2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1</v>
      </c>
      <c r="AL207" s="4">
        <v>0</v>
      </c>
      <c r="AM207" s="4">
        <v>0</v>
      </c>
      <c r="AN207" s="4">
        <v>1</v>
      </c>
      <c r="AO207" s="4">
        <v>816</v>
      </c>
      <c r="AP207" s="4">
        <v>0</v>
      </c>
      <c r="AQ207" s="4">
        <v>0</v>
      </c>
      <c r="AR207" s="4">
        <v>816</v>
      </c>
      <c r="AS207" s="4">
        <v>0</v>
      </c>
      <c r="AT207" s="9">
        <v>206</v>
      </c>
      <c r="AU207" s="9" t="s">
        <v>352</v>
      </c>
      <c r="AV207" s="10"/>
    </row>
    <row r="208" spans="1:48" x14ac:dyDescent="0.25">
      <c r="A208" s="4">
        <v>207</v>
      </c>
      <c r="B208" s="4">
        <v>207</v>
      </c>
      <c r="C208" s="4">
        <v>71</v>
      </c>
      <c r="D208" s="4">
        <v>665</v>
      </c>
      <c r="E208" s="4">
        <v>135</v>
      </c>
      <c r="F208" s="4">
        <v>1</v>
      </c>
      <c r="G208" s="4">
        <v>26</v>
      </c>
      <c r="H208" s="4">
        <v>4</v>
      </c>
      <c r="I208" s="4">
        <v>1</v>
      </c>
      <c r="J208" s="4">
        <v>1</v>
      </c>
      <c r="K208" s="4">
        <v>1</v>
      </c>
      <c r="L208" s="4">
        <v>0</v>
      </c>
      <c r="M208" s="4">
        <v>1</v>
      </c>
      <c r="N208" s="4">
        <v>2</v>
      </c>
      <c r="O208" s="4">
        <v>2</v>
      </c>
      <c r="P208" s="4">
        <v>1</v>
      </c>
      <c r="Q208" s="4">
        <v>2</v>
      </c>
      <c r="R208" s="4">
        <v>2</v>
      </c>
      <c r="S208" s="4">
        <v>0</v>
      </c>
      <c r="T208" s="4">
        <v>2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</v>
      </c>
      <c r="AB208" s="4">
        <v>0</v>
      </c>
      <c r="AC208" s="4">
        <v>1</v>
      </c>
      <c r="AD208" s="4">
        <v>0</v>
      </c>
      <c r="AE208" s="4">
        <v>1</v>
      </c>
      <c r="AF208" s="4">
        <v>0</v>
      </c>
      <c r="AG208" s="4">
        <v>2</v>
      </c>
      <c r="AH208" s="4">
        <v>1</v>
      </c>
      <c r="AI208" s="4">
        <v>0</v>
      </c>
      <c r="AJ208" s="4">
        <v>2</v>
      </c>
      <c r="AK208" s="4">
        <v>0</v>
      </c>
      <c r="AL208" s="4">
        <v>0</v>
      </c>
      <c r="AM208" s="4">
        <v>1</v>
      </c>
      <c r="AN208" s="4">
        <v>1</v>
      </c>
      <c r="AO208" s="4">
        <v>927</v>
      </c>
      <c r="AP208" s="4">
        <v>0</v>
      </c>
      <c r="AQ208" s="4">
        <v>0</v>
      </c>
      <c r="AR208" s="4">
        <v>927</v>
      </c>
      <c r="AS208" s="4">
        <v>0</v>
      </c>
      <c r="AT208" s="9">
        <v>207</v>
      </c>
      <c r="AU208" s="9" t="s">
        <v>353</v>
      </c>
      <c r="AV208" s="9" t="s">
        <v>354</v>
      </c>
    </row>
    <row r="209" spans="1:48" x14ac:dyDescent="0.25">
      <c r="A209" s="4">
        <v>208</v>
      </c>
      <c r="B209" s="4">
        <v>208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9">
        <v>208</v>
      </c>
      <c r="AU209" s="9" t="s">
        <v>355</v>
      </c>
      <c r="AV209" s="9" t="s">
        <v>356</v>
      </c>
    </row>
    <row r="210" spans="1:48" x14ac:dyDescent="0.25">
      <c r="A210" s="4">
        <v>209</v>
      </c>
      <c r="B210" s="4">
        <v>209</v>
      </c>
      <c r="C210" s="4">
        <v>210</v>
      </c>
      <c r="D210" s="4">
        <v>27</v>
      </c>
      <c r="E210" s="4">
        <v>197</v>
      </c>
      <c r="F210" s="4">
        <v>2</v>
      </c>
      <c r="G210" s="4">
        <v>1</v>
      </c>
      <c r="H210" s="4">
        <v>15</v>
      </c>
      <c r="I210" s="4">
        <v>0</v>
      </c>
      <c r="J210" s="4">
        <v>0</v>
      </c>
      <c r="K210" s="4">
        <v>1</v>
      </c>
      <c r="L210" s="4">
        <v>0</v>
      </c>
      <c r="M210" s="4">
        <v>1</v>
      </c>
      <c r="N210" s="4">
        <v>0</v>
      </c>
      <c r="O210" s="4">
        <v>0</v>
      </c>
      <c r="P210" s="4">
        <v>0</v>
      </c>
      <c r="Q210" s="4">
        <v>0</v>
      </c>
      <c r="R210" s="4">
        <v>2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1</v>
      </c>
      <c r="AD210" s="4">
        <v>0</v>
      </c>
      <c r="AE210" s="4">
        <v>0</v>
      </c>
      <c r="AF210" s="4">
        <v>0</v>
      </c>
      <c r="AG210" s="4">
        <v>1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459</v>
      </c>
      <c r="AP210" s="4">
        <v>0</v>
      </c>
      <c r="AQ210" s="4">
        <v>0</v>
      </c>
      <c r="AR210" s="4">
        <v>459</v>
      </c>
      <c r="AS210" s="4">
        <v>0</v>
      </c>
      <c r="AT210" s="9">
        <v>209</v>
      </c>
      <c r="AU210" s="9" t="s">
        <v>357</v>
      </c>
      <c r="AV210" s="9" t="s">
        <v>358</v>
      </c>
    </row>
    <row r="211" spans="1:48" x14ac:dyDescent="0.25">
      <c r="A211" s="4">
        <v>210</v>
      </c>
      <c r="B211" s="4">
        <v>210</v>
      </c>
      <c r="C211" s="4">
        <v>39</v>
      </c>
      <c r="D211" s="4">
        <v>312</v>
      </c>
      <c r="E211" s="4">
        <v>127</v>
      </c>
      <c r="F211" s="4">
        <v>1</v>
      </c>
      <c r="G211" s="4">
        <v>1</v>
      </c>
      <c r="H211" s="4">
        <v>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1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1</v>
      </c>
      <c r="V211" s="4">
        <v>1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1</v>
      </c>
      <c r="AL211" s="4">
        <v>0</v>
      </c>
      <c r="AM211" s="4">
        <v>0</v>
      </c>
      <c r="AN211" s="4">
        <v>0</v>
      </c>
      <c r="AO211" s="4">
        <v>485</v>
      </c>
      <c r="AP211" s="4">
        <v>0</v>
      </c>
      <c r="AQ211" s="4">
        <v>0</v>
      </c>
      <c r="AR211" s="4">
        <v>485</v>
      </c>
      <c r="AS211" s="4">
        <v>0</v>
      </c>
      <c r="AT211" s="9">
        <v>210</v>
      </c>
      <c r="AU211" s="9" t="s">
        <v>359</v>
      </c>
      <c r="AV211" s="9" t="s">
        <v>360</v>
      </c>
    </row>
    <row r="212" spans="1:48" x14ac:dyDescent="0.25">
      <c r="A212" s="4">
        <v>211</v>
      </c>
      <c r="B212" s="4">
        <v>211</v>
      </c>
      <c r="C212" s="4">
        <v>56</v>
      </c>
      <c r="D212" s="4">
        <v>27</v>
      </c>
      <c r="E212" s="4">
        <v>421</v>
      </c>
      <c r="F212" s="4">
        <v>0</v>
      </c>
      <c r="G212" s="4">
        <v>0</v>
      </c>
      <c r="H212" s="4">
        <v>9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1</v>
      </c>
      <c r="O212" s="4">
        <v>0</v>
      </c>
      <c r="P212" s="4">
        <v>0</v>
      </c>
      <c r="Q212" s="4">
        <v>0</v>
      </c>
      <c r="R212" s="4">
        <v>2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516</v>
      </c>
      <c r="AP212" s="4">
        <v>0</v>
      </c>
      <c r="AQ212" s="4">
        <v>0</v>
      </c>
      <c r="AR212" s="4">
        <v>516</v>
      </c>
      <c r="AS212" s="4">
        <v>0</v>
      </c>
      <c r="AT212" s="9">
        <v>211</v>
      </c>
      <c r="AU212" s="9" t="s">
        <v>361</v>
      </c>
      <c r="AV212" s="9" t="s">
        <v>362</v>
      </c>
    </row>
    <row r="213" spans="1:48" x14ac:dyDescent="0.25">
      <c r="A213" s="4">
        <v>212</v>
      </c>
      <c r="B213" s="4">
        <v>212</v>
      </c>
      <c r="C213" s="4">
        <v>108</v>
      </c>
      <c r="D213" s="4">
        <v>378</v>
      </c>
      <c r="E213" s="4">
        <v>141</v>
      </c>
      <c r="F213" s="4">
        <v>2</v>
      </c>
      <c r="G213" s="4">
        <v>6</v>
      </c>
      <c r="H213" s="4">
        <v>12</v>
      </c>
      <c r="I213" s="4">
        <v>2</v>
      </c>
      <c r="J213" s="4">
        <v>0</v>
      </c>
      <c r="K213" s="4">
        <v>0</v>
      </c>
      <c r="L213" s="4">
        <v>0</v>
      </c>
      <c r="M213" s="4">
        <v>1</v>
      </c>
      <c r="N213" s="4">
        <v>2</v>
      </c>
      <c r="O213" s="4">
        <v>0</v>
      </c>
      <c r="P213" s="4">
        <v>0</v>
      </c>
      <c r="Q213" s="4">
        <v>3</v>
      </c>
      <c r="R213" s="4">
        <v>5</v>
      </c>
      <c r="S213" s="4">
        <v>0</v>
      </c>
      <c r="T213" s="4">
        <v>0</v>
      </c>
      <c r="U213" s="4">
        <v>1</v>
      </c>
      <c r="V213" s="4">
        <v>0</v>
      </c>
      <c r="W213" s="4">
        <v>0</v>
      </c>
      <c r="X213" s="4">
        <v>1</v>
      </c>
      <c r="Y213" s="4">
        <v>1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</v>
      </c>
      <c r="AH213" s="4">
        <v>2</v>
      </c>
      <c r="AI213" s="4">
        <v>1</v>
      </c>
      <c r="AJ213" s="4">
        <v>0</v>
      </c>
      <c r="AK213" s="4">
        <v>0</v>
      </c>
      <c r="AL213" s="4">
        <v>0</v>
      </c>
      <c r="AM213" s="4">
        <v>1</v>
      </c>
      <c r="AN213" s="4">
        <v>0</v>
      </c>
      <c r="AO213" s="4">
        <v>668</v>
      </c>
      <c r="AP213" s="4">
        <v>0</v>
      </c>
      <c r="AQ213" s="4">
        <v>0</v>
      </c>
      <c r="AR213" s="4">
        <v>668</v>
      </c>
      <c r="AS213" s="4">
        <v>0</v>
      </c>
      <c r="AT213" s="9">
        <v>212</v>
      </c>
      <c r="AU213" s="9" t="s">
        <v>363</v>
      </c>
      <c r="AV213" s="9" t="s">
        <v>364</v>
      </c>
    </row>
    <row r="214" spans="1:48" x14ac:dyDescent="0.25">
      <c r="A214" s="4">
        <v>213</v>
      </c>
      <c r="B214" s="4">
        <v>213</v>
      </c>
      <c r="C214" s="4">
        <v>81</v>
      </c>
      <c r="D214" s="4">
        <v>60</v>
      </c>
      <c r="E214" s="4">
        <v>133</v>
      </c>
      <c r="F214" s="4">
        <v>0</v>
      </c>
      <c r="G214" s="4">
        <v>0</v>
      </c>
      <c r="H214" s="4">
        <v>7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1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285</v>
      </c>
      <c r="AP214" s="4">
        <v>0</v>
      </c>
      <c r="AQ214" s="4">
        <v>0</v>
      </c>
      <c r="AR214" s="4">
        <v>285</v>
      </c>
      <c r="AS214" s="4">
        <v>0</v>
      </c>
      <c r="AT214" s="9">
        <v>213</v>
      </c>
      <c r="AU214" s="9" t="s">
        <v>365</v>
      </c>
      <c r="AV214" s="10"/>
    </row>
    <row r="215" spans="1:48" x14ac:dyDescent="0.25">
      <c r="A215" s="4">
        <v>214</v>
      </c>
      <c r="B215" s="4">
        <v>214</v>
      </c>
      <c r="C215" s="4">
        <v>161</v>
      </c>
      <c r="D215" s="4">
        <v>29</v>
      </c>
      <c r="E215" s="4">
        <v>358</v>
      </c>
      <c r="F215" s="4">
        <v>3</v>
      </c>
      <c r="G215" s="4">
        <v>0</v>
      </c>
      <c r="H215" s="4">
        <v>9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2</v>
      </c>
      <c r="S215" s="4">
        <v>0</v>
      </c>
      <c r="T215" s="4">
        <v>0</v>
      </c>
      <c r="U215" s="4">
        <v>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563</v>
      </c>
      <c r="AP215" s="4">
        <v>0</v>
      </c>
      <c r="AQ215" s="4">
        <v>0</v>
      </c>
      <c r="AR215" s="4">
        <v>563</v>
      </c>
      <c r="AS215" s="4">
        <v>0</v>
      </c>
      <c r="AT215" s="9">
        <v>214</v>
      </c>
      <c r="AU215" s="9" t="s">
        <v>366</v>
      </c>
      <c r="AV215" s="10"/>
    </row>
    <row r="216" spans="1:48" x14ac:dyDescent="0.25">
      <c r="A216" s="4">
        <v>215</v>
      </c>
      <c r="B216" s="4">
        <v>215</v>
      </c>
      <c r="C216" s="4">
        <v>63</v>
      </c>
      <c r="D216" s="4">
        <v>37</v>
      </c>
      <c r="E216" s="4">
        <v>237</v>
      </c>
      <c r="F216" s="4">
        <v>1</v>
      </c>
      <c r="G216" s="4">
        <v>4</v>
      </c>
      <c r="H216" s="4">
        <v>1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</v>
      </c>
      <c r="Q216" s="4">
        <v>0</v>
      </c>
      <c r="R216" s="4">
        <v>4</v>
      </c>
      <c r="S216" s="4">
        <v>0</v>
      </c>
      <c r="T216" s="4">
        <v>1</v>
      </c>
      <c r="U216" s="4">
        <v>2</v>
      </c>
      <c r="V216" s="4">
        <v>0</v>
      </c>
      <c r="W216" s="4">
        <v>1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1</v>
      </c>
      <c r="AI216" s="4">
        <v>0</v>
      </c>
      <c r="AJ216" s="4">
        <v>0</v>
      </c>
      <c r="AK216" s="4">
        <v>1</v>
      </c>
      <c r="AL216" s="4">
        <v>0</v>
      </c>
      <c r="AM216" s="4">
        <v>0</v>
      </c>
      <c r="AN216" s="4">
        <v>0</v>
      </c>
      <c r="AO216" s="4">
        <v>354</v>
      </c>
      <c r="AP216" s="4">
        <v>0</v>
      </c>
      <c r="AQ216" s="4">
        <v>0</v>
      </c>
      <c r="AR216" s="4">
        <v>354</v>
      </c>
      <c r="AS216" s="4">
        <v>0</v>
      </c>
      <c r="AT216" s="9">
        <v>215</v>
      </c>
      <c r="AU216" s="9" t="s">
        <v>367</v>
      </c>
      <c r="AV216" s="10"/>
    </row>
    <row r="217" spans="1:48" x14ac:dyDescent="0.25">
      <c r="A217" s="4">
        <v>216</v>
      </c>
      <c r="B217" s="4">
        <v>216</v>
      </c>
      <c r="C217" s="4">
        <v>67</v>
      </c>
      <c r="D217" s="4">
        <v>94</v>
      </c>
      <c r="E217" s="4">
        <v>242</v>
      </c>
      <c r="F217" s="4">
        <v>4</v>
      </c>
      <c r="G217" s="4">
        <v>3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1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413</v>
      </c>
      <c r="AP217" s="4">
        <v>0</v>
      </c>
      <c r="AQ217" s="4">
        <v>0</v>
      </c>
      <c r="AR217" s="4">
        <v>413</v>
      </c>
      <c r="AS217" s="4">
        <v>0</v>
      </c>
      <c r="AT217" s="9">
        <v>216</v>
      </c>
      <c r="AU217" s="9" t="s">
        <v>368</v>
      </c>
      <c r="AV217" s="10"/>
    </row>
    <row r="218" spans="1:48" x14ac:dyDescent="0.25">
      <c r="A218" s="4">
        <v>217</v>
      </c>
      <c r="B218" s="4">
        <v>217</v>
      </c>
      <c r="C218" s="4">
        <v>70</v>
      </c>
      <c r="D218" s="4">
        <v>16</v>
      </c>
      <c r="E218" s="4">
        <v>419</v>
      </c>
      <c r="F218" s="4">
        <v>5</v>
      </c>
      <c r="G218" s="4">
        <v>0</v>
      </c>
      <c r="H218" s="4">
        <v>5</v>
      </c>
      <c r="I218" s="4">
        <v>0</v>
      </c>
      <c r="J218" s="4">
        <v>0</v>
      </c>
      <c r="K218" s="4">
        <v>0</v>
      </c>
      <c r="L218" s="4">
        <v>0</v>
      </c>
      <c r="M218" s="4">
        <v>1</v>
      </c>
      <c r="N218" s="4">
        <v>1</v>
      </c>
      <c r="O218" s="4">
        <v>2</v>
      </c>
      <c r="P218" s="4">
        <v>1</v>
      </c>
      <c r="Q218" s="4">
        <v>0</v>
      </c>
      <c r="R218" s="4">
        <v>3</v>
      </c>
      <c r="S218" s="4">
        <v>0</v>
      </c>
      <c r="T218" s="4">
        <v>0</v>
      </c>
      <c r="U218" s="4">
        <v>2</v>
      </c>
      <c r="V218" s="4">
        <v>0</v>
      </c>
      <c r="W218" s="4">
        <v>0</v>
      </c>
      <c r="X218" s="4">
        <v>1</v>
      </c>
      <c r="Y218" s="4">
        <v>0</v>
      </c>
      <c r="Z218" s="4">
        <v>0</v>
      </c>
      <c r="AA218" s="4">
        <v>0</v>
      </c>
      <c r="AB218" s="4">
        <v>0</v>
      </c>
      <c r="AC218" s="4">
        <v>1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2</v>
      </c>
      <c r="AJ218" s="4">
        <v>0</v>
      </c>
      <c r="AK218" s="4">
        <v>1</v>
      </c>
      <c r="AL218" s="4">
        <v>0</v>
      </c>
      <c r="AM218" s="4">
        <v>0</v>
      </c>
      <c r="AN218" s="4">
        <v>1</v>
      </c>
      <c r="AO218" s="4">
        <v>531</v>
      </c>
      <c r="AP218" s="4">
        <v>0</v>
      </c>
      <c r="AQ218" s="4">
        <v>2</v>
      </c>
      <c r="AR218" s="4">
        <v>533</v>
      </c>
      <c r="AS218" s="4">
        <v>0</v>
      </c>
      <c r="AT218" s="9">
        <v>217</v>
      </c>
      <c r="AU218" s="9" t="s">
        <v>369</v>
      </c>
      <c r="AV218" s="9" t="s">
        <v>370</v>
      </c>
    </row>
    <row r="219" spans="1:48" x14ac:dyDescent="0.25">
      <c r="A219" s="4">
        <v>218</v>
      </c>
      <c r="B219" s="4">
        <v>218</v>
      </c>
      <c r="C219" s="4">
        <v>152</v>
      </c>
      <c r="D219" s="4">
        <v>14</v>
      </c>
      <c r="E219" s="4">
        <v>258</v>
      </c>
      <c r="F219" s="4">
        <v>4</v>
      </c>
      <c r="G219" s="4">
        <v>0</v>
      </c>
      <c r="H219" s="4">
        <v>137</v>
      </c>
      <c r="I219" s="4">
        <v>4</v>
      </c>
      <c r="J219" s="4">
        <v>0</v>
      </c>
      <c r="K219" s="4">
        <v>0</v>
      </c>
      <c r="L219" s="4">
        <v>0</v>
      </c>
      <c r="M219" s="4">
        <v>1</v>
      </c>
      <c r="N219" s="4">
        <v>0</v>
      </c>
      <c r="O219" s="4">
        <v>0</v>
      </c>
      <c r="P219" s="4">
        <v>0</v>
      </c>
      <c r="Q219" s="4">
        <v>0</v>
      </c>
      <c r="R219" s="4">
        <v>2</v>
      </c>
      <c r="S219" s="4">
        <v>1</v>
      </c>
      <c r="T219" s="4">
        <v>0</v>
      </c>
      <c r="U219" s="4">
        <v>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</v>
      </c>
      <c r="AH219" s="4">
        <v>0</v>
      </c>
      <c r="AI219" s="4">
        <v>0</v>
      </c>
      <c r="AJ219" s="4">
        <v>0</v>
      </c>
      <c r="AK219" s="4">
        <v>1</v>
      </c>
      <c r="AL219" s="4">
        <v>0</v>
      </c>
      <c r="AM219" s="4">
        <v>0</v>
      </c>
      <c r="AN219" s="4">
        <v>0</v>
      </c>
      <c r="AO219" s="4">
        <v>577</v>
      </c>
      <c r="AP219" s="4">
        <v>0</v>
      </c>
      <c r="AQ219" s="4">
        <v>0</v>
      </c>
      <c r="AR219" s="4">
        <v>577</v>
      </c>
      <c r="AS219" s="4">
        <v>0</v>
      </c>
      <c r="AT219" s="9">
        <v>218</v>
      </c>
      <c r="AU219" s="10"/>
      <c r="AV219" s="9" t="s">
        <v>371</v>
      </c>
    </row>
    <row r="220" spans="1:48" x14ac:dyDescent="0.25">
      <c r="A220" s="4">
        <v>219</v>
      </c>
      <c r="B220" s="4">
        <v>219</v>
      </c>
      <c r="C220" s="4">
        <v>105</v>
      </c>
      <c r="D220" s="4">
        <v>57</v>
      </c>
      <c r="E220" s="4">
        <v>297</v>
      </c>
      <c r="F220" s="4">
        <v>3</v>
      </c>
      <c r="G220" s="4">
        <v>0</v>
      </c>
      <c r="H220" s="4">
        <v>91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1</v>
      </c>
      <c r="S220" s="4">
        <v>0</v>
      </c>
      <c r="T220" s="4">
        <v>1</v>
      </c>
      <c r="U220" s="4">
        <v>2</v>
      </c>
      <c r="V220" s="4">
        <v>0</v>
      </c>
      <c r="W220" s="4">
        <v>1</v>
      </c>
      <c r="X220" s="4">
        <v>0</v>
      </c>
      <c r="Y220" s="4">
        <v>0</v>
      </c>
      <c r="Z220" s="4">
        <v>0</v>
      </c>
      <c r="AA220" s="4">
        <v>2</v>
      </c>
      <c r="AB220" s="4">
        <v>0</v>
      </c>
      <c r="AC220" s="4">
        <v>0</v>
      </c>
      <c r="AD220" s="4">
        <v>2</v>
      </c>
      <c r="AE220" s="4">
        <v>0</v>
      </c>
      <c r="AF220" s="4">
        <v>0</v>
      </c>
      <c r="AG220" s="4">
        <v>1</v>
      </c>
      <c r="AH220" s="4">
        <v>1</v>
      </c>
      <c r="AI220" s="4">
        <v>0</v>
      </c>
      <c r="AJ220" s="4">
        <v>0</v>
      </c>
      <c r="AK220" s="4">
        <v>2</v>
      </c>
      <c r="AL220" s="4">
        <v>0</v>
      </c>
      <c r="AM220" s="4">
        <v>0</v>
      </c>
      <c r="AN220" s="4">
        <v>1</v>
      </c>
      <c r="AO220" s="4">
        <v>567</v>
      </c>
      <c r="AP220" s="4">
        <v>0</v>
      </c>
      <c r="AQ220" s="4">
        <v>0</v>
      </c>
      <c r="AR220" s="4">
        <v>567</v>
      </c>
      <c r="AS220" s="4">
        <v>0</v>
      </c>
      <c r="AT220" s="9">
        <v>219</v>
      </c>
      <c r="AU220" s="9" t="s">
        <v>372</v>
      </c>
      <c r="AV220" s="9" t="s">
        <v>373</v>
      </c>
    </row>
    <row r="221" spans="1:48" x14ac:dyDescent="0.25">
      <c r="A221" s="4">
        <v>220</v>
      </c>
      <c r="B221" s="4">
        <v>220</v>
      </c>
      <c r="C221" s="4">
        <v>209</v>
      </c>
      <c r="D221" s="4">
        <v>52</v>
      </c>
      <c r="E221" s="4">
        <v>255</v>
      </c>
      <c r="F221" s="4">
        <v>1</v>
      </c>
      <c r="G221" s="4">
        <v>1</v>
      </c>
      <c r="H221" s="4">
        <v>46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1</v>
      </c>
      <c r="P221" s="4">
        <v>2</v>
      </c>
      <c r="Q221" s="4">
        <v>1</v>
      </c>
      <c r="R221" s="4">
        <v>4</v>
      </c>
      <c r="S221" s="4">
        <v>2</v>
      </c>
      <c r="T221" s="4">
        <v>1</v>
      </c>
      <c r="U221" s="4">
        <v>4</v>
      </c>
      <c r="V221" s="4">
        <v>1</v>
      </c>
      <c r="W221" s="4">
        <v>1</v>
      </c>
      <c r="X221" s="4">
        <v>2</v>
      </c>
      <c r="Y221" s="4">
        <v>0</v>
      </c>
      <c r="Z221" s="4">
        <v>0</v>
      </c>
      <c r="AA221" s="4">
        <v>2</v>
      </c>
      <c r="AB221" s="4">
        <v>0</v>
      </c>
      <c r="AC221" s="4">
        <v>2</v>
      </c>
      <c r="AD221" s="4">
        <v>2</v>
      </c>
      <c r="AE221" s="4">
        <v>1</v>
      </c>
      <c r="AF221" s="4">
        <v>1</v>
      </c>
      <c r="AG221" s="4">
        <v>0</v>
      </c>
      <c r="AH221" s="4">
        <v>4</v>
      </c>
      <c r="AI221" s="4">
        <v>1</v>
      </c>
      <c r="AJ221" s="4">
        <v>0</v>
      </c>
      <c r="AK221" s="4">
        <v>0</v>
      </c>
      <c r="AL221" s="4">
        <v>1</v>
      </c>
      <c r="AM221" s="4">
        <v>0</v>
      </c>
      <c r="AN221" s="4">
        <v>1</v>
      </c>
      <c r="AO221" s="4">
        <v>598</v>
      </c>
      <c r="AP221" s="4">
        <v>0</v>
      </c>
      <c r="AQ221" s="4">
        <v>3</v>
      </c>
      <c r="AR221" s="4">
        <v>601</v>
      </c>
      <c r="AS221" s="4">
        <v>0</v>
      </c>
      <c r="AT221" s="9">
        <v>220</v>
      </c>
      <c r="AU221" s="9" t="s">
        <v>374</v>
      </c>
      <c r="AV221" s="9" t="s">
        <v>375</v>
      </c>
    </row>
    <row r="222" spans="1:48" x14ac:dyDescent="0.25">
      <c r="A222" s="4">
        <v>221</v>
      </c>
      <c r="B222" s="4">
        <v>221</v>
      </c>
      <c r="C222" s="4">
        <v>93</v>
      </c>
      <c r="D222" s="4">
        <v>149</v>
      </c>
      <c r="E222" s="4">
        <v>267</v>
      </c>
      <c r="F222" s="4">
        <v>1</v>
      </c>
      <c r="G222" s="4">
        <v>3</v>
      </c>
      <c r="H222" s="4">
        <v>49</v>
      </c>
      <c r="I222" s="4">
        <v>0</v>
      </c>
      <c r="J222" s="4">
        <v>0</v>
      </c>
      <c r="K222" s="4">
        <v>0</v>
      </c>
      <c r="L222" s="4">
        <v>0</v>
      </c>
      <c r="M222" s="4">
        <v>1</v>
      </c>
      <c r="N222" s="4">
        <v>0</v>
      </c>
      <c r="O222" s="4">
        <v>0</v>
      </c>
      <c r="P222" s="4">
        <v>1</v>
      </c>
      <c r="Q222" s="4">
        <v>1</v>
      </c>
      <c r="R222" s="4">
        <v>4</v>
      </c>
      <c r="S222" s="4">
        <v>2</v>
      </c>
      <c r="T222" s="4">
        <v>2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</v>
      </c>
      <c r="AB222" s="4">
        <v>1</v>
      </c>
      <c r="AC222" s="4">
        <v>0</v>
      </c>
      <c r="AD222" s="4">
        <v>0</v>
      </c>
      <c r="AE222" s="4">
        <v>0</v>
      </c>
      <c r="AF222" s="4">
        <v>0</v>
      </c>
      <c r="AG222" s="4">
        <v>1</v>
      </c>
      <c r="AH222" s="4">
        <v>0</v>
      </c>
      <c r="AI222" s="4">
        <v>4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581</v>
      </c>
      <c r="AP222" s="4">
        <v>0</v>
      </c>
      <c r="AQ222" s="4">
        <v>0</v>
      </c>
      <c r="AR222" s="4">
        <v>581</v>
      </c>
      <c r="AS222" s="4">
        <v>0</v>
      </c>
      <c r="AT222" s="9">
        <v>221</v>
      </c>
      <c r="AU222" s="9" t="s">
        <v>376</v>
      </c>
      <c r="AV222" s="9" t="s">
        <v>377</v>
      </c>
    </row>
    <row r="223" spans="1:48" x14ac:dyDescent="0.25">
      <c r="A223" s="4">
        <v>222</v>
      </c>
      <c r="B223" s="4">
        <v>222</v>
      </c>
      <c r="C223" s="4">
        <v>68</v>
      </c>
      <c r="D223" s="4">
        <v>198</v>
      </c>
      <c r="E223" s="4">
        <v>58</v>
      </c>
      <c r="F223" s="4">
        <v>0</v>
      </c>
      <c r="G223" s="4">
        <v>0</v>
      </c>
      <c r="H223" s="4">
        <v>2</v>
      </c>
      <c r="I223" s="4">
        <v>1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1</v>
      </c>
      <c r="P223" s="4">
        <v>0</v>
      </c>
      <c r="Q223" s="4">
        <v>1</v>
      </c>
      <c r="R223" s="4">
        <v>1</v>
      </c>
      <c r="S223" s="4">
        <v>0</v>
      </c>
      <c r="T223" s="4">
        <v>1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1</v>
      </c>
      <c r="AD223" s="4">
        <v>0</v>
      </c>
      <c r="AE223" s="4">
        <v>0</v>
      </c>
      <c r="AF223" s="4">
        <v>1</v>
      </c>
      <c r="AG223" s="4">
        <v>1</v>
      </c>
      <c r="AH223" s="4">
        <v>0</v>
      </c>
      <c r="AI223" s="4">
        <v>1</v>
      </c>
      <c r="AJ223" s="4">
        <v>1</v>
      </c>
      <c r="AK223" s="4">
        <v>1</v>
      </c>
      <c r="AL223" s="4">
        <v>0</v>
      </c>
      <c r="AM223" s="4">
        <v>0</v>
      </c>
      <c r="AN223" s="4">
        <v>0</v>
      </c>
      <c r="AO223" s="4">
        <v>337</v>
      </c>
      <c r="AP223" s="4">
        <v>0</v>
      </c>
      <c r="AQ223" s="4">
        <v>0</v>
      </c>
      <c r="AR223" s="4">
        <v>337</v>
      </c>
      <c r="AS223" s="4">
        <v>0</v>
      </c>
      <c r="AT223" s="9">
        <v>222</v>
      </c>
      <c r="AU223" s="9" t="s">
        <v>378</v>
      </c>
      <c r="AV223" s="9" t="s">
        <v>379</v>
      </c>
    </row>
    <row r="224" spans="1:48" x14ac:dyDescent="0.25">
      <c r="A224" s="4">
        <v>223</v>
      </c>
      <c r="B224" s="4">
        <v>223</v>
      </c>
      <c r="C224" s="4">
        <v>117</v>
      </c>
      <c r="D224" s="4">
        <v>10</v>
      </c>
      <c r="E224" s="4">
        <v>208</v>
      </c>
      <c r="F224" s="4">
        <v>0</v>
      </c>
      <c r="G224" s="4">
        <v>6</v>
      </c>
      <c r="H224" s="4">
        <v>25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1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1</v>
      </c>
      <c r="AL224" s="4">
        <v>0</v>
      </c>
      <c r="AM224" s="4">
        <v>0</v>
      </c>
      <c r="AN224" s="4">
        <v>0</v>
      </c>
      <c r="AO224" s="4">
        <v>368</v>
      </c>
      <c r="AP224" s="4">
        <v>0</v>
      </c>
      <c r="AQ224" s="4">
        <v>0</v>
      </c>
      <c r="AR224" s="4">
        <v>368</v>
      </c>
      <c r="AS224" s="4">
        <v>0</v>
      </c>
      <c r="AT224" s="9">
        <v>223</v>
      </c>
      <c r="AU224" s="9" t="s">
        <v>380</v>
      </c>
      <c r="AV224" s="9" t="s">
        <v>381</v>
      </c>
    </row>
    <row r="225" spans="1:48" x14ac:dyDescent="0.25">
      <c r="A225" s="4">
        <v>224</v>
      </c>
      <c r="B225" s="4">
        <v>224</v>
      </c>
      <c r="C225" s="4">
        <v>109</v>
      </c>
      <c r="D225" s="4">
        <v>431</v>
      </c>
      <c r="E225" s="4">
        <v>295</v>
      </c>
      <c r="F225" s="4">
        <v>1</v>
      </c>
      <c r="G225" s="4">
        <v>1</v>
      </c>
      <c r="H225" s="4">
        <v>17</v>
      </c>
      <c r="I225" s="4">
        <v>0</v>
      </c>
      <c r="J225" s="4">
        <v>0</v>
      </c>
      <c r="K225" s="4">
        <v>0</v>
      </c>
      <c r="L225" s="4">
        <v>0</v>
      </c>
      <c r="M225" s="4">
        <v>1</v>
      </c>
      <c r="N225" s="4">
        <v>1</v>
      </c>
      <c r="O225" s="4">
        <v>0</v>
      </c>
      <c r="P225" s="4">
        <v>2</v>
      </c>
      <c r="Q225" s="4">
        <v>0</v>
      </c>
      <c r="R225" s="4">
        <v>1</v>
      </c>
      <c r="S225" s="4">
        <v>0</v>
      </c>
      <c r="T225" s="4">
        <v>2</v>
      </c>
      <c r="U225" s="4">
        <v>1</v>
      </c>
      <c r="V225" s="4">
        <v>0</v>
      </c>
      <c r="W225" s="4">
        <v>0</v>
      </c>
      <c r="X225" s="4">
        <v>0</v>
      </c>
      <c r="Y225" s="4">
        <v>1</v>
      </c>
      <c r="Z225" s="4">
        <v>0</v>
      </c>
      <c r="AA225" s="4">
        <v>0</v>
      </c>
      <c r="AB225" s="4">
        <v>1</v>
      </c>
      <c r="AC225" s="4">
        <v>3</v>
      </c>
      <c r="AD225" s="4">
        <v>0</v>
      </c>
      <c r="AE225" s="4">
        <v>0</v>
      </c>
      <c r="AF225" s="4">
        <v>0</v>
      </c>
      <c r="AG225" s="4">
        <v>0</v>
      </c>
      <c r="AH225" s="4">
        <v>1</v>
      </c>
      <c r="AI225" s="4">
        <v>0</v>
      </c>
      <c r="AJ225" s="4">
        <v>1</v>
      </c>
      <c r="AK225" s="4">
        <v>2</v>
      </c>
      <c r="AL225" s="4">
        <v>0</v>
      </c>
      <c r="AM225" s="4">
        <v>1</v>
      </c>
      <c r="AN225" s="4">
        <v>0</v>
      </c>
      <c r="AO225" s="4">
        <v>872</v>
      </c>
      <c r="AP225" s="4">
        <v>0</v>
      </c>
      <c r="AQ225" s="4">
        <v>0</v>
      </c>
      <c r="AR225" s="4">
        <v>872</v>
      </c>
      <c r="AS225" s="4">
        <v>0</v>
      </c>
      <c r="AT225" s="9">
        <v>224</v>
      </c>
      <c r="AU225" s="9" t="s">
        <v>382</v>
      </c>
      <c r="AV225" s="9" t="s">
        <v>383</v>
      </c>
    </row>
    <row r="226" spans="1:48" x14ac:dyDescent="0.25">
      <c r="A226" s="4">
        <v>225</v>
      </c>
      <c r="B226" s="4">
        <v>225</v>
      </c>
      <c r="C226" s="4">
        <v>78</v>
      </c>
      <c r="D226" s="4">
        <v>247</v>
      </c>
      <c r="E226" s="4">
        <v>397</v>
      </c>
      <c r="F226" s="4">
        <v>7</v>
      </c>
      <c r="G226" s="4">
        <v>2</v>
      </c>
      <c r="H226" s="4">
        <v>10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1</v>
      </c>
      <c r="O226" s="4">
        <v>0</v>
      </c>
      <c r="P226" s="4">
        <v>0</v>
      </c>
      <c r="Q226" s="4">
        <v>0</v>
      </c>
      <c r="R226" s="4">
        <v>0</v>
      </c>
      <c r="S226" s="4">
        <v>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1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745</v>
      </c>
      <c r="AP226" s="4">
        <v>0</v>
      </c>
      <c r="AQ226" s="4">
        <v>0</v>
      </c>
      <c r="AR226" s="4">
        <v>745</v>
      </c>
      <c r="AS226" s="4">
        <v>0</v>
      </c>
      <c r="AT226" s="9">
        <v>225</v>
      </c>
      <c r="AU226" s="9" t="s">
        <v>384</v>
      </c>
      <c r="AV226" s="9" t="s">
        <v>385</v>
      </c>
    </row>
    <row r="227" spans="1:48" x14ac:dyDescent="0.25">
      <c r="A227" s="4">
        <v>226</v>
      </c>
      <c r="B227" s="4">
        <v>226</v>
      </c>
      <c r="C227" s="4">
        <v>228</v>
      </c>
      <c r="D227" s="4">
        <v>93</v>
      </c>
      <c r="E227" s="4">
        <v>294</v>
      </c>
      <c r="F227" s="4">
        <v>5</v>
      </c>
      <c r="G227" s="4">
        <v>0</v>
      </c>
      <c r="H227" s="4">
        <v>56</v>
      </c>
      <c r="I227" s="4">
        <v>0</v>
      </c>
      <c r="J227" s="4">
        <v>0</v>
      </c>
      <c r="K227" s="4">
        <v>0</v>
      </c>
      <c r="L227" s="4">
        <v>2</v>
      </c>
      <c r="M227" s="4">
        <v>0</v>
      </c>
      <c r="N227" s="4">
        <v>2</v>
      </c>
      <c r="O227" s="4">
        <v>0</v>
      </c>
      <c r="P227" s="4">
        <v>0</v>
      </c>
      <c r="Q227" s="4">
        <v>1</v>
      </c>
      <c r="R227" s="4">
        <v>4</v>
      </c>
      <c r="S227" s="4">
        <v>1</v>
      </c>
      <c r="T227" s="4">
        <v>0</v>
      </c>
      <c r="U227" s="4">
        <v>7</v>
      </c>
      <c r="V227" s="4">
        <v>0</v>
      </c>
      <c r="W227" s="4">
        <v>2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2</v>
      </c>
      <c r="AD227" s="4">
        <v>3</v>
      </c>
      <c r="AE227" s="4">
        <v>0</v>
      </c>
      <c r="AF227" s="4">
        <v>1</v>
      </c>
      <c r="AG227" s="4">
        <v>0</v>
      </c>
      <c r="AH227" s="4">
        <v>3</v>
      </c>
      <c r="AI227" s="4">
        <v>0</v>
      </c>
      <c r="AJ227" s="4">
        <v>0</v>
      </c>
      <c r="AK227" s="4">
        <v>2</v>
      </c>
      <c r="AL227" s="4">
        <v>0</v>
      </c>
      <c r="AM227" s="4">
        <v>0</v>
      </c>
      <c r="AN227" s="4">
        <v>0</v>
      </c>
      <c r="AO227" s="4">
        <v>706</v>
      </c>
      <c r="AP227" s="4">
        <v>0</v>
      </c>
      <c r="AQ227" s="4">
        <v>1</v>
      </c>
      <c r="AR227" s="4">
        <v>707</v>
      </c>
      <c r="AS227" s="4">
        <v>0</v>
      </c>
      <c r="AT227" s="9">
        <v>226</v>
      </c>
      <c r="AU227" s="9" t="s">
        <v>386</v>
      </c>
      <c r="AV227" s="9" t="s">
        <v>387</v>
      </c>
    </row>
    <row r="228" spans="1:48" x14ac:dyDescent="0.25">
      <c r="A228" s="4">
        <v>227</v>
      </c>
      <c r="B228" s="4">
        <v>227</v>
      </c>
      <c r="C228" s="4">
        <v>47</v>
      </c>
      <c r="D228" s="4">
        <v>29</v>
      </c>
      <c r="E228" s="4">
        <v>468</v>
      </c>
      <c r="F228" s="4">
        <v>3</v>
      </c>
      <c r="G228" s="4">
        <v>1</v>
      </c>
      <c r="H228" s="4">
        <v>23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3</v>
      </c>
      <c r="O228" s="4">
        <v>1</v>
      </c>
      <c r="P228" s="4">
        <v>0</v>
      </c>
      <c r="Q228" s="4">
        <v>0</v>
      </c>
      <c r="R228" s="4">
        <v>3</v>
      </c>
      <c r="S228" s="4">
        <v>0</v>
      </c>
      <c r="T228" s="4">
        <v>0</v>
      </c>
      <c r="U228" s="4">
        <v>0</v>
      </c>
      <c r="V228" s="4">
        <v>0</v>
      </c>
      <c r="W228" s="4">
        <v>1</v>
      </c>
      <c r="X228" s="4">
        <v>0</v>
      </c>
      <c r="Y228" s="4">
        <v>0</v>
      </c>
      <c r="Z228" s="4">
        <v>0</v>
      </c>
      <c r="AA228" s="4">
        <v>1</v>
      </c>
      <c r="AB228" s="4">
        <v>0</v>
      </c>
      <c r="AC228" s="4">
        <v>2</v>
      </c>
      <c r="AD228" s="4">
        <v>0</v>
      </c>
      <c r="AE228" s="4">
        <v>0</v>
      </c>
      <c r="AF228" s="4">
        <v>0</v>
      </c>
      <c r="AG228" s="4">
        <v>0</v>
      </c>
      <c r="AH228" s="4">
        <v>2</v>
      </c>
      <c r="AI228" s="4">
        <v>0</v>
      </c>
      <c r="AJ228" s="4">
        <v>2</v>
      </c>
      <c r="AK228" s="4">
        <v>0</v>
      </c>
      <c r="AL228" s="4">
        <v>0</v>
      </c>
      <c r="AM228" s="4">
        <v>0</v>
      </c>
      <c r="AN228" s="4">
        <v>0</v>
      </c>
      <c r="AO228" s="4">
        <v>586</v>
      </c>
      <c r="AP228" s="4">
        <v>0</v>
      </c>
      <c r="AQ228" s="4">
        <v>1</v>
      </c>
      <c r="AR228" s="4">
        <v>587</v>
      </c>
      <c r="AS228" s="4">
        <v>0</v>
      </c>
      <c r="AT228" s="9">
        <v>227</v>
      </c>
      <c r="AU228" s="9" t="s">
        <v>388</v>
      </c>
      <c r="AV228" s="9" t="s">
        <v>389</v>
      </c>
    </row>
    <row r="229" spans="1:48" x14ac:dyDescent="0.25">
      <c r="A229" s="4">
        <v>228</v>
      </c>
      <c r="B229" s="4">
        <v>228</v>
      </c>
      <c r="C229" s="4">
        <v>130</v>
      </c>
      <c r="D229" s="4">
        <v>5</v>
      </c>
      <c r="E229" s="4">
        <v>209</v>
      </c>
      <c r="F229" s="4">
        <v>2</v>
      </c>
      <c r="G229" s="4">
        <v>2</v>
      </c>
      <c r="H229" s="4">
        <v>88</v>
      </c>
      <c r="I229" s="4">
        <v>2</v>
      </c>
      <c r="J229" s="4">
        <v>0</v>
      </c>
      <c r="K229" s="4">
        <v>0</v>
      </c>
      <c r="L229" s="4">
        <v>0</v>
      </c>
      <c r="M229" s="4">
        <v>0</v>
      </c>
      <c r="N229" s="4">
        <v>2</v>
      </c>
      <c r="O229" s="4">
        <v>0</v>
      </c>
      <c r="P229" s="4">
        <v>1</v>
      </c>
      <c r="Q229" s="4">
        <v>0</v>
      </c>
      <c r="R229" s="4">
        <v>3</v>
      </c>
      <c r="S229" s="4">
        <v>0</v>
      </c>
      <c r="T229" s="4">
        <v>0</v>
      </c>
      <c r="U229" s="4">
        <v>3</v>
      </c>
      <c r="V229" s="4">
        <v>0</v>
      </c>
      <c r="W229" s="4">
        <v>2</v>
      </c>
      <c r="X229" s="4">
        <v>0</v>
      </c>
      <c r="Y229" s="4">
        <v>0</v>
      </c>
      <c r="Z229" s="4">
        <v>1</v>
      </c>
      <c r="AA229" s="4">
        <v>0</v>
      </c>
      <c r="AB229" s="4">
        <v>0</v>
      </c>
      <c r="AC229" s="4">
        <v>2</v>
      </c>
      <c r="AD229" s="4">
        <v>1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2</v>
      </c>
      <c r="AL229" s="4">
        <v>0</v>
      </c>
      <c r="AM229" s="4">
        <v>0</v>
      </c>
      <c r="AN229" s="4">
        <v>0</v>
      </c>
      <c r="AO229" s="4">
        <v>455</v>
      </c>
      <c r="AP229" s="4">
        <v>0</v>
      </c>
      <c r="AQ229" s="4">
        <v>1</v>
      </c>
      <c r="AR229" s="4">
        <v>456</v>
      </c>
      <c r="AS229" s="4">
        <v>0</v>
      </c>
      <c r="AT229" s="9">
        <v>228</v>
      </c>
      <c r="AU229" s="9" t="s">
        <v>390</v>
      </c>
      <c r="AV229" s="9" t="s">
        <v>391</v>
      </c>
    </row>
    <row r="230" spans="1:48" x14ac:dyDescent="0.25">
      <c r="A230" s="4">
        <v>229</v>
      </c>
      <c r="B230" s="4">
        <v>229</v>
      </c>
      <c r="C230" s="4">
        <v>244</v>
      </c>
      <c r="D230" s="4">
        <v>6</v>
      </c>
      <c r="E230" s="4">
        <v>291</v>
      </c>
      <c r="F230" s="4">
        <v>2</v>
      </c>
      <c r="G230" s="4">
        <v>1</v>
      </c>
      <c r="H230" s="4">
        <v>108</v>
      </c>
      <c r="I230" s="4">
        <v>0</v>
      </c>
      <c r="J230" s="4">
        <v>0</v>
      </c>
      <c r="K230" s="4">
        <v>2</v>
      </c>
      <c r="L230" s="4">
        <v>0</v>
      </c>
      <c r="M230" s="4">
        <v>1</v>
      </c>
      <c r="N230" s="4">
        <v>0</v>
      </c>
      <c r="O230" s="4">
        <v>0</v>
      </c>
      <c r="P230" s="4">
        <v>1</v>
      </c>
      <c r="Q230" s="4">
        <v>1</v>
      </c>
      <c r="R230" s="4">
        <v>3</v>
      </c>
      <c r="S230" s="4">
        <v>4</v>
      </c>
      <c r="T230" s="4">
        <v>0</v>
      </c>
      <c r="U230" s="4">
        <v>0</v>
      </c>
      <c r="V230" s="4">
        <v>1</v>
      </c>
      <c r="W230" s="4">
        <v>0</v>
      </c>
      <c r="X230" s="4">
        <v>1</v>
      </c>
      <c r="Y230" s="4">
        <v>0</v>
      </c>
      <c r="Z230" s="4">
        <v>1</v>
      </c>
      <c r="AA230" s="4">
        <v>2</v>
      </c>
      <c r="AB230" s="4">
        <v>0</v>
      </c>
      <c r="AC230" s="4">
        <v>0</v>
      </c>
      <c r="AD230" s="4">
        <v>1</v>
      </c>
      <c r="AE230" s="4">
        <v>0</v>
      </c>
      <c r="AF230" s="4">
        <v>1</v>
      </c>
      <c r="AG230" s="4">
        <v>0</v>
      </c>
      <c r="AH230" s="4">
        <v>2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673</v>
      </c>
      <c r="AP230" s="4">
        <v>0</v>
      </c>
      <c r="AQ230" s="4">
        <v>1</v>
      </c>
      <c r="AR230" s="4">
        <v>674</v>
      </c>
      <c r="AS230" s="4">
        <v>0</v>
      </c>
      <c r="AT230" s="9">
        <v>229</v>
      </c>
      <c r="AU230" s="9" t="s">
        <v>392</v>
      </c>
      <c r="AV230" s="9" t="s">
        <v>393</v>
      </c>
    </row>
    <row r="231" spans="1:48" ht="25.5" x14ac:dyDescent="0.25">
      <c r="A231" s="4">
        <v>230</v>
      </c>
      <c r="B231" s="4">
        <v>230</v>
      </c>
      <c r="C231" s="4">
        <v>131</v>
      </c>
      <c r="D231" s="4">
        <v>5</v>
      </c>
      <c r="E231" s="4">
        <v>202</v>
      </c>
      <c r="F231" s="4">
        <v>0</v>
      </c>
      <c r="G231" s="4">
        <v>0</v>
      </c>
      <c r="H231" s="4">
        <v>26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2</v>
      </c>
      <c r="P231" s="4">
        <v>1</v>
      </c>
      <c r="Q231" s="4">
        <v>1</v>
      </c>
      <c r="R231" s="4">
        <v>7</v>
      </c>
      <c r="S231" s="4">
        <v>0</v>
      </c>
      <c r="T231" s="4">
        <v>0</v>
      </c>
      <c r="U231" s="4">
        <v>4</v>
      </c>
      <c r="V231" s="4">
        <v>1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</v>
      </c>
      <c r="AD231" s="4">
        <v>0</v>
      </c>
      <c r="AE231" s="4">
        <v>0</v>
      </c>
      <c r="AF231" s="4">
        <v>0</v>
      </c>
      <c r="AG231" s="4">
        <v>0</v>
      </c>
      <c r="AH231" s="4">
        <v>2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383</v>
      </c>
      <c r="AP231" s="4">
        <v>0</v>
      </c>
      <c r="AQ231" s="4">
        <v>0</v>
      </c>
      <c r="AR231" s="4">
        <v>383</v>
      </c>
      <c r="AS231" s="4">
        <v>0</v>
      </c>
      <c r="AT231" s="9">
        <v>230</v>
      </c>
      <c r="AU231" s="9" t="s">
        <v>394</v>
      </c>
      <c r="AV231" s="9" t="s">
        <v>395</v>
      </c>
    </row>
    <row r="232" spans="1:48" ht="25.5" x14ac:dyDescent="0.25">
      <c r="A232" s="4">
        <v>231</v>
      </c>
      <c r="B232" s="4">
        <v>231</v>
      </c>
      <c r="C232" s="4">
        <v>165</v>
      </c>
      <c r="D232" s="4">
        <v>1</v>
      </c>
      <c r="E232" s="4">
        <v>271</v>
      </c>
      <c r="F232" s="4">
        <v>3</v>
      </c>
      <c r="G232" s="4">
        <v>1</v>
      </c>
      <c r="H232" s="4">
        <v>316</v>
      </c>
      <c r="I232" s="4">
        <v>0</v>
      </c>
      <c r="J232" s="4">
        <v>0</v>
      </c>
      <c r="K232" s="4">
        <v>0</v>
      </c>
      <c r="L232" s="4">
        <v>0</v>
      </c>
      <c r="M232" s="4">
        <v>1</v>
      </c>
      <c r="N232" s="4">
        <v>2</v>
      </c>
      <c r="O232" s="4">
        <v>0</v>
      </c>
      <c r="P232" s="4">
        <v>1</v>
      </c>
      <c r="Q232" s="4">
        <v>0</v>
      </c>
      <c r="R232" s="4">
        <v>2</v>
      </c>
      <c r="S232" s="4">
        <v>1</v>
      </c>
      <c r="T232" s="4">
        <v>0</v>
      </c>
      <c r="U232" s="4">
        <v>1</v>
      </c>
      <c r="V232" s="4">
        <v>0</v>
      </c>
      <c r="W232" s="4">
        <v>1</v>
      </c>
      <c r="X232" s="4">
        <v>0</v>
      </c>
      <c r="Y232" s="4">
        <v>0</v>
      </c>
      <c r="Z232" s="4">
        <v>1</v>
      </c>
      <c r="AA232" s="4">
        <v>1</v>
      </c>
      <c r="AB232" s="4">
        <v>2</v>
      </c>
      <c r="AC232" s="4">
        <v>1</v>
      </c>
      <c r="AD232" s="4">
        <v>0</v>
      </c>
      <c r="AE232" s="4">
        <v>0</v>
      </c>
      <c r="AF232" s="4">
        <v>0</v>
      </c>
      <c r="AG232" s="4">
        <v>1</v>
      </c>
      <c r="AH232" s="4">
        <v>1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1</v>
      </c>
      <c r="AO232" s="4">
        <v>774</v>
      </c>
      <c r="AP232" s="4">
        <v>0</v>
      </c>
      <c r="AQ232" s="4">
        <v>0</v>
      </c>
      <c r="AR232" s="4">
        <v>774</v>
      </c>
      <c r="AS232" s="4">
        <v>0</v>
      </c>
      <c r="AT232" s="9">
        <v>231</v>
      </c>
      <c r="AU232" s="9" t="s">
        <v>396</v>
      </c>
      <c r="AV232" s="9" t="s">
        <v>397</v>
      </c>
    </row>
    <row r="233" spans="1:48" x14ac:dyDescent="0.25">
      <c r="A233" s="4">
        <v>232</v>
      </c>
      <c r="B233" s="4">
        <v>232</v>
      </c>
      <c r="C233" s="4">
        <v>209</v>
      </c>
      <c r="D233" s="4">
        <v>11</v>
      </c>
      <c r="E233" s="4">
        <v>187</v>
      </c>
      <c r="F233" s="4">
        <v>1</v>
      </c>
      <c r="G233" s="4">
        <v>1</v>
      </c>
      <c r="H233" s="4">
        <v>128</v>
      </c>
      <c r="I233" s="4">
        <v>1</v>
      </c>
      <c r="J233" s="4">
        <v>0</v>
      </c>
      <c r="K233" s="4">
        <v>0</v>
      </c>
      <c r="L233" s="4">
        <v>0</v>
      </c>
      <c r="M233" s="4">
        <v>2</v>
      </c>
      <c r="N233" s="4">
        <v>1</v>
      </c>
      <c r="O233" s="4">
        <v>1</v>
      </c>
      <c r="P233" s="4">
        <v>1</v>
      </c>
      <c r="Q233" s="4">
        <v>3</v>
      </c>
      <c r="R233" s="4">
        <v>1</v>
      </c>
      <c r="S233" s="4">
        <v>1</v>
      </c>
      <c r="T233" s="4">
        <v>0</v>
      </c>
      <c r="U233" s="4">
        <v>2</v>
      </c>
      <c r="V233" s="4">
        <v>0</v>
      </c>
      <c r="W233" s="4">
        <v>2</v>
      </c>
      <c r="X233" s="4">
        <v>1</v>
      </c>
      <c r="Y233" s="4">
        <v>0</v>
      </c>
      <c r="Z233" s="4">
        <v>0</v>
      </c>
      <c r="AA233" s="4">
        <v>2</v>
      </c>
      <c r="AB233" s="4">
        <v>1</v>
      </c>
      <c r="AC233" s="4">
        <v>4</v>
      </c>
      <c r="AD233" s="4">
        <v>1</v>
      </c>
      <c r="AE233" s="4">
        <v>0</v>
      </c>
      <c r="AF233" s="4">
        <v>1</v>
      </c>
      <c r="AG233" s="4">
        <v>1</v>
      </c>
      <c r="AH233" s="4">
        <v>3</v>
      </c>
      <c r="AI233" s="4">
        <v>2</v>
      </c>
      <c r="AJ233" s="4">
        <v>0</v>
      </c>
      <c r="AK233" s="4">
        <v>4</v>
      </c>
      <c r="AL233" s="4">
        <v>0</v>
      </c>
      <c r="AM233" s="4">
        <v>1</v>
      </c>
      <c r="AN233" s="4">
        <v>0</v>
      </c>
      <c r="AO233" s="4">
        <v>573</v>
      </c>
      <c r="AP233" s="4">
        <v>0</v>
      </c>
      <c r="AQ233" s="4">
        <v>3</v>
      </c>
      <c r="AR233" s="4">
        <v>576</v>
      </c>
      <c r="AS233" s="4">
        <v>0</v>
      </c>
      <c r="AT233" s="9">
        <v>232</v>
      </c>
      <c r="AU233" s="9" t="s">
        <v>398</v>
      </c>
      <c r="AV233" s="9" t="s">
        <v>399</v>
      </c>
    </row>
    <row r="234" spans="1:48" x14ac:dyDescent="0.25">
      <c r="A234" s="4">
        <v>233</v>
      </c>
      <c r="B234" s="4">
        <v>233</v>
      </c>
      <c r="C234" s="4">
        <v>78</v>
      </c>
      <c r="D234" s="4">
        <v>72</v>
      </c>
      <c r="E234" s="4">
        <v>161</v>
      </c>
      <c r="F234" s="4">
        <v>3</v>
      </c>
      <c r="G234" s="4">
        <v>0</v>
      </c>
      <c r="H234" s="4">
        <v>97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3</v>
      </c>
      <c r="O234" s="4">
        <v>0</v>
      </c>
      <c r="P234" s="4">
        <v>0</v>
      </c>
      <c r="Q234" s="4">
        <v>0</v>
      </c>
      <c r="R234" s="4">
        <v>2</v>
      </c>
      <c r="S234" s="4">
        <v>0</v>
      </c>
      <c r="T234" s="4">
        <v>1</v>
      </c>
      <c r="U234" s="4">
        <v>3</v>
      </c>
      <c r="V234" s="4">
        <v>0</v>
      </c>
      <c r="W234" s="4">
        <v>1</v>
      </c>
      <c r="X234" s="4">
        <v>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1</v>
      </c>
      <c r="AG234" s="4">
        <v>1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1</v>
      </c>
      <c r="AN234" s="4">
        <v>0</v>
      </c>
      <c r="AO234" s="4">
        <v>425</v>
      </c>
      <c r="AP234" s="4">
        <v>0</v>
      </c>
      <c r="AQ234" s="4">
        <v>0</v>
      </c>
      <c r="AR234" s="4">
        <v>425</v>
      </c>
      <c r="AS234" s="4">
        <v>0</v>
      </c>
      <c r="AT234" s="9">
        <v>233</v>
      </c>
      <c r="AU234" s="9" t="s">
        <v>400</v>
      </c>
      <c r="AV234" s="9" t="s">
        <v>401</v>
      </c>
    </row>
    <row r="235" spans="1:48" x14ac:dyDescent="0.25">
      <c r="A235" s="4">
        <v>234</v>
      </c>
      <c r="B235" s="4">
        <v>234</v>
      </c>
      <c r="C235" s="4">
        <v>74</v>
      </c>
      <c r="D235" s="4">
        <v>83</v>
      </c>
      <c r="E235" s="4">
        <v>252</v>
      </c>
      <c r="F235" s="4">
        <v>2</v>
      </c>
      <c r="G235" s="4">
        <v>0</v>
      </c>
      <c r="H235" s="4">
        <v>17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1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1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430</v>
      </c>
      <c r="AP235" s="4">
        <v>0</v>
      </c>
      <c r="AQ235" s="4">
        <v>0</v>
      </c>
      <c r="AR235" s="4">
        <v>430</v>
      </c>
      <c r="AS235" s="4">
        <v>0</v>
      </c>
      <c r="AT235" s="9">
        <v>234</v>
      </c>
      <c r="AU235" s="9" t="s">
        <v>402</v>
      </c>
      <c r="AV235" s="10"/>
    </row>
    <row r="236" spans="1:48" x14ac:dyDescent="0.25">
      <c r="A236" s="4">
        <v>235</v>
      </c>
      <c r="B236" s="4">
        <v>235</v>
      </c>
      <c r="C236" s="4">
        <v>144</v>
      </c>
      <c r="D236" s="4">
        <v>2</v>
      </c>
      <c r="E236" s="4">
        <v>160</v>
      </c>
      <c r="F236" s="4">
        <v>1</v>
      </c>
      <c r="G236" s="4">
        <v>2</v>
      </c>
      <c r="H236" s="4">
        <v>113</v>
      </c>
      <c r="I236" s="4">
        <v>0</v>
      </c>
      <c r="J236" s="4">
        <v>0</v>
      </c>
      <c r="K236" s="4">
        <v>1</v>
      </c>
      <c r="L236" s="4">
        <v>0</v>
      </c>
      <c r="M236" s="4">
        <v>0</v>
      </c>
      <c r="N236" s="4">
        <v>1</v>
      </c>
      <c r="O236" s="4">
        <v>1</v>
      </c>
      <c r="P236" s="4">
        <v>0</v>
      </c>
      <c r="Q236" s="4">
        <v>0</v>
      </c>
      <c r="R236" s="4">
        <v>3</v>
      </c>
      <c r="S236" s="4">
        <v>0</v>
      </c>
      <c r="T236" s="4">
        <v>0</v>
      </c>
      <c r="U236" s="4">
        <v>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1</v>
      </c>
      <c r="AL236" s="4">
        <v>0</v>
      </c>
      <c r="AM236" s="4">
        <v>0</v>
      </c>
      <c r="AN236" s="4">
        <v>0</v>
      </c>
      <c r="AO236" s="4">
        <v>430</v>
      </c>
      <c r="AP236" s="4">
        <v>0</v>
      </c>
      <c r="AQ236" s="4">
        <v>1</v>
      </c>
      <c r="AR236" s="4">
        <v>431</v>
      </c>
      <c r="AS236" s="4">
        <v>0</v>
      </c>
      <c r="AT236" s="9">
        <v>235</v>
      </c>
      <c r="AU236" s="9" t="s">
        <v>403</v>
      </c>
      <c r="AV236" s="10"/>
    </row>
    <row r="237" spans="1:48" x14ac:dyDescent="0.25">
      <c r="A237" s="4">
        <v>236</v>
      </c>
      <c r="B237" s="4">
        <v>236</v>
      </c>
      <c r="C237" s="4">
        <v>186</v>
      </c>
      <c r="D237" s="4">
        <v>17</v>
      </c>
      <c r="E237" s="4">
        <v>346</v>
      </c>
      <c r="F237" s="4">
        <v>4</v>
      </c>
      <c r="G237" s="4">
        <v>1</v>
      </c>
      <c r="H237" s="4">
        <v>6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2</v>
      </c>
      <c r="O237" s="4">
        <v>0</v>
      </c>
      <c r="P237" s="4">
        <v>1</v>
      </c>
      <c r="Q237" s="4">
        <v>1</v>
      </c>
      <c r="R237" s="4">
        <v>0</v>
      </c>
      <c r="S237" s="4">
        <v>2</v>
      </c>
      <c r="T237" s="4">
        <v>0</v>
      </c>
      <c r="U237" s="4">
        <v>3</v>
      </c>
      <c r="V237" s="4">
        <v>1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</v>
      </c>
      <c r="AE237" s="4">
        <v>0</v>
      </c>
      <c r="AF237" s="4">
        <v>0</v>
      </c>
      <c r="AG237" s="4">
        <v>0</v>
      </c>
      <c r="AH237" s="4">
        <v>0</v>
      </c>
      <c r="AI237" s="4">
        <v>2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573</v>
      </c>
      <c r="AP237" s="4">
        <v>0</v>
      </c>
      <c r="AQ237" s="4">
        <v>0</v>
      </c>
      <c r="AR237" s="4">
        <v>573</v>
      </c>
      <c r="AS237" s="4">
        <v>0</v>
      </c>
      <c r="AT237" s="9">
        <v>236</v>
      </c>
      <c r="AU237" s="9" t="s">
        <v>404</v>
      </c>
      <c r="AV237" s="10"/>
    </row>
    <row r="238" spans="1:48" x14ac:dyDescent="0.25">
      <c r="A238" s="4">
        <v>237</v>
      </c>
      <c r="B238" s="4">
        <v>237</v>
      </c>
      <c r="C238" s="4">
        <v>130</v>
      </c>
      <c r="D238" s="4">
        <v>3</v>
      </c>
      <c r="E238" s="4">
        <v>121</v>
      </c>
      <c r="F238" s="4">
        <v>0</v>
      </c>
      <c r="G238" s="4">
        <v>0</v>
      </c>
      <c r="H238" s="4">
        <v>9</v>
      </c>
      <c r="I238" s="4">
        <v>0</v>
      </c>
      <c r="J238" s="4">
        <v>0</v>
      </c>
      <c r="K238" s="4">
        <v>0</v>
      </c>
      <c r="L238" s="4">
        <v>1</v>
      </c>
      <c r="M238" s="4">
        <v>0</v>
      </c>
      <c r="N238" s="4">
        <v>1</v>
      </c>
      <c r="O238" s="4">
        <v>1</v>
      </c>
      <c r="P238" s="4">
        <v>0</v>
      </c>
      <c r="Q238" s="4">
        <v>0</v>
      </c>
      <c r="R238" s="4">
        <v>0</v>
      </c>
      <c r="S238" s="4">
        <v>2</v>
      </c>
      <c r="T238" s="4">
        <v>0</v>
      </c>
      <c r="U238" s="4">
        <v>0</v>
      </c>
      <c r="V238" s="4">
        <v>0</v>
      </c>
      <c r="W238" s="4">
        <v>0</v>
      </c>
      <c r="X238" s="4">
        <v>1</v>
      </c>
      <c r="Y238" s="4">
        <v>0</v>
      </c>
      <c r="Z238" s="4">
        <v>0</v>
      </c>
      <c r="AA238" s="4">
        <v>0</v>
      </c>
      <c r="AB238" s="4">
        <v>0</v>
      </c>
      <c r="AC238" s="4">
        <v>1</v>
      </c>
      <c r="AD238" s="4">
        <v>0</v>
      </c>
      <c r="AE238" s="4">
        <v>1</v>
      </c>
      <c r="AF238" s="4">
        <v>0</v>
      </c>
      <c r="AG238" s="4">
        <v>1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272</v>
      </c>
      <c r="AP238" s="4">
        <v>0</v>
      </c>
      <c r="AQ238" s="4">
        <v>0</v>
      </c>
      <c r="AR238" s="4">
        <v>272</v>
      </c>
      <c r="AS238" s="4">
        <v>0</v>
      </c>
      <c r="AT238" s="9">
        <v>237</v>
      </c>
      <c r="AU238" s="9" t="s">
        <v>405</v>
      </c>
      <c r="AV238" s="9" t="s">
        <v>406</v>
      </c>
    </row>
    <row r="239" spans="1:48" ht="25.5" x14ac:dyDescent="0.25">
      <c r="A239" s="4">
        <v>238</v>
      </c>
      <c r="B239" s="4">
        <v>238</v>
      </c>
      <c r="C239" s="4">
        <v>346</v>
      </c>
      <c r="D239" s="4">
        <v>2</v>
      </c>
      <c r="E239" s="4">
        <v>246</v>
      </c>
      <c r="F239" s="4">
        <v>1</v>
      </c>
      <c r="G239" s="4">
        <v>1</v>
      </c>
      <c r="H239" s="4">
        <v>52</v>
      </c>
      <c r="I239" s="4">
        <v>1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1</v>
      </c>
      <c r="T239" s="4">
        <v>0</v>
      </c>
      <c r="U239" s="4">
        <v>2</v>
      </c>
      <c r="V239" s="4">
        <v>0</v>
      </c>
      <c r="W239" s="4">
        <v>1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2</v>
      </c>
      <c r="AL239" s="4">
        <v>0</v>
      </c>
      <c r="AM239" s="4">
        <v>0</v>
      </c>
      <c r="AN239" s="4">
        <v>0</v>
      </c>
      <c r="AO239" s="4">
        <v>655</v>
      </c>
      <c r="AP239" s="4">
        <v>0</v>
      </c>
      <c r="AQ239" s="4">
        <v>2</v>
      </c>
      <c r="AR239" s="4">
        <v>657</v>
      </c>
      <c r="AS239" s="4">
        <v>0</v>
      </c>
      <c r="AT239" s="9">
        <v>238</v>
      </c>
      <c r="AU239" s="9" t="s">
        <v>407</v>
      </c>
      <c r="AV239" s="9" t="s">
        <v>408</v>
      </c>
    </row>
    <row r="240" spans="1:48" ht="25.5" x14ac:dyDescent="0.25">
      <c r="A240" s="4">
        <v>239</v>
      </c>
      <c r="B240" s="4">
        <v>239</v>
      </c>
      <c r="C240" s="4">
        <v>217</v>
      </c>
      <c r="D240" s="4">
        <v>1</v>
      </c>
      <c r="E240" s="4">
        <v>113</v>
      </c>
      <c r="F240" s="4">
        <v>0</v>
      </c>
      <c r="G240" s="4">
        <v>0</v>
      </c>
      <c r="H240" s="4">
        <v>7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1</v>
      </c>
      <c r="S240" s="4">
        <v>0</v>
      </c>
      <c r="T240" s="4">
        <v>0</v>
      </c>
      <c r="U240" s="4">
        <v>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</v>
      </c>
      <c r="AG240" s="4">
        <v>0</v>
      </c>
      <c r="AH240" s="4">
        <v>0</v>
      </c>
      <c r="AI240" s="4">
        <v>0</v>
      </c>
      <c r="AJ240" s="4">
        <v>0</v>
      </c>
      <c r="AK240" s="4">
        <v>1</v>
      </c>
      <c r="AL240" s="4">
        <v>0</v>
      </c>
      <c r="AM240" s="4">
        <v>14</v>
      </c>
      <c r="AN240" s="4">
        <v>0</v>
      </c>
      <c r="AO240" s="4">
        <v>356</v>
      </c>
      <c r="AP240" s="4">
        <v>0</v>
      </c>
      <c r="AQ240" s="4">
        <v>0</v>
      </c>
      <c r="AR240" s="4">
        <v>356</v>
      </c>
      <c r="AS240" s="4">
        <v>0</v>
      </c>
      <c r="AT240" s="9">
        <v>239</v>
      </c>
      <c r="AU240" s="9" t="s">
        <v>409</v>
      </c>
      <c r="AV240" s="9" t="s">
        <v>410</v>
      </c>
    </row>
    <row r="241" spans="1:48" x14ac:dyDescent="0.25">
      <c r="A241" s="4">
        <v>240</v>
      </c>
      <c r="B241" s="4">
        <v>240</v>
      </c>
      <c r="C241" s="4">
        <v>229</v>
      </c>
      <c r="D241" s="4">
        <v>0</v>
      </c>
      <c r="E241" s="4">
        <v>98</v>
      </c>
      <c r="F241" s="4">
        <v>0</v>
      </c>
      <c r="G241" s="4">
        <v>0</v>
      </c>
      <c r="H241" s="4">
        <v>5</v>
      </c>
      <c r="I241" s="4">
        <v>0</v>
      </c>
      <c r="J241" s="4">
        <v>0</v>
      </c>
      <c r="K241" s="4">
        <v>1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4</v>
      </c>
      <c r="S241" s="4">
        <v>2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1</v>
      </c>
      <c r="AI241" s="4">
        <v>0</v>
      </c>
      <c r="AJ241" s="4">
        <v>0</v>
      </c>
      <c r="AK241" s="4">
        <v>0</v>
      </c>
      <c r="AL241" s="4">
        <v>0</v>
      </c>
      <c r="AM241" s="4">
        <v>5</v>
      </c>
      <c r="AN241" s="4">
        <v>0</v>
      </c>
      <c r="AO241" s="4">
        <v>345</v>
      </c>
      <c r="AP241" s="4">
        <v>0</v>
      </c>
      <c r="AQ241" s="4">
        <v>0</v>
      </c>
      <c r="AR241" s="4">
        <v>345</v>
      </c>
      <c r="AS241" s="4">
        <v>0</v>
      </c>
      <c r="AT241" s="9">
        <v>240</v>
      </c>
      <c r="AU241" s="9" t="s">
        <v>411</v>
      </c>
      <c r="AV241" s="10"/>
    </row>
    <row r="242" spans="1:48" x14ac:dyDescent="0.25">
      <c r="A242" s="4">
        <v>241</v>
      </c>
      <c r="B242" s="4">
        <v>241</v>
      </c>
      <c r="C242" s="4">
        <v>411</v>
      </c>
      <c r="D242" s="4">
        <v>1</v>
      </c>
      <c r="E242" s="4">
        <v>158</v>
      </c>
      <c r="F242" s="4">
        <v>1</v>
      </c>
      <c r="G242" s="4">
        <v>0</v>
      </c>
      <c r="H242" s="4">
        <v>20</v>
      </c>
      <c r="I242" s="4">
        <v>0</v>
      </c>
      <c r="J242" s="4">
        <v>0</v>
      </c>
      <c r="K242" s="4">
        <v>1</v>
      </c>
      <c r="L242" s="4">
        <v>0</v>
      </c>
      <c r="M242" s="4">
        <v>0</v>
      </c>
      <c r="N242" s="4">
        <v>1</v>
      </c>
      <c r="O242" s="4">
        <v>0</v>
      </c>
      <c r="P242" s="4">
        <v>0</v>
      </c>
      <c r="Q242" s="4">
        <v>0</v>
      </c>
      <c r="R242" s="4">
        <v>0</v>
      </c>
      <c r="S242" s="4">
        <v>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0</v>
      </c>
      <c r="AI242" s="4">
        <v>1</v>
      </c>
      <c r="AJ242" s="4">
        <v>0</v>
      </c>
      <c r="AK242" s="4">
        <v>0</v>
      </c>
      <c r="AL242" s="4">
        <v>0</v>
      </c>
      <c r="AM242" s="4">
        <v>29</v>
      </c>
      <c r="AN242" s="4">
        <v>0</v>
      </c>
      <c r="AO242" s="4">
        <v>625</v>
      </c>
      <c r="AP242" s="4">
        <v>0</v>
      </c>
      <c r="AQ242" s="4">
        <v>1</v>
      </c>
      <c r="AR242" s="4">
        <v>626</v>
      </c>
      <c r="AS242" s="4">
        <v>0</v>
      </c>
      <c r="AT242" s="9">
        <v>241</v>
      </c>
      <c r="AU242" s="9" t="s">
        <v>412</v>
      </c>
      <c r="AV242" s="9" t="s">
        <v>413</v>
      </c>
    </row>
    <row r="243" spans="1:48" ht="25.5" x14ac:dyDescent="0.25">
      <c r="A243" s="4">
        <v>242</v>
      </c>
      <c r="B243" s="4">
        <v>242</v>
      </c>
      <c r="C243" s="4">
        <v>337</v>
      </c>
      <c r="D243" s="4">
        <v>10</v>
      </c>
      <c r="E243" s="4">
        <v>262</v>
      </c>
      <c r="F243" s="4">
        <v>1</v>
      </c>
      <c r="G243" s="4">
        <v>1</v>
      </c>
      <c r="H243" s="4">
        <v>13</v>
      </c>
      <c r="I243" s="4">
        <v>0</v>
      </c>
      <c r="J243" s="4">
        <v>0</v>
      </c>
      <c r="K243" s="4">
        <v>1</v>
      </c>
      <c r="L243" s="4">
        <v>0</v>
      </c>
      <c r="M243" s="4">
        <v>0</v>
      </c>
      <c r="N243" s="4">
        <v>5</v>
      </c>
      <c r="O243" s="4">
        <v>4</v>
      </c>
      <c r="P243" s="4">
        <v>1</v>
      </c>
      <c r="Q243" s="4">
        <v>1</v>
      </c>
      <c r="R243" s="4">
        <v>6</v>
      </c>
      <c r="S243" s="4">
        <v>1</v>
      </c>
      <c r="T243" s="4">
        <v>0</v>
      </c>
      <c r="U243" s="4">
        <v>2</v>
      </c>
      <c r="V243" s="4">
        <v>0</v>
      </c>
      <c r="W243" s="4">
        <v>1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0</v>
      </c>
      <c r="AG243" s="4">
        <v>1</v>
      </c>
      <c r="AH243" s="4">
        <v>2</v>
      </c>
      <c r="AI243" s="4">
        <v>0</v>
      </c>
      <c r="AJ243" s="4">
        <v>0</v>
      </c>
      <c r="AK243" s="4">
        <v>1</v>
      </c>
      <c r="AL243" s="4">
        <v>0</v>
      </c>
      <c r="AM243" s="4">
        <v>13</v>
      </c>
      <c r="AN243" s="4">
        <v>0</v>
      </c>
      <c r="AO243" s="4">
        <v>664</v>
      </c>
      <c r="AP243" s="4">
        <v>0</v>
      </c>
      <c r="AQ243" s="4">
        <v>0</v>
      </c>
      <c r="AR243" s="4">
        <v>664</v>
      </c>
      <c r="AS243" s="4">
        <v>0</v>
      </c>
      <c r="AT243" s="9">
        <v>242</v>
      </c>
      <c r="AU243" s="9" t="s">
        <v>414</v>
      </c>
      <c r="AV243" s="9" t="s">
        <v>415</v>
      </c>
    </row>
    <row r="244" spans="1:48" ht="25.5" x14ac:dyDescent="0.25">
      <c r="A244" s="4">
        <v>243</v>
      </c>
      <c r="B244" s="4">
        <v>243</v>
      </c>
      <c r="C244" s="4">
        <v>237</v>
      </c>
      <c r="D244" s="4">
        <v>5</v>
      </c>
      <c r="E244" s="4">
        <v>199</v>
      </c>
      <c r="F244" s="4">
        <v>2</v>
      </c>
      <c r="G244" s="4">
        <v>2</v>
      </c>
      <c r="H244" s="4">
        <v>27</v>
      </c>
      <c r="I244" s="4">
        <v>0</v>
      </c>
      <c r="J244" s="4">
        <v>1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2</v>
      </c>
      <c r="Q244" s="4">
        <v>0</v>
      </c>
      <c r="R244" s="4">
        <v>8</v>
      </c>
      <c r="S244" s="4">
        <v>1</v>
      </c>
      <c r="T244" s="4">
        <v>1</v>
      </c>
      <c r="U244" s="4">
        <v>2</v>
      </c>
      <c r="V244" s="4">
        <v>0</v>
      </c>
      <c r="W244" s="4">
        <v>1</v>
      </c>
      <c r="X244" s="4">
        <v>1</v>
      </c>
      <c r="Y244" s="4">
        <v>0</v>
      </c>
      <c r="Z244" s="4">
        <v>0</v>
      </c>
      <c r="AA244" s="4">
        <v>0</v>
      </c>
      <c r="AB244" s="4">
        <v>1</v>
      </c>
      <c r="AC244" s="4">
        <v>3</v>
      </c>
      <c r="AD244" s="4">
        <v>1</v>
      </c>
      <c r="AE244" s="4">
        <v>0</v>
      </c>
      <c r="AF244" s="4">
        <v>0</v>
      </c>
      <c r="AG244" s="4">
        <v>0</v>
      </c>
      <c r="AH244" s="4">
        <v>0</v>
      </c>
      <c r="AI244" s="4">
        <v>3</v>
      </c>
      <c r="AJ244" s="4">
        <v>0</v>
      </c>
      <c r="AK244" s="4">
        <v>3</v>
      </c>
      <c r="AL244" s="4">
        <v>0</v>
      </c>
      <c r="AM244" s="4">
        <v>0</v>
      </c>
      <c r="AN244" s="4">
        <v>1</v>
      </c>
      <c r="AO244" s="4">
        <v>501</v>
      </c>
      <c r="AP244" s="4">
        <v>0</v>
      </c>
      <c r="AQ244" s="4">
        <v>2</v>
      </c>
      <c r="AR244" s="4">
        <v>503</v>
      </c>
      <c r="AS244" s="4">
        <v>0</v>
      </c>
      <c r="AT244" s="9">
        <v>243</v>
      </c>
      <c r="AU244" s="9" t="s">
        <v>416</v>
      </c>
      <c r="AV244" s="9" t="s">
        <v>417</v>
      </c>
    </row>
    <row r="245" spans="1:48" x14ac:dyDescent="0.25">
      <c r="A245" s="4">
        <v>244</v>
      </c>
      <c r="B245" s="4">
        <v>244</v>
      </c>
      <c r="C245" s="4">
        <v>151</v>
      </c>
      <c r="D245" s="4">
        <v>4</v>
      </c>
      <c r="E245" s="4">
        <v>278</v>
      </c>
      <c r="F245" s="4">
        <v>3</v>
      </c>
      <c r="G245" s="4">
        <v>0</v>
      </c>
      <c r="H245" s="4">
        <v>83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</v>
      </c>
      <c r="Q245" s="4">
        <v>1</v>
      </c>
      <c r="R245" s="4">
        <v>10</v>
      </c>
      <c r="S245" s="4">
        <v>1</v>
      </c>
      <c r="T245" s="4">
        <v>0</v>
      </c>
      <c r="U245" s="4">
        <v>0</v>
      </c>
      <c r="V245" s="4">
        <v>1</v>
      </c>
      <c r="W245" s="4">
        <v>2</v>
      </c>
      <c r="X245" s="4">
        <v>0</v>
      </c>
      <c r="Y245" s="4">
        <v>0</v>
      </c>
      <c r="Z245" s="4">
        <v>0</v>
      </c>
      <c r="AA245" s="4">
        <v>0</v>
      </c>
      <c r="AB245" s="4">
        <v>2</v>
      </c>
      <c r="AC245" s="4">
        <v>2</v>
      </c>
      <c r="AD245" s="4">
        <v>1</v>
      </c>
      <c r="AE245" s="4">
        <v>0</v>
      </c>
      <c r="AF245" s="4">
        <v>1</v>
      </c>
      <c r="AG245" s="4">
        <v>0</v>
      </c>
      <c r="AH245" s="4">
        <v>3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544</v>
      </c>
      <c r="AP245" s="4">
        <v>0</v>
      </c>
      <c r="AQ245" s="4">
        <v>0</v>
      </c>
      <c r="AR245" s="4">
        <v>544</v>
      </c>
      <c r="AS245" s="4">
        <v>0</v>
      </c>
      <c r="AT245" s="9">
        <v>244</v>
      </c>
      <c r="AU245" s="9" t="s">
        <v>418</v>
      </c>
      <c r="AV245" s="10"/>
    </row>
    <row r="246" spans="1:48" x14ac:dyDescent="0.25">
      <c r="A246" s="4">
        <v>245</v>
      </c>
      <c r="B246" s="4">
        <v>245</v>
      </c>
      <c r="C246" s="4">
        <v>141</v>
      </c>
      <c r="D246" s="4">
        <v>1</v>
      </c>
      <c r="E246" s="4">
        <v>366</v>
      </c>
      <c r="F246" s="4">
        <v>3</v>
      </c>
      <c r="G246" s="4">
        <v>1</v>
      </c>
      <c r="H246" s="4">
        <v>14</v>
      </c>
      <c r="I246" s="4">
        <v>0</v>
      </c>
      <c r="J246" s="4">
        <v>1</v>
      </c>
      <c r="K246" s="4">
        <v>1</v>
      </c>
      <c r="L246" s="4">
        <v>0</v>
      </c>
      <c r="M246" s="4">
        <v>1</v>
      </c>
      <c r="N246" s="4">
        <v>1</v>
      </c>
      <c r="O246" s="4">
        <v>0</v>
      </c>
      <c r="P246" s="4">
        <v>1</v>
      </c>
      <c r="Q246" s="4">
        <v>2</v>
      </c>
      <c r="R246" s="4">
        <v>2</v>
      </c>
      <c r="S246" s="4">
        <v>0</v>
      </c>
      <c r="T246" s="4">
        <v>0</v>
      </c>
      <c r="U246" s="4">
        <v>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2</v>
      </c>
      <c r="AD246" s="4">
        <v>0</v>
      </c>
      <c r="AE246" s="4">
        <v>1</v>
      </c>
      <c r="AF246" s="4">
        <v>0</v>
      </c>
      <c r="AG246" s="4">
        <v>0</v>
      </c>
      <c r="AH246" s="4">
        <v>1</v>
      </c>
      <c r="AI246" s="4">
        <v>0</v>
      </c>
      <c r="AJ246" s="4">
        <v>0</v>
      </c>
      <c r="AK246" s="4">
        <v>1</v>
      </c>
      <c r="AL246" s="4">
        <v>0</v>
      </c>
      <c r="AM246" s="4">
        <v>0</v>
      </c>
      <c r="AN246" s="4">
        <v>0</v>
      </c>
      <c r="AO246" s="4">
        <v>545</v>
      </c>
      <c r="AP246" s="4">
        <v>0</v>
      </c>
      <c r="AQ246" s="4">
        <v>1</v>
      </c>
      <c r="AR246" s="4">
        <v>546</v>
      </c>
      <c r="AS246" s="4">
        <v>0</v>
      </c>
      <c r="AT246" s="9">
        <v>245</v>
      </c>
      <c r="AU246" s="9" t="s">
        <v>419</v>
      </c>
      <c r="AV246" s="9" t="s">
        <v>420</v>
      </c>
    </row>
    <row r="247" spans="1:48" x14ac:dyDescent="0.25">
      <c r="A247" s="4">
        <v>246</v>
      </c>
      <c r="B247" s="4">
        <v>246</v>
      </c>
      <c r="C247" s="4">
        <v>137</v>
      </c>
      <c r="D247" s="4">
        <v>2</v>
      </c>
      <c r="E247" s="4">
        <v>289</v>
      </c>
      <c r="F247" s="4">
        <v>1</v>
      </c>
      <c r="G247" s="4">
        <v>0</v>
      </c>
      <c r="H247" s="4">
        <v>14</v>
      </c>
      <c r="I247" s="4">
        <v>0</v>
      </c>
      <c r="J247" s="4">
        <v>0</v>
      </c>
      <c r="K247" s="4">
        <v>0</v>
      </c>
      <c r="L247" s="4">
        <v>0</v>
      </c>
      <c r="M247" s="4">
        <v>1</v>
      </c>
      <c r="N247" s="4">
        <v>0</v>
      </c>
      <c r="O247" s="4">
        <v>0</v>
      </c>
      <c r="P247" s="4">
        <v>0</v>
      </c>
      <c r="Q247" s="4">
        <v>0</v>
      </c>
      <c r="R247" s="4">
        <v>1</v>
      </c>
      <c r="S247" s="4">
        <v>2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1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448</v>
      </c>
      <c r="AP247" s="4">
        <v>0</v>
      </c>
      <c r="AQ247" s="4">
        <v>0</v>
      </c>
      <c r="AR247" s="4">
        <v>448</v>
      </c>
      <c r="AS247" s="4">
        <v>0</v>
      </c>
      <c r="AT247" s="9">
        <v>246</v>
      </c>
      <c r="AU247" s="9" t="s">
        <v>421</v>
      </c>
      <c r="AV247" s="9" t="s">
        <v>422</v>
      </c>
    </row>
    <row r="248" spans="1:48" x14ac:dyDescent="0.25">
      <c r="A248" s="4">
        <v>247</v>
      </c>
      <c r="B248" s="4">
        <v>247</v>
      </c>
      <c r="C248" s="4">
        <v>148</v>
      </c>
      <c r="D248" s="4">
        <v>82</v>
      </c>
      <c r="E248" s="4">
        <v>485</v>
      </c>
      <c r="F248" s="4">
        <v>2</v>
      </c>
      <c r="G248" s="4">
        <v>1</v>
      </c>
      <c r="H248" s="4">
        <v>25</v>
      </c>
      <c r="I248" s="4">
        <v>1</v>
      </c>
      <c r="J248" s="4">
        <v>0</v>
      </c>
      <c r="K248" s="4">
        <v>1</v>
      </c>
      <c r="L248" s="4">
        <v>0</v>
      </c>
      <c r="M248" s="4">
        <v>1</v>
      </c>
      <c r="N248" s="4">
        <v>1</v>
      </c>
      <c r="O248" s="4">
        <v>1</v>
      </c>
      <c r="P248" s="4">
        <v>2</v>
      </c>
      <c r="Q248" s="4">
        <v>0</v>
      </c>
      <c r="R248" s="4">
        <v>2</v>
      </c>
      <c r="S248" s="4">
        <v>0</v>
      </c>
      <c r="T248" s="4">
        <v>1</v>
      </c>
      <c r="U248" s="4">
        <v>4</v>
      </c>
      <c r="V248" s="4">
        <v>0</v>
      </c>
      <c r="W248" s="4">
        <v>2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3</v>
      </c>
      <c r="AD248" s="4">
        <v>0</v>
      </c>
      <c r="AE248" s="4">
        <v>0</v>
      </c>
      <c r="AF248" s="4">
        <v>0</v>
      </c>
      <c r="AG248" s="4">
        <v>0</v>
      </c>
      <c r="AH248" s="4">
        <v>1</v>
      </c>
      <c r="AI248" s="4">
        <v>1</v>
      </c>
      <c r="AJ248" s="4">
        <v>0</v>
      </c>
      <c r="AK248" s="4">
        <v>2</v>
      </c>
      <c r="AL248" s="4">
        <v>0</v>
      </c>
      <c r="AM248" s="4">
        <v>3</v>
      </c>
      <c r="AN248" s="4">
        <v>0</v>
      </c>
      <c r="AO248" s="4">
        <v>769</v>
      </c>
      <c r="AP248" s="4">
        <v>0</v>
      </c>
      <c r="AQ248" s="4">
        <v>4</v>
      </c>
      <c r="AR248" s="4">
        <v>773</v>
      </c>
      <c r="AS248" s="4">
        <v>0</v>
      </c>
      <c r="AT248" s="9">
        <v>247</v>
      </c>
      <c r="AU248" s="9" t="s">
        <v>423</v>
      </c>
      <c r="AV248" s="10"/>
    </row>
    <row r="249" spans="1:48" x14ac:dyDescent="0.25">
      <c r="A249" s="4">
        <v>248</v>
      </c>
      <c r="B249" s="4">
        <v>248</v>
      </c>
      <c r="C249" s="4">
        <v>104</v>
      </c>
      <c r="D249" s="4">
        <v>61</v>
      </c>
      <c r="E249" s="4">
        <v>195</v>
      </c>
      <c r="F249" s="4">
        <v>0</v>
      </c>
      <c r="G249" s="4">
        <v>1</v>
      </c>
      <c r="H249" s="4">
        <v>3</v>
      </c>
      <c r="I249" s="4">
        <v>0</v>
      </c>
      <c r="J249" s="4">
        <v>0</v>
      </c>
      <c r="K249" s="4">
        <v>0</v>
      </c>
      <c r="L249" s="4">
        <v>0</v>
      </c>
      <c r="M249" s="4">
        <v>1</v>
      </c>
      <c r="N249" s="4">
        <v>1</v>
      </c>
      <c r="O249" s="4">
        <v>0</v>
      </c>
      <c r="P249" s="4">
        <v>0</v>
      </c>
      <c r="Q249" s="4">
        <v>0</v>
      </c>
      <c r="R249" s="4">
        <v>1</v>
      </c>
      <c r="S249" s="4">
        <v>1</v>
      </c>
      <c r="T249" s="4">
        <v>0</v>
      </c>
      <c r="U249" s="4">
        <v>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</v>
      </c>
      <c r="AB249" s="4">
        <v>0</v>
      </c>
      <c r="AC249" s="4">
        <v>1</v>
      </c>
      <c r="AD249" s="4">
        <v>0</v>
      </c>
      <c r="AE249" s="4">
        <v>0</v>
      </c>
      <c r="AF249" s="4">
        <v>1</v>
      </c>
      <c r="AG249" s="4">
        <v>1</v>
      </c>
      <c r="AH249" s="4">
        <v>0</v>
      </c>
      <c r="AI249" s="4">
        <v>1</v>
      </c>
      <c r="AJ249" s="4">
        <v>0</v>
      </c>
      <c r="AK249" s="4">
        <v>0</v>
      </c>
      <c r="AL249" s="4">
        <v>0</v>
      </c>
      <c r="AM249" s="4">
        <v>1</v>
      </c>
      <c r="AN249" s="4">
        <v>0</v>
      </c>
      <c r="AO249" s="4">
        <v>375</v>
      </c>
      <c r="AP249" s="4">
        <v>0</v>
      </c>
      <c r="AQ249" s="4">
        <v>0</v>
      </c>
      <c r="AR249" s="4">
        <v>375</v>
      </c>
      <c r="AS249" s="4">
        <v>0</v>
      </c>
      <c r="AT249" s="9">
        <v>248</v>
      </c>
      <c r="AU249" s="9" t="s">
        <v>424</v>
      </c>
      <c r="AV249" s="10"/>
    </row>
    <row r="250" spans="1:48" ht="25.5" x14ac:dyDescent="0.25">
      <c r="A250" s="4">
        <v>249</v>
      </c>
      <c r="B250" s="4">
        <v>249</v>
      </c>
      <c r="C250" s="4">
        <v>218</v>
      </c>
      <c r="D250" s="4">
        <v>9</v>
      </c>
      <c r="E250" s="4">
        <v>295</v>
      </c>
      <c r="F250" s="4">
        <v>0</v>
      </c>
      <c r="G250" s="4">
        <v>0</v>
      </c>
      <c r="H250" s="4">
        <v>36</v>
      </c>
      <c r="I250" s="4">
        <v>0</v>
      </c>
      <c r="J250" s="4">
        <v>0</v>
      </c>
      <c r="K250" s="4">
        <v>1</v>
      </c>
      <c r="L250" s="4">
        <v>0</v>
      </c>
      <c r="M250" s="4">
        <v>1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1</v>
      </c>
      <c r="U250" s="4">
        <v>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3</v>
      </c>
      <c r="AN250" s="4">
        <v>0</v>
      </c>
      <c r="AO250" s="4">
        <v>565</v>
      </c>
      <c r="AP250" s="4">
        <v>0</v>
      </c>
      <c r="AQ250" s="4">
        <v>0</v>
      </c>
      <c r="AR250" s="4">
        <v>565</v>
      </c>
      <c r="AS250" s="4">
        <v>0</v>
      </c>
      <c r="AT250" s="9">
        <v>249</v>
      </c>
      <c r="AU250" s="9" t="s">
        <v>425</v>
      </c>
      <c r="AV250" s="10"/>
    </row>
    <row r="251" spans="1:48" ht="25.5" x14ac:dyDescent="0.25">
      <c r="A251" s="4">
        <v>250</v>
      </c>
      <c r="B251" s="4">
        <v>250</v>
      </c>
      <c r="C251" s="4">
        <v>396</v>
      </c>
      <c r="D251" s="4">
        <v>112</v>
      </c>
      <c r="E251" s="4">
        <v>172</v>
      </c>
      <c r="F251" s="4">
        <v>1</v>
      </c>
      <c r="G251" s="4">
        <v>2</v>
      </c>
      <c r="H251" s="4">
        <v>36</v>
      </c>
      <c r="I251" s="4">
        <v>1</v>
      </c>
      <c r="J251" s="4">
        <v>0</v>
      </c>
      <c r="K251" s="4">
        <v>1</v>
      </c>
      <c r="L251" s="4">
        <v>0</v>
      </c>
      <c r="M251" s="4">
        <v>0</v>
      </c>
      <c r="N251" s="4">
        <v>0</v>
      </c>
      <c r="O251" s="4">
        <v>0</v>
      </c>
      <c r="P251" s="4">
        <v>1</v>
      </c>
      <c r="Q251" s="4">
        <v>0</v>
      </c>
      <c r="R251" s="4">
        <v>5</v>
      </c>
      <c r="S251" s="4">
        <v>0</v>
      </c>
      <c r="T251" s="4">
        <v>4</v>
      </c>
      <c r="U251" s="4">
        <v>0</v>
      </c>
      <c r="V251" s="4">
        <v>3</v>
      </c>
      <c r="W251" s="4">
        <v>0</v>
      </c>
      <c r="X251" s="4">
        <v>0</v>
      </c>
      <c r="Y251" s="4">
        <v>1</v>
      </c>
      <c r="Z251" s="4">
        <v>0</v>
      </c>
      <c r="AA251" s="4">
        <v>0</v>
      </c>
      <c r="AB251" s="4">
        <v>1</v>
      </c>
      <c r="AC251" s="4">
        <v>1</v>
      </c>
      <c r="AD251" s="4">
        <v>0</v>
      </c>
      <c r="AE251" s="4">
        <v>0</v>
      </c>
      <c r="AF251" s="4">
        <v>1</v>
      </c>
      <c r="AG251" s="4">
        <v>1</v>
      </c>
      <c r="AH251" s="4">
        <v>1</v>
      </c>
      <c r="AI251" s="4">
        <v>2</v>
      </c>
      <c r="AJ251" s="4">
        <v>0</v>
      </c>
      <c r="AK251" s="4">
        <v>2</v>
      </c>
      <c r="AL251" s="4">
        <v>0</v>
      </c>
      <c r="AM251" s="4">
        <v>1</v>
      </c>
      <c r="AN251" s="4">
        <v>0</v>
      </c>
      <c r="AO251" s="4">
        <v>745</v>
      </c>
      <c r="AP251" s="4">
        <v>0</v>
      </c>
      <c r="AQ251" s="4">
        <v>1</v>
      </c>
      <c r="AR251" s="4">
        <v>746</v>
      </c>
      <c r="AS251" s="4">
        <v>0</v>
      </c>
      <c r="AT251" s="9">
        <v>250</v>
      </c>
      <c r="AU251" s="9" t="s">
        <v>426</v>
      </c>
      <c r="AV251" s="10"/>
    </row>
    <row r="252" spans="1:48" ht="25.5" x14ac:dyDescent="0.25">
      <c r="A252" s="4">
        <v>251</v>
      </c>
      <c r="B252" s="4">
        <v>251</v>
      </c>
      <c r="C252" s="4">
        <v>337</v>
      </c>
      <c r="D252" s="4">
        <v>57</v>
      </c>
      <c r="E252" s="4">
        <v>247</v>
      </c>
      <c r="F252" s="4">
        <v>1</v>
      </c>
      <c r="G252" s="4">
        <v>0</v>
      </c>
      <c r="H252" s="4">
        <v>43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1</v>
      </c>
      <c r="Q252" s="4">
        <v>1</v>
      </c>
      <c r="R252" s="4">
        <v>0</v>
      </c>
      <c r="S252" s="4">
        <v>0</v>
      </c>
      <c r="T252" s="4">
        <v>1</v>
      </c>
      <c r="U252" s="4">
        <v>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1</v>
      </c>
      <c r="AI252" s="4">
        <v>1</v>
      </c>
      <c r="AJ252" s="4">
        <v>0</v>
      </c>
      <c r="AK252" s="4">
        <v>4</v>
      </c>
      <c r="AL252" s="4">
        <v>0</v>
      </c>
      <c r="AM252" s="4">
        <v>1</v>
      </c>
      <c r="AN252" s="4">
        <v>0</v>
      </c>
      <c r="AO252" s="4">
        <v>696</v>
      </c>
      <c r="AP252" s="4">
        <v>0</v>
      </c>
      <c r="AQ252" s="4">
        <v>3</v>
      </c>
      <c r="AR252" s="4">
        <v>699</v>
      </c>
      <c r="AS252" s="4">
        <v>0</v>
      </c>
      <c r="AT252" s="9">
        <v>251</v>
      </c>
      <c r="AU252" s="9" t="s">
        <v>427</v>
      </c>
      <c r="AV252" s="9" t="s">
        <v>428</v>
      </c>
    </row>
    <row r="253" spans="1:48" x14ac:dyDescent="0.25">
      <c r="A253" s="4">
        <v>252</v>
      </c>
      <c r="B253" s="4">
        <v>252</v>
      </c>
      <c r="C253" s="4">
        <v>196</v>
      </c>
      <c r="D253" s="4">
        <v>2</v>
      </c>
      <c r="E253" s="4">
        <v>172</v>
      </c>
      <c r="F253" s="4">
        <v>1</v>
      </c>
      <c r="G253" s="4">
        <v>1</v>
      </c>
      <c r="H253" s="4">
        <v>40</v>
      </c>
      <c r="I253" s="4">
        <v>0</v>
      </c>
      <c r="J253" s="4">
        <v>0</v>
      </c>
      <c r="K253" s="4">
        <v>0</v>
      </c>
      <c r="L253" s="4">
        <v>0</v>
      </c>
      <c r="M253" s="4">
        <v>1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1</v>
      </c>
      <c r="AO253" s="4">
        <v>415</v>
      </c>
      <c r="AP253" s="4">
        <v>0</v>
      </c>
      <c r="AQ253" s="4">
        <v>0</v>
      </c>
      <c r="AR253" s="4">
        <v>415</v>
      </c>
      <c r="AS253" s="4">
        <v>0</v>
      </c>
      <c r="AT253" s="9">
        <v>252</v>
      </c>
      <c r="AU253" s="10"/>
      <c r="AV253" s="9" t="s">
        <v>429</v>
      </c>
    </row>
    <row r="254" spans="1:48" ht="25.5" x14ac:dyDescent="0.25">
      <c r="A254" s="4">
        <v>253</v>
      </c>
      <c r="B254" s="4">
        <v>253</v>
      </c>
      <c r="C254" s="4">
        <v>248</v>
      </c>
      <c r="D254" s="4">
        <v>3</v>
      </c>
      <c r="E254" s="4">
        <v>285</v>
      </c>
      <c r="F254" s="4">
        <v>4</v>
      </c>
      <c r="G254" s="4">
        <v>2</v>
      </c>
      <c r="H254" s="4">
        <v>152</v>
      </c>
      <c r="I254" s="4">
        <v>0</v>
      </c>
      <c r="J254" s="4">
        <v>0</v>
      </c>
      <c r="K254" s="4">
        <v>1</v>
      </c>
      <c r="L254" s="4">
        <v>0</v>
      </c>
      <c r="M254" s="4">
        <v>1</v>
      </c>
      <c r="N254" s="4">
        <v>5</v>
      </c>
      <c r="O254" s="4">
        <v>1</v>
      </c>
      <c r="P254" s="4">
        <v>7</v>
      </c>
      <c r="Q254" s="4">
        <v>2</v>
      </c>
      <c r="R254" s="4">
        <v>8</v>
      </c>
      <c r="S254" s="4">
        <v>3</v>
      </c>
      <c r="T254" s="4">
        <v>0</v>
      </c>
      <c r="U254" s="4">
        <v>6</v>
      </c>
      <c r="V254" s="4">
        <v>1</v>
      </c>
      <c r="W254" s="4">
        <v>0</v>
      </c>
      <c r="X254" s="4">
        <v>0</v>
      </c>
      <c r="Y254" s="4">
        <v>0</v>
      </c>
      <c r="Z254" s="4">
        <v>1</v>
      </c>
      <c r="AA254" s="4">
        <v>1</v>
      </c>
      <c r="AB254" s="4">
        <v>1</v>
      </c>
      <c r="AC254" s="4">
        <v>3</v>
      </c>
      <c r="AD254" s="4">
        <v>0</v>
      </c>
      <c r="AE254" s="4">
        <v>1</v>
      </c>
      <c r="AF254" s="4">
        <v>3</v>
      </c>
      <c r="AG254" s="4">
        <v>0</v>
      </c>
      <c r="AH254" s="4">
        <v>4</v>
      </c>
      <c r="AI254" s="4">
        <v>2</v>
      </c>
      <c r="AJ254" s="4">
        <v>0</v>
      </c>
      <c r="AK254" s="4">
        <v>3</v>
      </c>
      <c r="AL254" s="4">
        <v>1</v>
      </c>
      <c r="AM254" s="4">
        <v>3</v>
      </c>
      <c r="AN254" s="4">
        <v>0</v>
      </c>
      <c r="AO254" s="4">
        <v>752</v>
      </c>
      <c r="AP254" s="4">
        <v>0</v>
      </c>
      <c r="AQ254" s="4">
        <v>2</v>
      </c>
      <c r="AR254" s="4">
        <v>754</v>
      </c>
      <c r="AS254" s="4">
        <v>0</v>
      </c>
      <c r="AT254" s="9">
        <v>253</v>
      </c>
      <c r="AU254" s="9" t="s">
        <v>430</v>
      </c>
      <c r="AV254" s="9" t="s">
        <v>431</v>
      </c>
    </row>
    <row r="255" spans="1:48" ht="25.5" x14ac:dyDescent="0.25">
      <c r="A255" s="4">
        <v>254</v>
      </c>
      <c r="B255" s="4">
        <v>254</v>
      </c>
      <c r="C255" s="4">
        <v>160</v>
      </c>
      <c r="D255" s="4">
        <v>5</v>
      </c>
      <c r="E255" s="4">
        <v>142</v>
      </c>
      <c r="F255" s="4">
        <v>1</v>
      </c>
      <c r="G255" s="4">
        <v>0</v>
      </c>
      <c r="H255" s="4">
        <v>229</v>
      </c>
      <c r="I255" s="4">
        <v>2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1</v>
      </c>
      <c r="P255" s="4">
        <v>0</v>
      </c>
      <c r="Q255" s="4">
        <v>1</v>
      </c>
      <c r="R255" s="4">
        <v>3</v>
      </c>
      <c r="S255" s="4">
        <v>1</v>
      </c>
      <c r="T255" s="4">
        <v>1</v>
      </c>
      <c r="U255" s="4">
        <v>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</v>
      </c>
      <c r="AG255" s="4">
        <v>0</v>
      </c>
      <c r="AH255" s="4">
        <v>2</v>
      </c>
      <c r="AI255" s="4">
        <v>2</v>
      </c>
      <c r="AJ255" s="4">
        <v>0</v>
      </c>
      <c r="AK255" s="4">
        <v>1</v>
      </c>
      <c r="AL255" s="4">
        <v>0</v>
      </c>
      <c r="AM255" s="4">
        <v>1</v>
      </c>
      <c r="AN255" s="4">
        <v>0</v>
      </c>
      <c r="AO255" s="4">
        <v>554</v>
      </c>
      <c r="AP255" s="4">
        <v>0</v>
      </c>
      <c r="AQ255" s="4">
        <v>1</v>
      </c>
      <c r="AR255" s="4">
        <v>555</v>
      </c>
      <c r="AS255" s="4">
        <v>0</v>
      </c>
      <c r="AT255" s="9">
        <v>254</v>
      </c>
      <c r="AU255" s="9" t="s">
        <v>432</v>
      </c>
      <c r="AV255" s="10"/>
    </row>
    <row r="256" spans="1:48" ht="25.5" x14ac:dyDescent="0.25">
      <c r="A256" s="4">
        <v>255</v>
      </c>
      <c r="B256" s="4">
        <v>255</v>
      </c>
      <c r="C256" s="4">
        <v>98</v>
      </c>
      <c r="D256" s="4">
        <v>154</v>
      </c>
      <c r="E256" s="4">
        <v>111</v>
      </c>
      <c r="F256" s="4">
        <v>0</v>
      </c>
      <c r="G256" s="4">
        <v>0</v>
      </c>
      <c r="H256" s="4">
        <v>39</v>
      </c>
      <c r="I256" s="4">
        <v>0</v>
      </c>
      <c r="J256" s="4">
        <v>0</v>
      </c>
      <c r="K256" s="4">
        <v>0</v>
      </c>
      <c r="L256" s="4">
        <v>0</v>
      </c>
      <c r="M256" s="4">
        <v>1</v>
      </c>
      <c r="N256" s="4">
        <v>0</v>
      </c>
      <c r="O256" s="4">
        <v>0</v>
      </c>
      <c r="P256" s="4">
        <v>0</v>
      </c>
      <c r="Q256" s="4">
        <v>0</v>
      </c>
      <c r="R256" s="4">
        <v>1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1</v>
      </c>
      <c r="AD256" s="4">
        <v>0</v>
      </c>
      <c r="AE256" s="4">
        <v>0</v>
      </c>
      <c r="AF256" s="4">
        <v>0</v>
      </c>
      <c r="AG256" s="4">
        <v>0</v>
      </c>
      <c r="AH256" s="4">
        <v>1</v>
      </c>
      <c r="AI256" s="4">
        <v>0</v>
      </c>
      <c r="AJ256" s="4">
        <v>0</v>
      </c>
      <c r="AK256" s="4">
        <v>0</v>
      </c>
      <c r="AL256" s="4">
        <v>3</v>
      </c>
      <c r="AM256" s="4">
        <v>5</v>
      </c>
      <c r="AN256" s="4">
        <v>0</v>
      </c>
      <c r="AO256" s="4">
        <v>414</v>
      </c>
      <c r="AP256" s="4">
        <v>0</v>
      </c>
      <c r="AQ256" s="4">
        <v>0</v>
      </c>
      <c r="AR256" s="4">
        <v>414</v>
      </c>
      <c r="AS256" s="4">
        <v>0</v>
      </c>
      <c r="AT256" s="9">
        <v>255</v>
      </c>
      <c r="AU256" s="9" t="s">
        <v>433</v>
      </c>
      <c r="AV256" s="10"/>
    </row>
    <row r="257" spans="1:48" ht="25.5" x14ac:dyDescent="0.25">
      <c r="A257" s="4">
        <v>256</v>
      </c>
      <c r="B257" s="4">
        <v>256</v>
      </c>
      <c r="C257" s="4">
        <v>150</v>
      </c>
      <c r="D257" s="4">
        <v>17</v>
      </c>
      <c r="E257" s="4">
        <v>267</v>
      </c>
      <c r="F257" s="4">
        <v>1</v>
      </c>
      <c r="G257" s="4">
        <v>1</v>
      </c>
      <c r="H257" s="4">
        <v>34</v>
      </c>
      <c r="I257" s="4">
        <v>1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1</v>
      </c>
      <c r="S257" s="4">
        <v>0</v>
      </c>
      <c r="T257" s="4">
        <v>0</v>
      </c>
      <c r="U257" s="4">
        <v>0</v>
      </c>
      <c r="V257" s="4">
        <v>0</v>
      </c>
      <c r="W257" s="4">
        <v>1</v>
      </c>
      <c r="X257" s="4">
        <v>0</v>
      </c>
      <c r="Y257" s="4">
        <v>0</v>
      </c>
      <c r="Z257" s="4">
        <v>1</v>
      </c>
      <c r="AA257" s="4">
        <v>0</v>
      </c>
      <c r="AB257" s="4">
        <v>0</v>
      </c>
      <c r="AC257" s="4">
        <v>4</v>
      </c>
      <c r="AD257" s="4">
        <v>0</v>
      </c>
      <c r="AE257" s="4">
        <v>0</v>
      </c>
      <c r="AF257" s="4">
        <v>0</v>
      </c>
      <c r="AG257" s="4">
        <v>0</v>
      </c>
      <c r="AH257" s="4">
        <v>1</v>
      </c>
      <c r="AI257" s="4">
        <v>2</v>
      </c>
      <c r="AJ257" s="4">
        <v>0</v>
      </c>
      <c r="AK257" s="4">
        <v>0</v>
      </c>
      <c r="AL257" s="4">
        <v>0</v>
      </c>
      <c r="AM257" s="4">
        <v>0</v>
      </c>
      <c r="AN257" s="4">
        <v>1</v>
      </c>
      <c r="AO257" s="4">
        <v>482</v>
      </c>
      <c r="AP257" s="4">
        <v>0</v>
      </c>
      <c r="AQ257" s="4">
        <v>0</v>
      </c>
      <c r="AR257" s="4">
        <v>482</v>
      </c>
      <c r="AS257" s="4">
        <v>0</v>
      </c>
      <c r="AT257" s="9">
        <v>256</v>
      </c>
      <c r="AU257" s="9" t="s">
        <v>434</v>
      </c>
      <c r="AV257" s="9" t="s">
        <v>435</v>
      </c>
    </row>
    <row r="258" spans="1:48" ht="25.5" x14ac:dyDescent="0.25">
      <c r="A258" s="4">
        <v>257</v>
      </c>
      <c r="B258" s="4">
        <v>257</v>
      </c>
      <c r="C258" s="4">
        <v>190</v>
      </c>
      <c r="D258" s="4">
        <v>50</v>
      </c>
      <c r="E258" s="4">
        <v>369</v>
      </c>
      <c r="F258" s="4">
        <v>4</v>
      </c>
      <c r="G258" s="4">
        <v>1</v>
      </c>
      <c r="H258" s="4">
        <v>57</v>
      </c>
      <c r="I258" s="4">
        <v>0</v>
      </c>
      <c r="J258" s="4">
        <v>0</v>
      </c>
      <c r="K258" s="4">
        <v>1</v>
      </c>
      <c r="L258" s="4">
        <v>0</v>
      </c>
      <c r="M258" s="4">
        <v>1</v>
      </c>
      <c r="N258" s="4">
        <v>0</v>
      </c>
      <c r="O258" s="4">
        <v>0</v>
      </c>
      <c r="P258" s="4">
        <v>2</v>
      </c>
      <c r="Q258" s="4">
        <v>0</v>
      </c>
      <c r="R258" s="4">
        <v>0</v>
      </c>
      <c r="S258" s="4">
        <v>3</v>
      </c>
      <c r="T258" s="4">
        <v>2</v>
      </c>
      <c r="U258" s="4">
        <v>0</v>
      </c>
      <c r="V258" s="4">
        <v>0</v>
      </c>
      <c r="W258" s="4">
        <v>2</v>
      </c>
      <c r="X258" s="4">
        <v>2</v>
      </c>
      <c r="Y258" s="4">
        <v>0</v>
      </c>
      <c r="Z258" s="4">
        <v>1</v>
      </c>
      <c r="AA258" s="4">
        <v>0</v>
      </c>
      <c r="AB258" s="4">
        <v>0</v>
      </c>
      <c r="AC258" s="4">
        <v>1</v>
      </c>
      <c r="AD258" s="4">
        <v>1</v>
      </c>
      <c r="AE258" s="4">
        <v>0</v>
      </c>
      <c r="AF258" s="4">
        <v>0</v>
      </c>
      <c r="AG258" s="4">
        <v>0</v>
      </c>
      <c r="AH258" s="4">
        <v>1</v>
      </c>
      <c r="AI258" s="4">
        <v>0</v>
      </c>
      <c r="AJ258" s="4">
        <v>1</v>
      </c>
      <c r="AK258" s="4">
        <v>1</v>
      </c>
      <c r="AL258" s="4">
        <v>0</v>
      </c>
      <c r="AM258" s="4">
        <v>1</v>
      </c>
      <c r="AN258" s="4">
        <v>0</v>
      </c>
      <c r="AO258" s="4">
        <v>691</v>
      </c>
      <c r="AP258" s="4">
        <v>0</v>
      </c>
      <c r="AQ258" s="4">
        <v>1</v>
      </c>
      <c r="AR258" s="4">
        <v>692</v>
      </c>
      <c r="AS258" s="4">
        <v>0</v>
      </c>
      <c r="AT258" s="9">
        <v>257</v>
      </c>
      <c r="AU258" s="9" t="s">
        <v>436</v>
      </c>
      <c r="AV258" s="9" t="s">
        <v>437</v>
      </c>
    </row>
    <row r="259" spans="1:48" ht="25.5" x14ac:dyDescent="0.25">
      <c r="A259" s="4">
        <v>258</v>
      </c>
      <c r="B259" s="4">
        <v>258</v>
      </c>
      <c r="C259" s="4">
        <v>593</v>
      </c>
      <c r="D259" s="4">
        <v>1</v>
      </c>
      <c r="E259" s="4">
        <v>9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1</v>
      </c>
      <c r="AJ259" s="4">
        <v>0</v>
      </c>
      <c r="AK259" s="4">
        <v>0</v>
      </c>
      <c r="AL259" s="4">
        <v>0</v>
      </c>
      <c r="AM259" s="4">
        <v>1</v>
      </c>
      <c r="AN259" s="4">
        <v>0</v>
      </c>
      <c r="AO259" s="4">
        <v>605</v>
      </c>
      <c r="AP259" s="4">
        <v>0</v>
      </c>
      <c r="AQ259" s="4">
        <v>0</v>
      </c>
      <c r="AR259" s="4">
        <v>605</v>
      </c>
      <c r="AS259" s="4">
        <v>0</v>
      </c>
      <c r="AT259" s="9">
        <v>258</v>
      </c>
      <c r="AU259" s="9" t="s">
        <v>438</v>
      </c>
      <c r="AV259" s="10"/>
    </row>
    <row r="260" spans="1:48" ht="25.5" x14ac:dyDescent="0.25">
      <c r="A260" s="4">
        <v>259</v>
      </c>
      <c r="B260" s="4">
        <v>259</v>
      </c>
      <c r="C260" s="4">
        <v>445</v>
      </c>
      <c r="D260" s="4">
        <v>5</v>
      </c>
      <c r="E260" s="4">
        <v>16</v>
      </c>
      <c r="F260" s="4">
        <v>0</v>
      </c>
      <c r="G260" s="4">
        <v>0</v>
      </c>
      <c r="H260" s="4">
        <v>2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1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3</v>
      </c>
      <c r="AN260" s="4">
        <v>0</v>
      </c>
      <c r="AO260" s="4">
        <v>472</v>
      </c>
      <c r="AP260" s="4">
        <v>0</v>
      </c>
      <c r="AQ260" s="4">
        <v>0</v>
      </c>
      <c r="AR260" s="4">
        <v>472</v>
      </c>
      <c r="AS260" s="4">
        <v>0</v>
      </c>
      <c r="AT260" s="9">
        <v>259</v>
      </c>
      <c r="AU260" s="9" t="s">
        <v>439</v>
      </c>
      <c r="AV260" s="9" t="s">
        <v>440</v>
      </c>
    </row>
    <row r="261" spans="1:48" x14ac:dyDescent="0.25">
      <c r="A261" s="4">
        <v>260</v>
      </c>
      <c r="B261" s="4">
        <v>260</v>
      </c>
      <c r="C261" s="4">
        <v>436</v>
      </c>
      <c r="D261" s="4">
        <v>41</v>
      </c>
      <c r="E261" s="4">
        <v>189</v>
      </c>
      <c r="F261" s="4">
        <v>1</v>
      </c>
      <c r="G261" s="4">
        <v>0</v>
      </c>
      <c r="H261" s="4">
        <v>31</v>
      </c>
      <c r="I261" s="4">
        <v>0</v>
      </c>
      <c r="J261" s="4">
        <v>0</v>
      </c>
      <c r="K261" s="4">
        <v>1</v>
      </c>
      <c r="L261" s="4">
        <v>1</v>
      </c>
      <c r="M261" s="4">
        <v>1</v>
      </c>
      <c r="N261" s="4">
        <v>3</v>
      </c>
      <c r="O261" s="4">
        <v>1</v>
      </c>
      <c r="P261" s="4">
        <v>2</v>
      </c>
      <c r="Q261" s="4">
        <v>1</v>
      </c>
      <c r="R261" s="4">
        <v>2</v>
      </c>
      <c r="S261" s="4">
        <v>0</v>
      </c>
      <c r="T261" s="4">
        <v>2</v>
      </c>
      <c r="U261" s="4">
        <v>2</v>
      </c>
      <c r="V261" s="4">
        <v>0</v>
      </c>
      <c r="W261" s="4">
        <v>0</v>
      </c>
      <c r="X261" s="4">
        <v>0</v>
      </c>
      <c r="Y261" s="4">
        <v>1</v>
      </c>
      <c r="Z261" s="4">
        <v>0</v>
      </c>
      <c r="AA261" s="4">
        <v>0</v>
      </c>
      <c r="AB261" s="4">
        <v>0</v>
      </c>
      <c r="AC261" s="4">
        <v>2</v>
      </c>
      <c r="AD261" s="4">
        <v>1</v>
      </c>
      <c r="AE261" s="4">
        <v>0</v>
      </c>
      <c r="AF261" s="4">
        <v>0</v>
      </c>
      <c r="AG261" s="4">
        <v>0</v>
      </c>
      <c r="AH261" s="4">
        <v>1</v>
      </c>
      <c r="AI261" s="4">
        <v>1</v>
      </c>
      <c r="AJ261" s="4">
        <v>0</v>
      </c>
      <c r="AK261" s="4">
        <v>4</v>
      </c>
      <c r="AL261" s="4">
        <v>4</v>
      </c>
      <c r="AM261" s="4">
        <v>4</v>
      </c>
      <c r="AN261" s="4">
        <v>0</v>
      </c>
      <c r="AO261" s="4">
        <v>732</v>
      </c>
      <c r="AP261" s="4">
        <v>0</v>
      </c>
      <c r="AQ261" s="4">
        <v>0</v>
      </c>
      <c r="AR261" s="4">
        <v>732</v>
      </c>
      <c r="AS261" s="4">
        <v>0</v>
      </c>
      <c r="AT261" s="9">
        <v>260</v>
      </c>
      <c r="AU261" s="9" t="s">
        <v>441</v>
      </c>
      <c r="AV261" s="9" t="s">
        <v>442</v>
      </c>
    </row>
    <row r="262" spans="1:48" x14ac:dyDescent="0.25">
      <c r="A262" s="4">
        <v>261</v>
      </c>
      <c r="B262" s="4">
        <v>261</v>
      </c>
      <c r="C262" s="4">
        <v>292</v>
      </c>
      <c r="D262" s="4">
        <v>1</v>
      </c>
      <c r="E262" s="4">
        <v>61</v>
      </c>
      <c r="F262" s="4">
        <v>2</v>
      </c>
      <c r="G262" s="4">
        <v>0</v>
      </c>
      <c r="H262" s="4">
        <v>28</v>
      </c>
      <c r="I262" s="4">
        <v>0</v>
      </c>
      <c r="J262" s="4">
        <v>1</v>
      </c>
      <c r="K262" s="4">
        <v>0</v>
      </c>
      <c r="L262" s="4">
        <v>0</v>
      </c>
      <c r="M262" s="4">
        <v>0</v>
      </c>
      <c r="N262" s="4">
        <v>1</v>
      </c>
      <c r="O262" s="4">
        <v>0</v>
      </c>
      <c r="P262" s="4">
        <v>0</v>
      </c>
      <c r="Q262" s="4">
        <v>0</v>
      </c>
      <c r="R262" s="4">
        <v>1</v>
      </c>
      <c r="S262" s="4">
        <v>0</v>
      </c>
      <c r="T262" s="4">
        <v>1</v>
      </c>
      <c r="U262" s="4">
        <v>0</v>
      </c>
      <c r="V262" s="4">
        <v>1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</v>
      </c>
      <c r="AG262" s="4">
        <v>0</v>
      </c>
      <c r="AH262" s="4">
        <v>1</v>
      </c>
      <c r="AI262" s="4">
        <v>1</v>
      </c>
      <c r="AJ262" s="4">
        <v>0</v>
      </c>
      <c r="AK262" s="4">
        <v>0</v>
      </c>
      <c r="AL262" s="4">
        <v>0</v>
      </c>
      <c r="AM262" s="4">
        <v>13</v>
      </c>
      <c r="AN262" s="4">
        <v>0</v>
      </c>
      <c r="AO262" s="4">
        <v>405</v>
      </c>
      <c r="AP262" s="4">
        <v>0</v>
      </c>
      <c r="AQ262" s="4">
        <v>0</v>
      </c>
      <c r="AR262" s="4">
        <v>405</v>
      </c>
      <c r="AS262" s="4">
        <v>0</v>
      </c>
      <c r="AT262" s="9">
        <v>261</v>
      </c>
      <c r="AU262" s="9" t="s">
        <v>443</v>
      </c>
      <c r="AV262" s="9" t="s">
        <v>444</v>
      </c>
    </row>
    <row r="263" spans="1:48" x14ac:dyDescent="0.25">
      <c r="A263" s="4">
        <v>262</v>
      </c>
      <c r="B263" s="4">
        <v>262</v>
      </c>
      <c r="C263" s="4">
        <v>117</v>
      </c>
      <c r="D263" s="4">
        <v>42</v>
      </c>
      <c r="E263" s="4">
        <v>128</v>
      </c>
      <c r="F263" s="4">
        <v>1</v>
      </c>
      <c r="G263" s="4">
        <v>2</v>
      </c>
      <c r="H263" s="4">
        <v>13</v>
      </c>
      <c r="I263" s="4">
        <v>1</v>
      </c>
      <c r="J263" s="4">
        <v>0</v>
      </c>
      <c r="K263" s="4">
        <v>0</v>
      </c>
      <c r="L263" s="4">
        <v>0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3</v>
      </c>
      <c r="S263" s="4">
        <v>1</v>
      </c>
      <c r="T263" s="4">
        <v>1</v>
      </c>
      <c r="U263" s="4">
        <v>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2</v>
      </c>
      <c r="AJ263" s="4">
        <v>1</v>
      </c>
      <c r="AK263" s="4">
        <v>1</v>
      </c>
      <c r="AL263" s="4">
        <v>0</v>
      </c>
      <c r="AM263" s="4">
        <v>8</v>
      </c>
      <c r="AN263" s="4">
        <v>1</v>
      </c>
      <c r="AO263" s="4">
        <v>330</v>
      </c>
      <c r="AP263" s="4">
        <v>0</v>
      </c>
      <c r="AQ263" s="4">
        <v>1</v>
      </c>
      <c r="AR263" s="4">
        <v>331</v>
      </c>
      <c r="AS263" s="4">
        <v>0</v>
      </c>
      <c r="AT263" s="9">
        <v>262</v>
      </c>
      <c r="AU263" s="9" t="s">
        <v>445</v>
      </c>
      <c r="AV263" s="9" t="s">
        <v>446</v>
      </c>
    </row>
    <row r="264" spans="1:48" x14ac:dyDescent="0.25">
      <c r="A264" s="4">
        <v>263</v>
      </c>
      <c r="B264" s="4">
        <v>263</v>
      </c>
      <c r="C264" s="4">
        <v>290</v>
      </c>
      <c r="D264" s="4">
        <v>5</v>
      </c>
      <c r="E264" s="4">
        <v>154</v>
      </c>
      <c r="F264" s="4">
        <v>4</v>
      </c>
      <c r="G264" s="4">
        <v>0</v>
      </c>
      <c r="H264" s="4">
        <v>8</v>
      </c>
      <c r="I264" s="4">
        <v>0</v>
      </c>
      <c r="J264" s="4">
        <v>2</v>
      </c>
      <c r="K264" s="4">
        <v>0</v>
      </c>
      <c r="L264" s="4">
        <v>0</v>
      </c>
      <c r="M264" s="4">
        <v>1</v>
      </c>
      <c r="N264" s="4">
        <v>2</v>
      </c>
      <c r="O264" s="4">
        <v>0</v>
      </c>
      <c r="P264" s="4">
        <v>1</v>
      </c>
      <c r="Q264" s="4">
        <v>1</v>
      </c>
      <c r="R264" s="4">
        <v>13</v>
      </c>
      <c r="S264" s="4">
        <v>4</v>
      </c>
      <c r="T264" s="4">
        <v>0</v>
      </c>
      <c r="U264" s="4">
        <v>3</v>
      </c>
      <c r="V264" s="4">
        <v>2</v>
      </c>
      <c r="W264" s="4">
        <v>0</v>
      </c>
      <c r="X264" s="4">
        <v>6</v>
      </c>
      <c r="Y264" s="4">
        <v>1</v>
      </c>
      <c r="Z264" s="4">
        <v>0</v>
      </c>
      <c r="AA264" s="4">
        <v>0</v>
      </c>
      <c r="AB264" s="4">
        <v>0</v>
      </c>
      <c r="AC264" s="4">
        <v>2</v>
      </c>
      <c r="AD264" s="4">
        <v>0</v>
      </c>
      <c r="AE264" s="4">
        <v>0</v>
      </c>
      <c r="AF264" s="4">
        <v>0</v>
      </c>
      <c r="AG264" s="4">
        <v>0</v>
      </c>
      <c r="AH264" s="4">
        <v>2</v>
      </c>
      <c r="AI264" s="4">
        <v>0</v>
      </c>
      <c r="AJ264" s="4">
        <v>0</v>
      </c>
      <c r="AK264" s="4">
        <v>0</v>
      </c>
      <c r="AL264" s="4">
        <v>0</v>
      </c>
      <c r="AM264" s="4">
        <v>2</v>
      </c>
      <c r="AN264" s="4">
        <v>0</v>
      </c>
      <c r="AO264" s="4">
        <v>503</v>
      </c>
      <c r="AP264" s="4">
        <v>0</v>
      </c>
      <c r="AQ264" s="4">
        <v>1</v>
      </c>
      <c r="AR264" s="4">
        <v>504</v>
      </c>
      <c r="AS264" s="4">
        <v>0</v>
      </c>
      <c r="AT264" s="9">
        <v>263</v>
      </c>
      <c r="AU264" s="9" t="s">
        <v>447</v>
      </c>
      <c r="AV264" s="9" t="s">
        <v>448</v>
      </c>
    </row>
    <row r="265" spans="1:48" x14ac:dyDescent="0.25">
      <c r="A265" s="4">
        <v>264</v>
      </c>
      <c r="B265" s="4">
        <v>264</v>
      </c>
      <c r="C265" s="4">
        <v>157</v>
      </c>
      <c r="D265" s="4">
        <v>4</v>
      </c>
      <c r="E265" s="4">
        <v>112</v>
      </c>
      <c r="F265" s="4">
        <v>1</v>
      </c>
      <c r="G265" s="4">
        <v>2</v>
      </c>
      <c r="H265" s="4">
        <v>4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1</v>
      </c>
      <c r="O265" s="4">
        <v>0</v>
      </c>
      <c r="P265" s="4">
        <v>0</v>
      </c>
      <c r="Q265" s="4">
        <v>1</v>
      </c>
      <c r="R265" s="4">
        <v>0</v>
      </c>
      <c r="S265" s="4">
        <v>0</v>
      </c>
      <c r="T265" s="4">
        <v>0</v>
      </c>
      <c r="U265" s="4">
        <v>0</v>
      </c>
      <c r="V265" s="4">
        <v>1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1</v>
      </c>
      <c r="AD265" s="4">
        <v>0</v>
      </c>
      <c r="AE265" s="4">
        <v>0</v>
      </c>
      <c r="AF265" s="4">
        <v>0</v>
      </c>
      <c r="AG265" s="4">
        <v>0</v>
      </c>
      <c r="AH265" s="4">
        <v>1</v>
      </c>
      <c r="AI265" s="4">
        <v>0</v>
      </c>
      <c r="AJ265" s="4">
        <v>0</v>
      </c>
      <c r="AK265" s="4">
        <v>0</v>
      </c>
      <c r="AL265" s="4">
        <v>0</v>
      </c>
      <c r="AM265" s="4">
        <v>3</v>
      </c>
      <c r="AN265" s="4">
        <v>0</v>
      </c>
      <c r="AO265" s="4">
        <v>288</v>
      </c>
      <c r="AP265" s="4">
        <v>0</v>
      </c>
      <c r="AQ265" s="4">
        <v>0</v>
      </c>
      <c r="AR265" s="4">
        <v>288</v>
      </c>
      <c r="AS265" s="4">
        <v>0</v>
      </c>
      <c r="AT265" s="9">
        <v>264</v>
      </c>
      <c r="AU265" s="9" t="s">
        <v>449</v>
      </c>
      <c r="AV265" s="9" t="s">
        <v>450</v>
      </c>
    </row>
    <row r="266" spans="1:48" ht="25.5" x14ac:dyDescent="0.25">
      <c r="A266" s="4">
        <v>265</v>
      </c>
      <c r="B266" s="4">
        <v>265</v>
      </c>
      <c r="C266" s="4">
        <v>71</v>
      </c>
      <c r="D266" s="4">
        <v>104</v>
      </c>
      <c r="E266" s="4">
        <v>362</v>
      </c>
      <c r="F266" s="4">
        <v>3</v>
      </c>
      <c r="G266" s="4">
        <v>1</v>
      </c>
      <c r="H266" s="4">
        <v>10</v>
      </c>
      <c r="I266" s="4">
        <v>0</v>
      </c>
      <c r="J266" s="4">
        <v>1</v>
      </c>
      <c r="K266" s="4">
        <v>1</v>
      </c>
      <c r="L266" s="4">
        <v>0</v>
      </c>
      <c r="M266" s="4">
        <v>0</v>
      </c>
      <c r="N266" s="4">
        <v>1</v>
      </c>
      <c r="O266" s="4">
        <v>1</v>
      </c>
      <c r="P266" s="4">
        <v>0</v>
      </c>
      <c r="Q266" s="4">
        <v>1</v>
      </c>
      <c r="R266" s="4">
        <v>2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1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1</v>
      </c>
      <c r="AF266" s="4">
        <v>0</v>
      </c>
      <c r="AG266" s="4">
        <v>0</v>
      </c>
      <c r="AH266" s="4">
        <v>1</v>
      </c>
      <c r="AI266" s="4">
        <v>2</v>
      </c>
      <c r="AJ266" s="4">
        <v>0</v>
      </c>
      <c r="AK266" s="4">
        <v>1</v>
      </c>
      <c r="AL266" s="4">
        <v>1</v>
      </c>
      <c r="AM266" s="4">
        <v>2</v>
      </c>
      <c r="AN266" s="4">
        <v>0</v>
      </c>
      <c r="AO266" s="4">
        <v>567</v>
      </c>
      <c r="AP266" s="4">
        <v>0</v>
      </c>
      <c r="AQ266" s="4">
        <v>0</v>
      </c>
      <c r="AR266" s="4">
        <v>567</v>
      </c>
      <c r="AS266" s="4">
        <v>0</v>
      </c>
      <c r="AT266" s="9">
        <v>265</v>
      </c>
      <c r="AU266" s="9" t="s">
        <v>451</v>
      </c>
      <c r="AV266" s="9" t="s">
        <v>452</v>
      </c>
    </row>
    <row r="267" spans="1:48" x14ac:dyDescent="0.25">
      <c r="A267" s="4">
        <v>266</v>
      </c>
      <c r="B267" s="4">
        <v>266</v>
      </c>
      <c r="C267" s="4">
        <v>443</v>
      </c>
      <c r="D267" s="4">
        <v>15</v>
      </c>
      <c r="E267" s="4">
        <v>239</v>
      </c>
      <c r="F267" s="4">
        <v>0</v>
      </c>
      <c r="G267" s="4">
        <v>1</v>
      </c>
      <c r="H267" s="4">
        <v>7</v>
      </c>
      <c r="I267" s="4">
        <v>0</v>
      </c>
      <c r="J267" s="4">
        <v>0</v>
      </c>
      <c r="K267" s="4">
        <v>0</v>
      </c>
      <c r="L267" s="4">
        <v>1</v>
      </c>
      <c r="M267" s="4">
        <v>1</v>
      </c>
      <c r="N267" s="4">
        <v>1</v>
      </c>
      <c r="O267" s="4">
        <v>1</v>
      </c>
      <c r="P267" s="4">
        <v>2</v>
      </c>
      <c r="Q267" s="4">
        <v>1</v>
      </c>
      <c r="R267" s="4">
        <v>5</v>
      </c>
      <c r="S267" s="4">
        <v>3</v>
      </c>
      <c r="T267" s="4">
        <v>2</v>
      </c>
      <c r="U267" s="4">
        <v>1</v>
      </c>
      <c r="V267" s="4">
        <v>0</v>
      </c>
      <c r="W267" s="4">
        <v>1</v>
      </c>
      <c r="X267" s="4">
        <v>0</v>
      </c>
      <c r="Y267" s="4">
        <v>0</v>
      </c>
      <c r="Z267" s="4">
        <v>1</v>
      </c>
      <c r="AA267" s="4">
        <v>0</v>
      </c>
      <c r="AB267" s="4">
        <v>0</v>
      </c>
      <c r="AC267" s="4">
        <v>2</v>
      </c>
      <c r="AD267" s="4">
        <v>0</v>
      </c>
      <c r="AE267" s="4">
        <v>0</v>
      </c>
      <c r="AF267" s="4">
        <v>1</v>
      </c>
      <c r="AG267" s="4">
        <v>0</v>
      </c>
      <c r="AH267" s="4">
        <v>0</v>
      </c>
      <c r="AI267" s="4">
        <v>2</v>
      </c>
      <c r="AJ267" s="4">
        <v>1</v>
      </c>
      <c r="AK267" s="4">
        <v>0</v>
      </c>
      <c r="AL267" s="4">
        <v>1</v>
      </c>
      <c r="AM267" s="4">
        <v>20</v>
      </c>
      <c r="AN267" s="4">
        <v>0</v>
      </c>
      <c r="AO267" s="4">
        <v>752</v>
      </c>
      <c r="AP267" s="4">
        <v>0</v>
      </c>
      <c r="AQ267" s="4">
        <v>3</v>
      </c>
      <c r="AR267" s="4">
        <v>755</v>
      </c>
      <c r="AS267" s="4">
        <v>0</v>
      </c>
      <c r="AT267" s="9">
        <v>266</v>
      </c>
      <c r="AU267" s="9" t="s">
        <v>453</v>
      </c>
      <c r="AV267" s="9" t="s">
        <v>454</v>
      </c>
    </row>
    <row r="268" spans="1:48" x14ac:dyDescent="0.25">
      <c r="A268" s="4">
        <v>267</v>
      </c>
      <c r="B268" s="4">
        <v>267</v>
      </c>
      <c r="C268" s="4">
        <v>224</v>
      </c>
      <c r="D268" s="4">
        <v>2</v>
      </c>
      <c r="E268" s="4">
        <v>114</v>
      </c>
      <c r="F268" s="4">
        <v>0</v>
      </c>
      <c r="G268" s="4">
        <v>0</v>
      </c>
      <c r="H268" s="4">
        <v>17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1</v>
      </c>
      <c r="O268" s="4">
        <v>0</v>
      </c>
      <c r="P268" s="4">
        <v>0</v>
      </c>
      <c r="Q268" s="4">
        <v>0</v>
      </c>
      <c r="R268" s="4">
        <v>0</v>
      </c>
      <c r="S268" s="4">
        <v>1</v>
      </c>
      <c r="T268" s="4">
        <v>0</v>
      </c>
      <c r="U268" s="4">
        <v>2</v>
      </c>
      <c r="V268" s="4">
        <v>1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2</v>
      </c>
      <c r="AD268" s="4">
        <v>0</v>
      </c>
      <c r="AE268" s="4">
        <v>0</v>
      </c>
      <c r="AF268" s="4">
        <v>0</v>
      </c>
      <c r="AG268" s="4">
        <v>0</v>
      </c>
      <c r="AH268" s="4">
        <v>1</v>
      </c>
      <c r="AI268" s="4">
        <v>4</v>
      </c>
      <c r="AJ268" s="4">
        <v>0</v>
      </c>
      <c r="AK268" s="4">
        <v>0</v>
      </c>
      <c r="AL268" s="4">
        <v>0</v>
      </c>
      <c r="AM268" s="4">
        <v>10</v>
      </c>
      <c r="AN268" s="4">
        <v>1</v>
      </c>
      <c r="AO268" s="4">
        <v>380</v>
      </c>
      <c r="AP268" s="4">
        <v>0</v>
      </c>
      <c r="AQ268" s="4">
        <v>0</v>
      </c>
      <c r="AR268" s="4">
        <v>380</v>
      </c>
      <c r="AS268" s="4">
        <v>0</v>
      </c>
      <c r="AT268" s="9">
        <v>267</v>
      </c>
      <c r="AU268" s="9" t="s">
        <v>455</v>
      </c>
      <c r="AV268" s="10"/>
    </row>
    <row r="269" spans="1:48" ht="25.5" x14ac:dyDescent="0.25">
      <c r="A269" s="4">
        <v>268</v>
      </c>
      <c r="B269" s="4">
        <v>268</v>
      </c>
      <c r="C269" s="4">
        <v>277</v>
      </c>
      <c r="D269" s="4">
        <v>15</v>
      </c>
      <c r="E269" s="4">
        <v>109</v>
      </c>
      <c r="F269" s="4">
        <v>1</v>
      </c>
      <c r="G269" s="4">
        <v>0</v>
      </c>
      <c r="H269" s="4">
        <v>4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1</v>
      </c>
      <c r="S269" s="4">
        <v>0</v>
      </c>
      <c r="T269" s="4">
        <v>2</v>
      </c>
      <c r="U269" s="4">
        <v>0</v>
      </c>
      <c r="V269" s="4">
        <v>1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</v>
      </c>
      <c r="AC269" s="4">
        <v>2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2</v>
      </c>
      <c r="AN269" s="4">
        <v>1</v>
      </c>
      <c r="AO269" s="4">
        <v>416</v>
      </c>
      <c r="AP269" s="4">
        <v>0</v>
      </c>
      <c r="AQ269" s="4">
        <v>1</v>
      </c>
      <c r="AR269" s="4">
        <v>417</v>
      </c>
      <c r="AS269" s="4">
        <v>0</v>
      </c>
      <c r="AT269" s="9">
        <v>268</v>
      </c>
      <c r="AU269" s="9" t="s">
        <v>456</v>
      </c>
      <c r="AV269" s="9" t="s">
        <v>457</v>
      </c>
    </row>
    <row r="270" spans="1:48" x14ac:dyDescent="0.25">
      <c r="A270" s="4">
        <v>269</v>
      </c>
      <c r="B270" s="4">
        <v>269</v>
      </c>
      <c r="C270" s="4">
        <v>78</v>
      </c>
      <c r="D270" s="4">
        <v>0</v>
      </c>
      <c r="E270" s="4">
        <v>145</v>
      </c>
      <c r="F270" s="4">
        <v>0</v>
      </c>
      <c r="G270" s="4">
        <v>0</v>
      </c>
      <c r="H270" s="4">
        <v>5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1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3</v>
      </c>
      <c r="AN270" s="4">
        <v>0</v>
      </c>
      <c r="AO270" s="4">
        <v>232</v>
      </c>
      <c r="AP270" s="4">
        <v>0</v>
      </c>
      <c r="AQ270" s="4">
        <v>0</v>
      </c>
      <c r="AR270" s="4">
        <v>232</v>
      </c>
      <c r="AS270" s="4">
        <v>0</v>
      </c>
      <c r="AT270" s="9">
        <v>269</v>
      </c>
      <c r="AU270" s="9" t="s">
        <v>458</v>
      </c>
      <c r="AV270" s="10"/>
    </row>
    <row r="271" spans="1:48" x14ac:dyDescent="0.25">
      <c r="A271" s="4">
        <v>270</v>
      </c>
      <c r="B271" s="4">
        <v>270</v>
      </c>
      <c r="C271" s="4">
        <v>413</v>
      </c>
      <c r="D271" s="4">
        <v>6</v>
      </c>
      <c r="E271" s="4">
        <v>179</v>
      </c>
      <c r="F271" s="4">
        <v>3</v>
      </c>
      <c r="G271" s="4">
        <v>0</v>
      </c>
      <c r="H271" s="4">
        <v>15</v>
      </c>
      <c r="I271" s="4">
        <v>0</v>
      </c>
      <c r="J271" s="4">
        <v>0</v>
      </c>
      <c r="K271" s="4">
        <v>0</v>
      </c>
      <c r="L271" s="4">
        <v>0</v>
      </c>
      <c r="M271" s="4">
        <v>1</v>
      </c>
      <c r="N271" s="4">
        <v>1</v>
      </c>
      <c r="O271" s="4">
        <v>0</v>
      </c>
      <c r="P271" s="4">
        <v>0</v>
      </c>
      <c r="Q271" s="4">
        <v>0</v>
      </c>
      <c r="R271" s="4">
        <v>1</v>
      </c>
      <c r="S271" s="4">
        <v>3</v>
      </c>
      <c r="T271" s="4">
        <v>2</v>
      </c>
      <c r="U271" s="4">
        <v>2</v>
      </c>
      <c r="V271" s="4">
        <v>1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</v>
      </c>
      <c r="AD271" s="4">
        <v>0</v>
      </c>
      <c r="AE271" s="4">
        <v>0</v>
      </c>
      <c r="AF271" s="4">
        <v>0</v>
      </c>
      <c r="AG271" s="4">
        <v>1</v>
      </c>
      <c r="AH271" s="4">
        <v>1</v>
      </c>
      <c r="AI271" s="4">
        <v>3</v>
      </c>
      <c r="AJ271" s="4">
        <v>0</v>
      </c>
      <c r="AK271" s="4">
        <v>2</v>
      </c>
      <c r="AL271" s="4">
        <v>0</v>
      </c>
      <c r="AM271" s="4">
        <v>2</v>
      </c>
      <c r="AN271" s="4">
        <v>0</v>
      </c>
      <c r="AO271" s="4">
        <v>638</v>
      </c>
      <c r="AP271" s="4">
        <v>0</v>
      </c>
      <c r="AQ271" s="4">
        <v>1</v>
      </c>
      <c r="AR271" s="4">
        <v>639</v>
      </c>
      <c r="AS271" s="4">
        <v>0</v>
      </c>
      <c r="AT271" s="9">
        <v>270</v>
      </c>
      <c r="AU271" s="9" t="s">
        <v>459</v>
      </c>
      <c r="AV271" s="9" t="s">
        <v>460</v>
      </c>
    </row>
    <row r="272" spans="1:48" x14ac:dyDescent="0.25">
      <c r="A272" s="4">
        <v>271</v>
      </c>
      <c r="B272" s="4">
        <v>271</v>
      </c>
      <c r="C272" s="4">
        <v>203</v>
      </c>
      <c r="D272" s="4">
        <v>3</v>
      </c>
      <c r="E272" s="4">
        <v>194</v>
      </c>
      <c r="F272" s="4">
        <v>2</v>
      </c>
      <c r="G272" s="4">
        <v>1</v>
      </c>
      <c r="H272" s="4">
        <v>3</v>
      </c>
      <c r="I272" s="4">
        <v>0</v>
      </c>
      <c r="J272" s="4">
        <v>0</v>
      </c>
      <c r="K272" s="4">
        <v>0</v>
      </c>
      <c r="L272" s="4">
        <v>0</v>
      </c>
      <c r="M272" s="4">
        <v>1</v>
      </c>
      <c r="N272" s="4">
        <v>2</v>
      </c>
      <c r="O272" s="4">
        <v>0</v>
      </c>
      <c r="P272" s="4">
        <v>2</v>
      </c>
      <c r="Q272" s="4">
        <v>0</v>
      </c>
      <c r="R272" s="4">
        <v>2</v>
      </c>
      <c r="S272" s="4">
        <v>3</v>
      </c>
      <c r="T272" s="4">
        <v>1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2</v>
      </c>
      <c r="AE272" s="4">
        <v>0</v>
      </c>
      <c r="AF272" s="4">
        <v>0</v>
      </c>
      <c r="AG272" s="4">
        <v>0</v>
      </c>
      <c r="AH272" s="4">
        <v>1</v>
      </c>
      <c r="AI272" s="4">
        <v>1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421</v>
      </c>
      <c r="AP272" s="4">
        <v>0</v>
      </c>
      <c r="AQ272" s="4">
        <v>1</v>
      </c>
      <c r="AR272" s="4">
        <v>422</v>
      </c>
      <c r="AS272" s="4">
        <v>0</v>
      </c>
      <c r="AT272" s="9">
        <v>271</v>
      </c>
      <c r="AU272" s="9" t="s">
        <v>461</v>
      </c>
      <c r="AV272" s="9" t="s">
        <v>462</v>
      </c>
    </row>
    <row r="273" spans="1:48" x14ac:dyDescent="0.25">
      <c r="A273" s="4">
        <v>272</v>
      </c>
      <c r="B273" s="4">
        <v>272</v>
      </c>
      <c r="C273" s="4">
        <v>355</v>
      </c>
      <c r="D273" s="4">
        <v>0</v>
      </c>
      <c r="E273" s="4">
        <v>68</v>
      </c>
      <c r="F273" s="4">
        <v>1</v>
      </c>
      <c r="G273" s="4">
        <v>0</v>
      </c>
      <c r="H273" s="4">
        <v>3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1</v>
      </c>
      <c r="AN273" s="4">
        <v>0</v>
      </c>
      <c r="AO273" s="4">
        <v>428</v>
      </c>
      <c r="AP273" s="4">
        <v>0</v>
      </c>
      <c r="AQ273" s="4">
        <v>0</v>
      </c>
      <c r="AR273" s="4">
        <v>428</v>
      </c>
      <c r="AS273" s="4">
        <v>0</v>
      </c>
      <c r="AT273" s="9">
        <v>272</v>
      </c>
      <c r="AU273" s="9" t="s">
        <v>463</v>
      </c>
      <c r="AV273" s="9" t="s">
        <v>464</v>
      </c>
    </row>
    <row r="274" spans="1:48" x14ac:dyDescent="0.25">
      <c r="A274" s="4">
        <v>273</v>
      </c>
      <c r="B274" s="4">
        <v>273</v>
      </c>
      <c r="C274" s="4">
        <v>293</v>
      </c>
      <c r="D274" s="4">
        <v>0</v>
      </c>
      <c r="E274" s="4">
        <v>77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1</v>
      </c>
      <c r="O274" s="4">
        <v>0</v>
      </c>
      <c r="P274" s="4">
        <v>0</v>
      </c>
      <c r="Q274" s="4">
        <v>0</v>
      </c>
      <c r="R274" s="4">
        <v>0</v>
      </c>
      <c r="S274" s="4">
        <v>4</v>
      </c>
      <c r="T274" s="4">
        <v>0</v>
      </c>
      <c r="U274" s="4">
        <v>0</v>
      </c>
      <c r="V274" s="4">
        <v>0</v>
      </c>
      <c r="W274" s="4">
        <v>0</v>
      </c>
      <c r="X274" s="4">
        <v>1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1</v>
      </c>
      <c r="AI274" s="4">
        <v>1</v>
      </c>
      <c r="AJ274" s="4">
        <v>0</v>
      </c>
      <c r="AK274" s="4">
        <v>0</v>
      </c>
      <c r="AL274" s="4">
        <v>0</v>
      </c>
      <c r="AM274" s="4">
        <v>7</v>
      </c>
      <c r="AN274" s="4">
        <v>1</v>
      </c>
      <c r="AO274" s="4">
        <v>387</v>
      </c>
      <c r="AP274" s="4">
        <v>0</v>
      </c>
      <c r="AQ274" s="4">
        <v>0</v>
      </c>
      <c r="AR274" s="4">
        <v>387</v>
      </c>
      <c r="AS274" s="4">
        <v>0</v>
      </c>
      <c r="AT274" s="9">
        <v>273</v>
      </c>
      <c r="AU274" s="9" t="s">
        <v>465</v>
      </c>
      <c r="AV274" s="9" t="s">
        <v>466</v>
      </c>
    </row>
    <row r="275" spans="1:48" x14ac:dyDescent="0.25">
      <c r="A275" s="4">
        <v>274</v>
      </c>
      <c r="B275" s="4">
        <v>274</v>
      </c>
      <c r="C275" s="4">
        <v>311</v>
      </c>
      <c r="D275" s="4">
        <v>1</v>
      </c>
      <c r="E275" s="4">
        <v>59</v>
      </c>
      <c r="F275" s="4">
        <v>0</v>
      </c>
      <c r="G275" s="4">
        <v>0</v>
      </c>
      <c r="H275" s="4">
        <v>3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1</v>
      </c>
      <c r="O275" s="4">
        <v>0</v>
      </c>
      <c r="P275" s="4">
        <v>0</v>
      </c>
      <c r="Q275" s="4">
        <v>0</v>
      </c>
      <c r="R275" s="4">
        <v>0</v>
      </c>
      <c r="S275" s="4">
        <v>1</v>
      </c>
      <c r="T275" s="4">
        <v>2</v>
      </c>
      <c r="U275" s="4">
        <v>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2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381</v>
      </c>
      <c r="AP275" s="4">
        <v>0</v>
      </c>
      <c r="AQ275" s="4">
        <v>1</v>
      </c>
      <c r="AR275" s="4">
        <v>382</v>
      </c>
      <c r="AS275" s="4">
        <v>0</v>
      </c>
      <c r="AT275" s="9">
        <v>274</v>
      </c>
      <c r="AU275" s="9" t="s">
        <v>467</v>
      </c>
      <c r="AV275" s="10"/>
    </row>
    <row r="276" spans="1:48" x14ac:dyDescent="0.25">
      <c r="A276" s="4">
        <v>275</v>
      </c>
      <c r="B276" s="4">
        <v>275</v>
      </c>
      <c r="C276" s="4">
        <v>340</v>
      </c>
      <c r="D276" s="4">
        <v>0</v>
      </c>
      <c r="E276" s="4">
        <v>131</v>
      </c>
      <c r="F276" s="4">
        <v>2</v>
      </c>
      <c r="G276" s="4">
        <v>0</v>
      </c>
      <c r="H276" s="4">
        <v>8</v>
      </c>
      <c r="I276" s="4">
        <v>1</v>
      </c>
      <c r="J276" s="4">
        <v>0</v>
      </c>
      <c r="K276" s="4">
        <v>0</v>
      </c>
      <c r="L276" s="4">
        <v>1</v>
      </c>
      <c r="M276" s="4">
        <v>2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3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3</v>
      </c>
      <c r="AI276" s="4">
        <v>0</v>
      </c>
      <c r="AJ276" s="4">
        <v>0</v>
      </c>
      <c r="AK276" s="4">
        <v>0</v>
      </c>
      <c r="AL276" s="4">
        <v>0</v>
      </c>
      <c r="AM276" s="4">
        <v>1</v>
      </c>
      <c r="AN276" s="4">
        <v>0</v>
      </c>
      <c r="AO276" s="4">
        <v>492</v>
      </c>
      <c r="AP276" s="4">
        <v>0</v>
      </c>
      <c r="AQ276" s="4">
        <v>1</v>
      </c>
      <c r="AR276" s="4">
        <v>493</v>
      </c>
      <c r="AS276" s="4">
        <v>0</v>
      </c>
      <c r="AT276" s="9">
        <v>275</v>
      </c>
      <c r="AU276" s="9" t="s">
        <v>468</v>
      </c>
      <c r="AV276" s="9" t="s">
        <v>469</v>
      </c>
    </row>
    <row r="277" spans="1:48" x14ac:dyDescent="0.25">
      <c r="A277" s="4">
        <v>276</v>
      </c>
      <c r="B277" s="4">
        <v>276</v>
      </c>
      <c r="C277" s="4">
        <v>171</v>
      </c>
      <c r="D277" s="4">
        <v>0</v>
      </c>
      <c r="E277" s="4">
        <v>239</v>
      </c>
      <c r="F277" s="4">
        <v>0</v>
      </c>
      <c r="G277" s="4">
        <v>0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1</v>
      </c>
      <c r="AJ277" s="4">
        <v>0</v>
      </c>
      <c r="AK277" s="4">
        <v>1</v>
      </c>
      <c r="AL277" s="4">
        <v>0</v>
      </c>
      <c r="AM277" s="4">
        <v>0</v>
      </c>
      <c r="AN277" s="4">
        <v>0</v>
      </c>
      <c r="AO277" s="4">
        <v>414</v>
      </c>
      <c r="AP277" s="4">
        <v>0</v>
      </c>
      <c r="AQ277" s="4">
        <v>1</v>
      </c>
      <c r="AR277" s="4">
        <v>415</v>
      </c>
      <c r="AS277" s="4">
        <v>0</v>
      </c>
      <c r="AT277" s="9">
        <v>276</v>
      </c>
      <c r="AU277" s="9" t="s">
        <v>470</v>
      </c>
      <c r="AV277" s="9" t="s">
        <v>471</v>
      </c>
    </row>
    <row r="278" spans="1:48" x14ac:dyDescent="0.25">
      <c r="A278" s="4">
        <v>277</v>
      </c>
      <c r="B278" s="4">
        <v>277</v>
      </c>
      <c r="C278" s="4">
        <v>111</v>
      </c>
      <c r="D278" s="4">
        <v>235</v>
      </c>
      <c r="E278" s="4">
        <v>139</v>
      </c>
      <c r="F278" s="4">
        <v>0</v>
      </c>
      <c r="G278" s="4">
        <v>0</v>
      </c>
      <c r="H278" s="4">
        <v>1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1</v>
      </c>
      <c r="O278" s="4">
        <v>1</v>
      </c>
      <c r="P278" s="4">
        <v>1</v>
      </c>
      <c r="Q278" s="4">
        <v>0</v>
      </c>
      <c r="R278" s="4">
        <v>4</v>
      </c>
      <c r="S278" s="4">
        <v>1</v>
      </c>
      <c r="T278" s="4">
        <v>2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</v>
      </c>
      <c r="AH278" s="4">
        <v>2</v>
      </c>
      <c r="AI278" s="4">
        <v>1</v>
      </c>
      <c r="AJ278" s="4">
        <v>0</v>
      </c>
      <c r="AK278" s="4">
        <v>0</v>
      </c>
      <c r="AL278" s="4">
        <v>0</v>
      </c>
      <c r="AM278" s="4">
        <v>1</v>
      </c>
      <c r="AN278" s="4">
        <v>0</v>
      </c>
      <c r="AO278" s="4">
        <v>501</v>
      </c>
      <c r="AP278" s="4">
        <v>0</v>
      </c>
      <c r="AQ278" s="4">
        <v>0</v>
      </c>
      <c r="AR278" s="4">
        <v>501</v>
      </c>
      <c r="AS278" s="4">
        <v>0</v>
      </c>
      <c r="AT278" s="9">
        <v>277</v>
      </c>
      <c r="AU278" s="9" t="s">
        <v>472</v>
      </c>
      <c r="AV278" s="10"/>
    </row>
    <row r="279" spans="1:48" x14ac:dyDescent="0.25">
      <c r="A279" s="4">
        <v>278</v>
      </c>
      <c r="B279" s="4">
        <v>278</v>
      </c>
      <c r="C279" s="4">
        <v>113</v>
      </c>
      <c r="D279" s="4">
        <v>63</v>
      </c>
      <c r="E279" s="4">
        <v>211</v>
      </c>
      <c r="F279" s="4">
        <v>1</v>
      </c>
      <c r="G279" s="4">
        <v>0</v>
      </c>
      <c r="H279" s="4">
        <v>6</v>
      </c>
      <c r="I279" s="4">
        <v>0</v>
      </c>
      <c r="J279" s="4">
        <v>0</v>
      </c>
      <c r="K279" s="4">
        <v>0</v>
      </c>
      <c r="L279" s="4">
        <v>1</v>
      </c>
      <c r="M279" s="4">
        <v>1</v>
      </c>
      <c r="N279" s="4">
        <v>2</v>
      </c>
      <c r="O279" s="4">
        <v>0</v>
      </c>
      <c r="P279" s="4">
        <v>0</v>
      </c>
      <c r="Q279" s="4">
        <v>0</v>
      </c>
      <c r="R279" s="4">
        <v>1</v>
      </c>
      <c r="S279" s="4">
        <v>1</v>
      </c>
      <c r="T279" s="4">
        <v>0</v>
      </c>
      <c r="U279" s="4">
        <v>0</v>
      </c>
      <c r="V279" s="4">
        <v>0</v>
      </c>
      <c r="W279" s="4">
        <v>1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2</v>
      </c>
      <c r="AL279" s="4">
        <v>0</v>
      </c>
      <c r="AM279" s="4">
        <v>0</v>
      </c>
      <c r="AN279" s="4">
        <v>0</v>
      </c>
      <c r="AO279" s="4">
        <v>404</v>
      </c>
      <c r="AP279" s="4">
        <v>0</v>
      </c>
      <c r="AQ279" s="4">
        <v>0</v>
      </c>
      <c r="AR279" s="4">
        <v>404</v>
      </c>
      <c r="AS279" s="4">
        <v>0</v>
      </c>
      <c r="AT279" s="9">
        <v>278</v>
      </c>
      <c r="AU279" s="9" t="s">
        <v>473</v>
      </c>
      <c r="AV279" s="10"/>
    </row>
    <row r="280" spans="1:48" x14ac:dyDescent="0.25">
      <c r="A280" s="4">
        <v>279</v>
      </c>
      <c r="B280" s="4">
        <v>279</v>
      </c>
      <c r="C280" s="4">
        <v>241</v>
      </c>
      <c r="D280" s="4">
        <v>3</v>
      </c>
      <c r="E280" s="4">
        <v>272</v>
      </c>
      <c r="F280" s="4">
        <v>4</v>
      </c>
      <c r="G280" s="4">
        <v>0</v>
      </c>
      <c r="H280" s="4">
        <v>4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6</v>
      </c>
      <c r="S280" s="4">
        <v>1</v>
      </c>
      <c r="T280" s="4">
        <v>1</v>
      </c>
      <c r="U280" s="4">
        <v>1</v>
      </c>
      <c r="V280" s="4">
        <v>0</v>
      </c>
      <c r="W280" s="4">
        <v>0</v>
      </c>
      <c r="X280" s="4">
        <v>0</v>
      </c>
      <c r="Y280" s="4">
        <v>0</v>
      </c>
      <c r="Z280" s="4">
        <v>1</v>
      </c>
      <c r="AA280" s="4">
        <v>0</v>
      </c>
      <c r="AB280" s="4">
        <v>1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3</v>
      </c>
      <c r="AI280" s="4">
        <v>2</v>
      </c>
      <c r="AJ280" s="4">
        <v>0</v>
      </c>
      <c r="AK280" s="4">
        <v>0</v>
      </c>
      <c r="AL280" s="4">
        <v>0</v>
      </c>
      <c r="AM280" s="4">
        <v>4</v>
      </c>
      <c r="AN280" s="4">
        <v>0</v>
      </c>
      <c r="AO280" s="4">
        <v>545</v>
      </c>
      <c r="AP280" s="4">
        <v>0</v>
      </c>
      <c r="AQ280" s="4">
        <v>1</v>
      </c>
      <c r="AR280" s="4">
        <v>546</v>
      </c>
      <c r="AS280" s="4">
        <v>0</v>
      </c>
      <c r="AT280" s="9">
        <v>279</v>
      </c>
      <c r="AU280" s="9" t="s">
        <v>474</v>
      </c>
      <c r="AV280" s="10"/>
    </row>
    <row r="281" spans="1:48" x14ac:dyDescent="0.25">
      <c r="A281" s="4">
        <v>280</v>
      </c>
      <c r="B281" s="4">
        <v>280</v>
      </c>
      <c r="C281" s="4">
        <v>188</v>
      </c>
      <c r="D281" s="4">
        <v>42</v>
      </c>
      <c r="E281" s="4">
        <v>154</v>
      </c>
      <c r="F281" s="4">
        <v>0</v>
      </c>
      <c r="G281" s="4">
        <v>1</v>
      </c>
      <c r="H281" s="4">
        <v>4</v>
      </c>
      <c r="I281" s="4">
        <v>1</v>
      </c>
      <c r="J281" s="4">
        <v>0</v>
      </c>
      <c r="K281" s="4">
        <v>2</v>
      </c>
      <c r="L281" s="4">
        <v>0</v>
      </c>
      <c r="M281" s="4">
        <v>0</v>
      </c>
      <c r="N281" s="4">
        <v>1</v>
      </c>
      <c r="O281" s="4">
        <v>0</v>
      </c>
      <c r="P281" s="4">
        <v>0</v>
      </c>
      <c r="Q281" s="4">
        <v>0</v>
      </c>
      <c r="R281" s="4">
        <v>2</v>
      </c>
      <c r="S281" s="4">
        <v>1</v>
      </c>
      <c r="T281" s="4">
        <v>2</v>
      </c>
      <c r="U281" s="4">
        <v>0</v>
      </c>
      <c r="V281" s="4">
        <v>0</v>
      </c>
      <c r="W281" s="4">
        <v>1</v>
      </c>
      <c r="X281" s="4">
        <v>0</v>
      </c>
      <c r="Y281" s="4">
        <v>0</v>
      </c>
      <c r="Z281" s="4">
        <v>0</v>
      </c>
      <c r="AA281" s="4">
        <v>0</v>
      </c>
      <c r="AB281" s="4">
        <v>1</v>
      </c>
      <c r="AC281" s="4">
        <v>1</v>
      </c>
      <c r="AD281" s="4">
        <v>0</v>
      </c>
      <c r="AE281" s="4">
        <v>0</v>
      </c>
      <c r="AF281" s="4">
        <v>0</v>
      </c>
      <c r="AG281" s="4">
        <v>0</v>
      </c>
      <c r="AH281" s="4">
        <v>1</v>
      </c>
      <c r="AI281" s="4">
        <v>1</v>
      </c>
      <c r="AJ281" s="4">
        <v>1</v>
      </c>
      <c r="AK281" s="4">
        <v>0</v>
      </c>
      <c r="AL281" s="4">
        <v>0</v>
      </c>
      <c r="AM281" s="4">
        <v>13</v>
      </c>
      <c r="AN281" s="4">
        <v>0</v>
      </c>
      <c r="AO281" s="4">
        <v>417</v>
      </c>
      <c r="AP281" s="4">
        <v>0</v>
      </c>
      <c r="AQ281" s="4">
        <v>1</v>
      </c>
      <c r="AR281" s="4">
        <v>418</v>
      </c>
      <c r="AS281" s="4">
        <v>0</v>
      </c>
      <c r="AT281" s="9">
        <v>280</v>
      </c>
      <c r="AU281" s="9" t="s">
        <v>475</v>
      </c>
      <c r="AV281" s="10"/>
    </row>
    <row r="282" spans="1:48" x14ac:dyDescent="0.25">
      <c r="A282" s="4">
        <v>281</v>
      </c>
      <c r="B282" s="4">
        <v>281</v>
      </c>
      <c r="C282" s="4">
        <v>335</v>
      </c>
      <c r="D282" s="4">
        <v>29</v>
      </c>
      <c r="E282" s="4">
        <v>84</v>
      </c>
      <c r="F282" s="4">
        <v>1</v>
      </c>
      <c r="G282" s="4">
        <v>3</v>
      </c>
      <c r="H282" s="4">
        <v>21</v>
      </c>
      <c r="I282" s="4">
        <v>1</v>
      </c>
      <c r="J282" s="4">
        <v>0</v>
      </c>
      <c r="K282" s="4">
        <v>1</v>
      </c>
      <c r="L282" s="4">
        <v>1</v>
      </c>
      <c r="M282" s="4">
        <v>1</v>
      </c>
      <c r="N282" s="4">
        <v>1</v>
      </c>
      <c r="O282" s="4">
        <v>1</v>
      </c>
      <c r="P282" s="4">
        <v>0</v>
      </c>
      <c r="Q282" s="4">
        <v>1</v>
      </c>
      <c r="R282" s="4">
        <v>5</v>
      </c>
      <c r="S282" s="4">
        <v>1</v>
      </c>
      <c r="T282" s="4">
        <v>0</v>
      </c>
      <c r="U282" s="4">
        <v>2</v>
      </c>
      <c r="V282" s="4">
        <v>0</v>
      </c>
      <c r="W282" s="4">
        <v>1</v>
      </c>
      <c r="X282" s="4">
        <v>0</v>
      </c>
      <c r="Y282" s="4">
        <v>0</v>
      </c>
      <c r="Z282" s="4">
        <v>0</v>
      </c>
      <c r="AA282" s="4">
        <v>1</v>
      </c>
      <c r="AB282" s="4">
        <v>0</v>
      </c>
      <c r="AC282" s="4">
        <v>1</v>
      </c>
      <c r="AD282" s="4">
        <v>0</v>
      </c>
      <c r="AE282" s="4">
        <v>1</v>
      </c>
      <c r="AF282" s="4">
        <v>0</v>
      </c>
      <c r="AG282" s="4">
        <v>1</v>
      </c>
      <c r="AH282" s="4">
        <v>1</v>
      </c>
      <c r="AI282" s="4">
        <v>2</v>
      </c>
      <c r="AJ282" s="4">
        <v>0</v>
      </c>
      <c r="AK282" s="4">
        <v>1</v>
      </c>
      <c r="AL282" s="4">
        <v>2</v>
      </c>
      <c r="AM282" s="4">
        <v>45</v>
      </c>
      <c r="AN282" s="4">
        <v>0</v>
      </c>
      <c r="AO282" s="4">
        <v>544</v>
      </c>
      <c r="AP282" s="4">
        <v>0</v>
      </c>
      <c r="AQ282" s="4">
        <v>0</v>
      </c>
      <c r="AR282" s="4">
        <v>544</v>
      </c>
      <c r="AS282" s="4">
        <v>0</v>
      </c>
      <c r="AT282" s="9">
        <v>281</v>
      </c>
      <c r="AU282" s="9" t="s">
        <v>476</v>
      </c>
      <c r="AV282" s="10"/>
    </row>
    <row r="283" spans="1:48" x14ac:dyDescent="0.25">
      <c r="A283" s="4">
        <v>282</v>
      </c>
      <c r="B283" s="4">
        <v>282</v>
      </c>
      <c r="C283" s="4">
        <v>475</v>
      </c>
      <c r="D283" s="4">
        <v>1</v>
      </c>
      <c r="E283" s="4">
        <v>48</v>
      </c>
      <c r="F283" s="4">
        <v>4</v>
      </c>
      <c r="G283" s="4">
        <v>4</v>
      </c>
      <c r="H283" s="4">
        <v>4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4</v>
      </c>
      <c r="O283" s="4">
        <v>0</v>
      </c>
      <c r="P283" s="4">
        <v>1</v>
      </c>
      <c r="Q283" s="4">
        <v>0</v>
      </c>
      <c r="R283" s="4">
        <v>7</v>
      </c>
      <c r="S283" s="4">
        <v>2</v>
      </c>
      <c r="T283" s="4">
        <v>0</v>
      </c>
      <c r="U283" s="4">
        <v>0</v>
      </c>
      <c r="V283" s="4">
        <v>0</v>
      </c>
      <c r="W283" s="4">
        <v>0</v>
      </c>
      <c r="X283" s="4">
        <v>2</v>
      </c>
      <c r="Y283" s="4">
        <v>0</v>
      </c>
      <c r="Z283" s="4">
        <v>0</v>
      </c>
      <c r="AA283" s="4">
        <v>0</v>
      </c>
      <c r="AB283" s="4">
        <v>1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1</v>
      </c>
      <c r="AI283" s="4">
        <v>1</v>
      </c>
      <c r="AJ283" s="4">
        <v>0</v>
      </c>
      <c r="AK283" s="4">
        <v>0</v>
      </c>
      <c r="AL283" s="4">
        <v>1</v>
      </c>
      <c r="AM283" s="4">
        <v>49</v>
      </c>
      <c r="AN283" s="4">
        <v>1</v>
      </c>
      <c r="AO283" s="4">
        <v>606</v>
      </c>
      <c r="AP283" s="4">
        <v>0</v>
      </c>
      <c r="AQ283" s="4">
        <v>1</v>
      </c>
      <c r="AR283" s="4">
        <v>607</v>
      </c>
      <c r="AS283" s="4">
        <v>0</v>
      </c>
      <c r="AT283" s="9">
        <v>282</v>
      </c>
      <c r="AU283" s="9" t="s">
        <v>477</v>
      </c>
      <c r="AV283" s="9" t="s">
        <v>478</v>
      </c>
    </row>
    <row r="284" spans="1:48" x14ac:dyDescent="0.25">
      <c r="A284" s="4">
        <v>283</v>
      </c>
      <c r="B284" s="4">
        <v>283</v>
      </c>
      <c r="C284" s="4">
        <v>449</v>
      </c>
      <c r="D284" s="4">
        <v>9</v>
      </c>
      <c r="E284" s="4">
        <v>105</v>
      </c>
      <c r="F284" s="4">
        <v>3</v>
      </c>
      <c r="G284" s="4">
        <v>2</v>
      </c>
      <c r="H284" s="4">
        <v>5</v>
      </c>
      <c r="I284" s="4">
        <v>0</v>
      </c>
      <c r="J284" s="4">
        <v>1</v>
      </c>
      <c r="K284" s="4">
        <v>0</v>
      </c>
      <c r="L284" s="4">
        <v>0</v>
      </c>
      <c r="M284" s="4">
        <v>2</v>
      </c>
      <c r="N284" s="4">
        <v>3</v>
      </c>
      <c r="O284" s="4">
        <v>0</v>
      </c>
      <c r="P284" s="4">
        <v>1</v>
      </c>
      <c r="Q284" s="4">
        <v>0</v>
      </c>
      <c r="R284" s="4">
        <v>9</v>
      </c>
      <c r="S284" s="4">
        <v>2</v>
      </c>
      <c r="T284" s="4">
        <v>1</v>
      </c>
      <c r="U284" s="4">
        <v>1</v>
      </c>
      <c r="V284" s="4">
        <v>1</v>
      </c>
      <c r="W284" s="4">
        <v>1</v>
      </c>
      <c r="X284" s="4">
        <v>2</v>
      </c>
      <c r="Y284" s="4">
        <v>1</v>
      </c>
      <c r="Z284" s="4">
        <v>1</v>
      </c>
      <c r="AA284" s="4">
        <v>1</v>
      </c>
      <c r="AB284" s="4">
        <v>1</v>
      </c>
      <c r="AC284" s="4">
        <v>1</v>
      </c>
      <c r="AD284" s="4">
        <v>1</v>
      </c>
      <c r="AE284" s="4">
        <v>0</v>
      </c>
      <c r="AF284" s="4">
        <v>0</v>
      </c>
      <c r="AG284" s="4">
        <v>2</v>
      </c>
      <c r="AH284" s="4">
        <v>3</v>
      </c>
      <c r="AI284" s="4">
        <v>0</v>
      </c>
      <c r="AJ284" s="4">
        <v>0</v>
      </c>
      <c r="AK284" s="4">
        <v>0</v>
      </c>
      <c r="AL284" s="4">
        <v>1</v>
      </c>
      <c r="AM284" s="4">
        <v>13</v>
      </c>
      <c r="AN284" s="4">
        <v>0</v>
      </c>
      <c r="AO284" s="4">
        <v>622</v>
      </c>
      <c r="AP284" s="4">
        <v>0</v>
      </c>
      <c r="AQ284" s="4">
        <v>1</v>
      </c>
      <c r="AR284" s="4">
        <v>623</v>
      </c>
      <c r="AS284" s="4">
        <v>0</v>
      </c>
      <c r="AT284" s="9">
        <v>283</v>
      </c>
      <c r="AU284" s="9" t="s">
        <v>479</v>
      </c>
      <c r="AV284" s="9" t="s">
        <v>480</v>
      </c>
    </row>
    <row r="285" spans="1:48" x14ac:dyDescent="0.25">
      <c r="A285" s="4">
        <v>284</v>
      </c>
      <c r="B285" s="4">
        <v>284</v>
      </c>
      <c r="C285" s="4">
        <v>371</v>
      </c>
      <c r="D285" s="4">
        <v>17</v>
      </c>
      <c r="E285" s="4">
        <v>22</v>
      </c>
      <c r="F285" s="4">
        <v>0</v>
      </c>
      <c r="G285" s="4">
        <v>0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1</v>
      </c>
      <c r="N285" s="4">
        <v>1</v>
      </c>
      <c r="O285" s="4">
        <v>0</v>
      </c>
      <c r="P285" s="4">
        <v>0</v>
      </c>
      <c r="Q285" s="4">
        <v>0</v>
      </c>
      <c r="R285" s="4">
        <v>0</v>
      </c>
      <c r="S285" s="4">
        <v>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2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2</v>
      </c>
      <c r="AJ285" s="4">
        <v>0</v>
      </c>
      <c r="AK285" s="4">
        <v>0</v>
      </c>
      <c r="AL285" s="4">
        <v>0</v>
      </c>
      <c r="AM285" s="4">
        <v>19</v>
      </c>
      <c r="AN285" s="4">
        <v>0</v>
      </c>
      <c r="AO285" s="4">
        <v>437</v>
      </c>
      <c r="AP285" s="4">
        <v>0</v>
      </c>
      <c r="AQ285" s="4">
        <v>0</v>
      </c>
      <c r="AR285" s="4">
        <v>437</v>
      </c>
      <c r="AS285" s="4">
        <v>0</v>
      </c>
      <c r="AT285" s="9">
        <v>284</v>
      </c>
      <c r="AU285" s="9" t="s">
        <v>481</v>
      </c>
      <c r="AV285" s="9" t="s">
        <v>482</v>
      </c>
    </row>
    <row r="286" spans="1:48" x14ac:dyDescent="0.25">
      <c r="A286" s="4">
        <v>285</v>
      </c>
      <c r="B286" s="4">
        <v>285</v>
      </c>
      <c r="C286" s="4">
        <v>347</v>
      </c>
      <c r="D286" s="4">
        <v>32</v>
      </c>
      <c r="E286" s="4">
        <v>53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2</v>
      </c>
      <c r="O286" s="4">
        <v>1</v>
      </c>
      <c r="P286" s="4">
        <v>1</v>
      </c>
      <c r="Q286" s="4">
        <v>0</v>
      </c>
      <c r="R286" s="4">
        <v>3</v>
      </c>
      <c r="S286" s="4">
        <v>1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</v>
      </c>
      <c r="AB286" s="4">
        <v>0</v>
      </c>
      <c r="AC286" s="4">
        <v>0</v>
      </c>
      <c r="AD286" s="4">
        <v>1</v>
      </c>
      <c r="AE286" s="4">
        <v>1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0</v>
      </c>
      <c r="AL286" s="4">
        <v>0</v>
      </c>
      <c r="AM286" s="4">
        <v>4</v>
      </c>
      <c r="AN286" s="4">
        <v>0</v>
      </c>
      <c r="AO286" s="4">
        <v>448</v>
      </c>
      <c r="AP286" s="4">
        <v>0</v>
      </c>
      <c r="AQ286" s="4">
        <v>1</v>
      </c>
      <c r="AR286" s="4">
        <v>449</v>
      </c>
      <c r="AS286" s="4">
        <v>0</v>
      </c>
      <c r="AT286" s="9">
        <v>285</v>
      </c>
      <c r="AU286" s="9" t="s">
        <v>483</v>
      </c>
      <c r="AV286" s="9" t="s">
        <v>484</v>
      </c>
    </row>
    <row r="287" spans="1:48" x14ac:dyDescent="0.25">
      <c r="A287" s="4">
        <v>286</v>
      </c>
      <c r="B287" s="4">
        <v>286</v>
      </c>
      <c r="C287" s="4">
        <v>226</v>
      </c>
      <c r="D287" s="4">
        <v>53</v>
      </c>
      <c r="E287" s="4">
        <v>158</v>
      </c>
      <c r="F287" s="4">
        <v>2</v>
      </c>
      <c r="G287" s="4">
        <v>2</v>
      </c>
      <c r="H287" s="4">
        <v>6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1</v>
      </c>
      <c r="O287" s="4">
        <v>0</v>
      </c>
      <c r="P287" s="4">
        <v>0</v>
      </c>
      <c r="Q287" s="4">
        <v>0</v>
      </c>
      <c r="R287" s="4">
        <v>2</v>
      </c>
      <c r="S287" s="4">
        <v>1</v>
      </c>
      <c r="T287" s="4">
        <v>0</v>
      </c>
      <c r="U287" s="4">
        <v>0</v>
      </c>
      <c r="V287" s="4">
        <v>0</v>
      </c>
      <c r="W287" s="4">
        <v>1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1</v>
      </c>
      <c r="AE287" s="4">
        <v>1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4</v>
      </c>
      <c r="AN287" s="4">
        <v>0</v>
      </c>
      <c r="AO287" s="4">
        <v>458</v>
      </c>
      <c r="AP287" s="4">
        <v>0</v>
      </c>
      <c r="AQ287" s="4">
        <v>0</v>
      </c>
      <c r="AR287" s="4">
        <v>458</v>
      </c>
      <c r="AS287" s="4">
        <v>0</v>
      </c>
      <c r="AT287" s="9">
        <v>286</v>
      </c>
      <c r="AU287" s="9" t="s">
        <v>485</v>
      </c>
      <c r="AV287" s="9" t="s">
        <v>486</v>
      </c>
    </row>
    <row r="288" spans="1:48" x14ac:dyDescent="0.25">
      <c r="A288" s="4">
        <v>287</v>
      </c>
      <c r="B288" s="4">
        <v>287</v>
      </c>
      <c r="C288" s="4">
        <v>182</v>
      </c>
      <c r="D288" s="4">
        <v>10</v>
      </c>
      <c r="E288" s="4">
        <v>121</v>
      </c>
      <c r="F288" s="4">
        <v>1</v>
      </c>
      <c r="G288" s="4">
        <v>1</v>
      </c>
      <c r="H288" s="4">
        <v>6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1</v>
      </c>
      <c r="P288" s="4">
        <v>0</v>
      </c>
      <c r="Q288" s="4">
        <v>1</v>
      </c>
      <c r="R288" s="4">
        <v>0</v>
      </c>
      <c r="S288" s="4">
        <v>1</v>
      </c>
      <c r="T288" s="4">
        <v>0</v>
      </c>
      <c r="U288" s="4">
        <v>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</v>
      </c>
      <c r="AD288" s="4">
        <v>0</v>
      </c>
      <c r="AE288" s="4">
        <v>0</v>
      </c>
      <c r="AF288" s="4">
        <v>0</v>
      </c>
      <c r="AG288" s="4">
        <v>0</v>
      </c>
      <c r="AH288" s="4">
        <v>2</v>
      </c>
      <c r="AI288" s="4">
        <v>0</v>
      </c>
      <c r="AJ288" s="4">
        <v>0</v>
      </c>
      <c r="AK288" s="4">
        <v>1</v>
      </c>
      <c r="AL288" s="4">
        <v>0</v>
      </c>
      <c r="AM288" s="4">
        <v>1</v>
      </c>
      <c r="AN288" s="4">
        <v>0</v>
      </c>
      <c r="AO288" s="4">
        <v>331</v>
      </c>
      <c r="AP288" s="4">
        <v>0</v>
      </c>
      <c r="AQ288" s="4">
        <v>0</v>
      </c>
      <c r="AR288" s="4">
        <v>331</v>
      </c>
      <c r="AS288" s="4">
        <v>0</v>
      </c>
      <c r="AT288" s="9">
        <v>287</v>
      </c>
      <c r="AU288" s="9" t="s">
        <v>487</v>
      </c>
      <c r="AV288" s="9" t="s">
        <v>488</v>
      </c>
    </row>
    <row r="289" spans="1:48" ht="25.5" x14ac:dyDescent="0.25">
      <c r="A289" s="4">
        <v>288</v>
      </c>
      <c r="B289" s="4">
        <v>288</v>
      </c>
      <c r="C289" s="4">
        <v>348</v>
      </c>
      <c r="D289" s="4">
        <v>5</v>
      </c>
      <c r="E289" s="4">
        <v>39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1</v>
      </c>
      <c r="N289" s="4">
        <v>0</v>
      </c>
      <c r="O289" s="4">
        <v>1</v>
      </c>
      <c r="P289" s="4">
        <v>0</v>
      </c>
      <c r="Q289" s="4">
        <v>0</v>
      </c>
      <c r="R289" s="4">
        <v>3</v>
      </c>
      <c r="S289" s="4">
        <v>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1</v>
      </c>
      <c r="AF289" s="4">
        <v>1</v>
      </c>
      <c r="AG289" s="4">
        <v>0</v>
      </c>
      <c r="AH289" s="4">
        <v>1</v>
      </c>
      <c r="AI289" s="4">
        <v>0</v>
      </c>
      <c r="AJ289" s="4">
        <v>0</v>
      </c>
      <c r="AK289" s="4">
        <v>0</v>
      </c>
      <c r="AL289" s="4">
        <v>0</v>
      </c>
      <c r="AM289" s="4">
        <v>23</v>
      </c>
      <c r="AN289" s="4">
        <v>0</v>
      </c>
      <c r="AO289" s="4">
        <v>426</v>
      </c>
      <c r="AP289" s="4">
        <v>0</v>
      </c>
      <c r="AQ289" s="4">
        <v>0</v>
      </c>
      <c r="AR289" s="4">
        <v>426</v>
      </c>
      <c r="AS289" s="4">
        <v>0</v>
      </c>
      <c r="AT289" s="9">
        <v>288</v>
      </c>
      <c r="AU289" s="9" t="s">
        <v>489</v>
      </c>
      <c r="AV289" s="9" t="s">
        <v>490</v>
      </c>
    </row>
    <row r="290" spans="1:48" s="5" customFormat="1" x14ac:dyDescent="0.25">
      <c r="A290" s="11" t="s">
        <v>39</v>
      </c>
      <c r="B290" s="12"/>
      <c r="C290" s="3">
        <v>48819</v>
      </c>
      <c r="D290" s="3">
        <v>18690</v>
      </c>
      <c r="E290" s="3">
        <v>68607</v>
      </c>
      <c r="F290" s="3">
        <v>502</v>
      </c>
      <c r="G290" s="3">
        <v>289</v>
      </c>
      <c r="H290" s="3">
        <v>10208</v>
      </c>
      <c r="I290" s="3">
        <v>70</v>
      </c>
      <c r="J290" s="3">
        <v>30</v>
      </c>
      <c r="K290" s="3">
        <v>53</v>
      </c>
      <c r="L290" s="3">
        <v>28</v>
      </c>
      <c r="M290" s="3">
        <v>96</v>
      </c>
      <c r="N290" s="3">
        <v>236</v>
      </c>
      <c r="O290" s="3">
        <v>89</v>
      </c>
      <c r="P290" s="3">
        <v>169</v>
      </c>
      <c r="Q290" s="3">
        <v>108</v>
      </c>
      <c r="R290" s="3">
        <v>563</v>
      </c>
      <c r="S290" s="3">
        <v>215</v>
      </c>
      <c r="T290" s="3">
        <v>124</v>
      </c>
      <c r="U290" s="3">
        <v>262</v>
      </c>
      <c r="V290" s="3">
        <v>60</v>
      </c>
      <c r="W290" s="3">
        <v>79</v>
      </c>
      <c r="X290" s="3">
        <v>59</v>
      </c>
      <c r="Y290" s="3">
        <v>26</v>
      </c>
      <c r="Z290" s="3">
        <v>30</v>
      </c>
      <c r="AA290" s="3">
        <v>54</v>
      </c>
      <c r="AB290" s="3">
        <v>58</v>
      </c>
      <c r="AC290" s="3">
        <v>230</v>
      </c>
      <c r="AD290" s="3">
        <v>79</v>
      </c>
      <c r="AE290" s="3">
        <v>43</v>
      </c>
      <c r="AF290" s="3">
        <v>83</v>
      </c>
      <c r="AG290" s="3">
        <v>71</v>
      </c>
      <c r="AH290" s="3">
        <v>214</v>
      </c>
      <c r="AI290" s="3">
        <v>167</v>
      </c>
      <c r="AJ290" s="3">
        <v>40</v>
      </c>
      <c r="AK290" s="3">
        <v>129</v>
      </c>
      <c r="AL290" s="3">
        <v>35</v>
      </c>
      <c r="AM290" s="3">
        <v>370</v>
      </c>
      <c r="AN290" s="3">
        <v>34</v>
      </c>
      <c r="AO290" s="3">
        <v>151019</v>
      </c>
      <c r="AP290" s="3">
        <v>0</v>
      </c>
      <c r="AQ290" s="3">
        <v>164</v>
      </c>
      <c r="AR290" s="3">
        <v>151183</v>
      </c>
      <c r="AS290" s="3">
        <v>0</v>
      </c>
      <c r="AT290" s="9"/>
      <c r="AU290" s="9"/>
      <c r="AV290" s="9"/>
    </row>
    <row r="291" spans="1:48" s="5" customFormat="1" x14ac:dyDescent="0.25">
      <c r="A291" s="11" t="s">
        <v>41</v>
      </c>
      <c r="B291" s="12"/>
      <c r="C291" s="3">
        <v>495</v>
      </c>
      <c r="D291" s="3">
        <v>97</v>
      </c>
      <c r="E291" s="3">
        <v>935</v>
      </c>
      <c r="F291" s="3">
        <v>5</v>
      </c>
      <c r="G291" s="3">
        <v>3</v>
      </c>
      <c r="H291" s="3">
        <v>80</v>
      </c>
      <c r="I291" s="3">
        <v>0</v>
      </c>
      <c r="J291" s="3">
        <v>0</v>
      </c>
      <c r="K291" s="3">
        <v>1</v>
      </c>
      <c r="L291" s="3">
        <v>3</v>
      </c>
      <c r="M291" s="3">
        <v>1</v>
      </c>
      <c r="N291" s="3">
        <v>1</v>
      </c>
      <c r="O291" s="3">
        <v>1</v>
      </c>
      <c r="P291" s="3">
        <v>0</v>
      </c>
      <c r="Q291" s="3">
        <v>1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1</v>
      </c>
      <c r="AA291" s="3">
        <v>0</v>
      </c>
      <c r="AB291" s="3">
        <v>0</v>
      </c>
      <c r="AC291" s="3">
        <v>1</v>
      </c>
      <c r="AD291" s="3">
        <v>0</v>
      </c>
      <c r="AE291" s="3">
        <v>0</v>
      </c>
      <c r="AF291" s="3">
        <v>0</v>
      </c>
      <c r="AG291" s="3">
        <v>1</v>
      </c>
      <c r="AH291" s="3">
        <v>0</v>
      </c>
      <c r="AI291" s="3">
        <v>0</v>
      </c>
      <c r="AJ291" s="3">
        <v>1</v>
      </c>
      <c r="AK291" s="3">
        <v>0</v>
      </c>
      <c r="AL291" s="3">
        <v>0</v>
      </c>
      <c r="AM291" s="3">
        <v>1</v>
      </c>
      <c r="AN291" s="3">
        <v>0</v>
      </c>
      <c r="AO291" s="3">
        <v>1628</v>
      </c>
      <c r="AP291" s="3">
        <v>451</v>
      </c>
      <c r="AQ291" s="3">
        <v>4</v>
      </c>
      <c r="AR291" s="3">
        <v>2083</v>
      </c>
      <c r="AS291" s="3">
        <v>0</v>
      </c>
      <c r="AT291" s="9"/>
      <c r="AU291" s="9"/>
      <c r="AV291" s="9"/>
    </row>
    <row r="292" spans="1:48" s="5" customFormat="1" x14ac:dyDescent="0.25">
      <c r="A292" s="11" t="s">
        <v>40</v>
      </c>
      <c r="B292" s="12"/>
      <c r="C292" s="3">
        <v>49314</v>
      </c>
      <c r="D292" s="3">
        <v>18787</v>
      </c>
      <c r="E292" s="3">
        <v>69542</v>
      </c>
      <c r="F292" s="3">
        <v>507</v>
      </c>
      <c r="G292" s="3">
        <v>292</v>
      </c>
      <c r="H292" s="3">
        <v>10288</v>
      </c>
      <c r="I292" s="3">
        <v>70</v>
      </c>
      <c r="J292" s="3">
        <v>30</v>
      </c>
      <c r="K292" s="3">
        <v>54</v>
      </c>
      <c r="L292" s="3">
        <v>31</v>
      </c>
      <c r="M292" s="3">
        <v>97</v>
      </c>
      <c r="N292" s="3">
        <v>237</v>
      </c>
      <c r="O292" s="3">
        <v>90</v>
      </c>
      <c r="P292" s="3">
        <v>169</v>
      </c>
      <c r="Q292" s="3">
        <v>109</v>
      </c>
      <c r="R292" s="3">
        <v>563</v>
      </c>
      <c r="S292" s="3">
        <v>215</v>
      </c>
      <c r="T292" s="3">
        <v>124</v>
      </c>
      <c r="U292" s="3">
        <v>262</v>
      </c>
      <c r="V292" s="3">
        <v>60</v>
      </c>
      <c r="W292" s="3">
        <v>79</v>
      </c>
      <c r="X292" s="3">
        <v>59</v>
      </c>
      <c r="Y292" s="3">
        <v>26</v>
      </c>
      <c r="Z292" s="3">
        <v>31</v>
      </c>
      <c r="AA292" s="3">
        <v>54</v>
      </c>
      <c r="AB292" s="3">
        <v>58</v>
      </c>
      <c r="AC292" s="3">
        <v>231</v>
      </c>
      <c r="AD292" s="3">
        <v>79</v>
      </c>
      <c r="AE292" s="3">
        <v>43</v>
      </c>
      <c r="AF292" s="3">
        <v>83</v>
      </c>
      <c r="AG292" s="3">
        <v>72</v>
      </c>
      <c r="AH292" s="3">
        <v>214</v>
      </c>
      <c r="AI292" s="3">
        <v>167</v>
      </c>
      <c r="AJ292" s="3">
        <v>41</v>
      </c>
      <c r="AK292" s="3">
        <v>129</v>
      </c>
      <c r="AL292" s="3">
        <v>35</v>
      </c>
      <c r="AM292" s="3">
        <v>371</v>
      </c>
      <c r="AN292" s="3">
        <v>34</v>
      </c>
      <c r="AO292" s="3">
        <v>152647</v>
      </c>
      <c r="AP292" s="3">
        <v>451</v>
      </c>
      <c r="AQ292" s="3">
        <v>168</v>
      </c>
      <c r="AR292" s="3">
        <v>153266</v>
      </c>
      <c r="AS292" s="3">
        <v>0</v>
      </c>
      <c r="AT292" s="9"/>
      <c r="AU292" s="9"/>
      <c r="AV292" s="9"/>
    </row>
    <row r="293" spans="1:48" x14ac:dyDescent="0.25">
      <c r="AT293" s="9"/>
      <c r="AU293" s="9"/>
      <c r="AV293" s="9"/>
    </row>
    <row r="294" spans="1:48" x14ac:dyDescent="0.25">
      <c r="AT294" s="9"/>
      <c r="AU294" s="9"/>
      <c r="AV294" s="9"/>
    </row>
    <row r="295" spans="1:48" x14ac:dyDescent="0.25">
      <c r="AT295" s="9"/>
      <c r="AU295" s="9"/>
      <c r="AV295" s="9"/>
    </row>
  </sheetData>
  <mergeCells count="3">
    <mergeCell ref="A290:B290"/>
    <mergeCell ref="A291:B291"/>
    <mergeCell ref="A292:B292"/>
  </mergeCells>
  <phoneticPr fontId="7" type="noConversion"/>
  <conditionalFormatting sqref="AT1:AT104857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akalp tech</cp:lastModifiedBy>
  <dcterms:created xsi:type="dcterms:W3CDTF">2015-06-05T18:17:20Z</dcterms:created>
  <dcterms:modified xsi:type="dcterms:W3CDTF">2025-11-20T07:49:34Z</dcterms:modified>
</cp:coreProperties>
</file>