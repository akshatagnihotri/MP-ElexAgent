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Election Atals Project form 20 Data\Form_20_2023 Data\"/>
    </mc:Choice>
  </mc:AlternateContent>
  <xr:revisionPtr revIDLastSave="0" documentId="13_ncr:1_{C6FAC8EC-9706-4CD4-8496-11269A8499A5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Data" sheetId="1" r:id="rId1"/>
    <sheet name="outlier" sheetId="2" r:id="rId2"/>
  </sheets>
  <definedNames>
    <definedName name="_xlnm._FilterDatabase" localSheetId="0" hidden="1">Data!$A$1:$AC$301</definedName>
  </definedNames>
  <calcPr calcId="191029"/>
</workbook>
</file>

<file path=xl/calcChain.xml><?xml version="1.0" encoding="utf-8"?>
<calcChain xmlns="http://schemas.openxmlformats.org/spreadsheetml/2006/main">
  <c r="AE4" i="2" l="1"/>
  <c r="AE5" i="2"/>
  <c r="AE6" i="2"/>
  <c r="AE3" i="2"/>
  <c r="AD5" i="2"/>
  <c r="AD6" i="2"/>
  <c r="AD3" i="2"/>
  <c r="AC4" i="2"/>
  <c r="AB4" i="2"/>
  <c r="AD4" i="2" s="1"/>
  <c r="R4" i="2"/>
  <c r="S4" i="2" s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" i="1"/>
  <c r="R298" i="1"/>
  <c r="S298" i="1" s="1"/>
  <c r="R297" i="1"/>
  <c r="S297" i="1" s="1"/>
  <c r="R296" i="1"/>
  <c r="S296" i="1" s="1"/>
  <c r="R295" i="1"/>
  <c r="S295" i="1" s="1"/>
  <c r="R294" i="1"/>
  <c r="S294" i="1" s="1"/>
  <c r="R293" i="1"/>
  <c r="S293" i="1" s="1"/>
  <c r="R292" i="1"/>
  <c r="S292" i="1" s="1"/>
  <c r="R291" i="1"/>
  <c r="S291" i="1" s="1"/>
  <c r="R290" i="1"/>
  <c r="S290" i="1" s="1"/>
  <c r="R289" i="1"/>
  <c r="S289" i="1" s="1"/>
  <c r="R288" i="1"/>
  <c r="S288" i="1" s="1"/>
  <c r="R287" i="1"/>
  <c r="S287" i="1" s="1"/>
  <c r="R286" i="1"/>
  <c r="S286" i="1" s="1"/>
  <c r="R285" i="1"/>
  <c r="S285" i="1" s="1"/>
  <c r="R284" i="1"/>
  <c r="S284" i="1" s="1"/>
  <c r="R283" i="1"/>
  <c r="S283" i="1" s="1"/>
  <c r="R282" i="1"/>
  <c r="S282" i="1" s="1"/>
  <c r="R281" i="1"/>
  <c r="S281" i="1" s="1"/>
  <c r="R280" i="1"/>
  <c r="S280" i="1" s="1"/>
  <c r="R279" i="1"/>
  <c r="S279" i="1" s="1"/>
  <c r="R278" i="1"/>
  <c r="S278" i="1" s="1"/>
  <c r="R277" i="1"/>
  <c r="S277" i="1" s="1"/>
  <c r="R276" i="1"/>
  <c r="S276" i="1" s="1"/>
  <c r="R275" i="1"/>
  <c r="S275" i="1" s="1"/>
  <c r="R274" i="1"/>
  <c r="S274" i="1" s="1"/>
  <c r="R273" i="1"/>
  <c r="S273" i="1" s="1"/>
  <c r="R272" i="1"/>
  <c r="S272" i="1" s="1"/>
  <c r="R271" i="1"/>
  <c r="S271" i="1" s="1"/>
  <c r="R270" i="1"/>
  <c r="S270" i="1" s="1"/>
  <c r="R269" i="1"/>
  <c r="S269" i="1" s="1"/>
  <c r="R268" i="1"/>
  <c r="S268" i="1" s="1"/>
  <c r="R267" i="1"/>
  <c r="S267" i="1" s="1"/>
  <c r="R266" i="1"/>
  <c r="S266" i="1" s="1"/>
  <c r="R265" i="1"/>
  <c r="S265" i="1" s="1"/>
  <c r="R264" i="1"/>
  <c r="S264" i="1" s="1"/>
  <c r="R263" i="1"/>
  <c r="S263" i="1" s="1"/>
  <c r="R262" i="1"/>
  <c r="S262" i="1" s="1"/>
  <c r="R261" i="1"/>
  <c r="S261" i="1" s="1"/>
  <c r="R260" i="1"/>
  <c r="S260" i="1" s="1"/>
  <c r="R259" i="1"/>
  <c r="S259" i="1" s="1"/>
  <c r="R258" i="1"/>
  <c r="S258" i="1" s="1"/>
  <c r="R257" i="1"/>
  <c r="S257" i="1" s="1"/>
  <c r="R256" i="1"/>
  <c r="S256" i="1" s="1"/>
  <c r="R255" i="1"/>
  <c r="S255" i="1" s="1"/>
  <c r="R254" i="1"/>
  <c r="S254" i="1" s="1"/>
  <c r="R253" i="1"/>
  <c r="S253" i="1" s="1"/>
  <c r="R252" i="1"/>
  <c r="S252" i="1" s="1"/>
  <c r="R251" i="1"/>
  <c r="S251" i="1" s="1"/>
  <c r="R250" i="1"/>
  <c r="S250" i="1" s="1"/>
  <c r="R249" i="1"/>
  <c r="S249" i="1" s="1"/>
  <c r="R248" i="1"/>
  <c r="S248" i="1" s="1"/>
  <c r="R247" i="1"/>
  <c r="S247" i="1" s="1"/>
  <c r="R246" i="1"/>
  <c r="S246" i="1" s="1"/>
  <c r="R245" i="1"/>
  <c r="S245" i="1" s="1"/>
  <c r="R244" i="1"/>
  <c r="S244" i="1" s="1"/>
  <c r="R243" i="1"/>
  <c r="S243" i="1" s="1"/>
  <c r="R242" i="1"/>
  <c r="S242" i="1" s="1"/>
  <c r="R241" i="1"/>
  <c r="S241" i="1" s="1"/>
  <c r="R240" i="1"/>
  <c r="S240" i="1" s="1"/>
  <c r="R239" i="1"/>
  <c r="S239" i="1" s="1"/>
  <c r="R238" i="1"/>
  <c r="S238" i="1" s="1"/>
  <c r="R237" i="1"/>
  <c r="S237" i="1" s="1"/>
  <c r="R236" i="1"/>
  <c r="S236" i="1" s="1"/>
  <c r="R235" i="1"/>
  <c r="S235" i="1" s="1"/>
  <c r="R234" i="1"/>
  <c r="S234" i="1" s="1"/>
  <c r="R233" i="1"/>
  <c r="S233" i="1" s="1"/>
  <c r="R232" i="1"/>
  <c r="S232" i="1" s="1"/>
  <c r="R231" i="1"/>
  <c r="S231" i="1" s="1"/>
  <c r="R230" i="1"/>
  <c r="S230" i="1" s="1"/>
  <c r="R229" i="1"/>
  <c r="S229" i="1" s="1"/>
  <c r="R228" i="1"/>
  <c r="S228" i="1" s="1"/>
  <c r="R227" i="1"/>
  <c r="S227" i="1" s="1"/>
  <c r="R226" i="1"/>
  <c r="S226" i="1" s="1"/>
  <c r="R225" i="1"/>
  <c r="S225" i="1" s="1"/>
  <c r="R224" i="1"/>
  <c r="S224" i="1" s="1"/>
  <c r="R223" i="1"/>
  <c r="S223" i="1" s="1"/>
  <c r="R222" i="1"/>
  <c r="S222" i="1" s="1"/>
  <c r="R221" i="1"/>
  <c r="S221" i="1" s="1"/>
  <c r="R220" i="1"/>
  <c r="S220" i="1" s="1"/>
  <c r="R219" i="1"/>
  <c r="S219" i="1" s="1"/>
  <c r="R218" i="1"/>
  <c r="S218" i="1" s="1"/>
  <c r="R217" i="1"/>
  <c r="S217" i="1" s="1"/>
  <c r="R216" i="1"/>
  <c r="S216" i="1" s="1"/>
  <c r="R215" i="1"/>
  <c r="S215" i="1" s="1"/>
  <c r="R214" i="1"/>
  <c r="S214" i="1" s="1"/>
  <c r="R213" i="1"/>
  <c r="S213" i="1" s="1"/>
  <c r="R212" i="1"/>
  <c r="S212" i="1" s="1"/>
  <c r="R211" i="1"/>
  <c r="S211" i="1" s="1"/>
  <c r="R210" i="1"/>
  <c r="S210" i="1" s="1"/>
  <c r="R209" i="1"/>
  <c r="S209" i="1" s="1"/>
  <c r="R208" i="1"/>
  <c r="S208" i="1" s="1"/>
  <c r="R207" i="1"/>
  <c r="S207" i="1" s="1"/>
  <c r="R206" i="1"/>
  <c r="S206" i="1" s="1"/>
  <c r="R205" i="1"/>
  <c r="S205" i="1" s="1"/>
  <c r="R204" i="1"/>
  <c r="S204" i="1" s="1"/>
  <c r="R203" i="1"/>
  <c r="S203" i="1" s="1"/>
  <c r="R202" i="1"/>
  <c r="S202" i="1" s="1"/>
  <c r="R201" i="1"/>
  <c r="S201" i="1" s="1"/>
  <c r="R200" i="1"/>
  <c r="S200" i="1" s="1"/>
  <c r="R199" i="1"/>
  <c r="S199" i="1" s="1"/>
  <c r="R198" i="1"/>
  <c r="S198" i="1" s="1"/>
  <c r="R197" i="1"/>
  <c r="S197" i="1" s="1"/>
  <c r="R196" i="1"/>
  <c r="S196" i="1" s="1"/>
  <c r="R195" i="1"/>
  <c r="S195" i="1" s="1"/>
  <c r="R194" i="1"/>
  <c r="S194" i="1" s="1"/>
  <c r="R193" i="1"/>
  <c r="S193" i="1" s="1"/>
  <c r="R192" i="1"/>
  <c r="S192" i="1" s="1"/>
  <c r="R191" i="1"/>
  <c r="S191" i="1" s="1"/>
  <c r="R190" i="1"/>
  <c r="S190" i="1" s="1"/>
  <c r="R189" i="1"/>
  <c r="S189" i="1" s="1"/>
  <c r="R188" i="1"/>
  <c r="S188" i="1" s="1"/>
  <c r="R187" i="1"/>
  <c r="S187" i="1" s="1"/>
  <c r="R186" i="1"/>
  <c r="S186" i="1" s="1"/>
  <c r="R185" i="1"/>
  <c r="S185" i="1" s="1"/>
  <c r="R184" i="1"/>
  <c r="S184" i="1" s="1"/>
  <c r="R183" i="1"/>
  <c r="S183" i="1" s="1"/>
  <c r="R182" i="1"/>
  <c r="S182" i="1" s="1"/>
  <c r="R181" i="1"/>
  <c r="S181" i="1" s="1"/>
  <c r="R180" i="1"/>
  <c r="S180" i="1" s="1"/>
  <c r="R179" i="1"/>
  <c r="S179" i="1" s="1"/>
  <c r="R178" i="1"/>
  <c r="S178" i="1" s="1"/>
  <c r="R177" i="1"/>
  <c r="S177" i="1" s="1"/>
  <c r="R176" i="1"/>
  <c r="S176" i="1" s="1"/>
  <c r="R175" i="1"/>
  <c r="S175" i="1" s="1"/>
  <c r="R174" i="1"/>
  <c r="S174" i="1" s="1"/>
  <c r="R173" i="1"/>
  <c r="S173" i="1" s="1"/>
  <c r="R172" i="1"/>
  <c r="S172" i="1" s="1"/>
  <c r="R171" i="1"/>
  <c r="S171" i="1" s="1"/>
  <c r="R170" i="1"/>
  <c r="S170" i="1" s="1"/>
  <c r="R169" i="1"/>
  <c r="S169" i="1" s="1"/>
  <c r="R168" i="1"/>
  <c r="S168" i="1" s="1"/>
  <c r="R167" i="1"/>
  <c r="S167" i="1" s="1"/>
  <c r="R166" i="1"/>
  <c r="S166" i="1" s="1"/>
  <c r="R165" i="1"/>
  <c r="S165" i="1" s="1"/>
  <c r="R164" i="1"/>
  <c r="S164" i="1" s="1"/>
  <c r="R163" i="1"/>
  <c r="S163" i="1" s="1"/>
  <c r="R162" i="1"/>
  <c r="S162" i="1" s="1"/>
  <c r="R161" i="1"/>
  <c r="S161" i="1" s="1"/>
  <c r="R160" i="1"/>
  <c r="S160" i="1" s="1"/>
  <c r="R159" i="1"/>
  <c r="S159" i="1" s="1"/>
  <c r="R158" i="1"/>
  <c r="S158" i="1" s="1"/>
  <c r="R157" i="1"/>
  <c r="S157" i="1" s="1"/>
  <c r="R156" i="1"/>
  <c r="S156" i="1" s="1"/>
  <c r="R155" i="1"/>
  <c r="S155" i="1" s="1"/>
  <c r="R154" i="1"/>
  <c r="S154" i="1" s="1"/>
  <c r="R153" i="1"/>
  <c r="S153" i="1" s="1"/>
  <c r="R152" i="1"/>
  <c r="S152" i="1" s="1"/>
  <c r="R151" i="1"/>
  <c r="S151" i="1" s="1"/>
  <c r="R150" i="1"/>
  <c r="S150" i="1" s="1"/>
  <c r="R149" i="1"/>
  <c r="S149" i="1" s="1"/>
  <c r="R148" i="1"/>
  <c r="S148" i="1" s="1"/>
  <c r="R147" i="1"/>
  <c r="S147" i="1" s="1"/>
  <c r="R146" i="1"/>
  <c r="S146" i="1" s="1"/>
  <c r="R145" i="1"/>
  <c r="S145" i="1" s="1"/>
  <c r="R144" i="1"/>
  <c r="S144" i="1" s="1"/>
  <c r="R143" i="1"/>
  <c r="S143" i="1" s="1"/>
  <c r="R142" i="1"/>
  <c r="S142" i="1" s="1"/>
  <c r="R141" i="1"/>
  <c r="S141" i="1" s="1"/>
  <c r="R140" i="1"/>
  <c r="S140" i="1" s="1"/>
  <c r="R139" i="1"/>
  <c r="S139" i="1" s="1"/>
  <c r="R138" i="1"/>
  <c r="S138" i="1" s="1"/>
  <c r="R137" i="1"/>
  <c r="S137" i="1" s="1"/>
  <c r="R136" i="1"/>
  <c r="S136" i="1" s="1"/>
  <c r="R135" i="1"/>
  <c r="S135" i="1" s="1"/>
  <c r="R134" i="1"/>
  <c r="S134" i="1" s="1"/>
  <c r="R133" i="1"/>
  <c r="S133" i="1" s="1"/>
  <c r="R132" i="1"/>
  <c r="S132" i="1" s="1"/>
  <c r="R131" i="1"/>
  <c r="S131" i="1" s="1"/>
  <c r="R130" i="1"/>
  <c r="S130" i="1" s="1"/>
  <c r="R129" i="1"/>
  <c r="S129" i="1" s="1"/>
  <c r="R128" i="1"/>
  <c r="S128" i="1" s="1"/>
  <c r="R127" i="1"/>
  <c r="S127" i="1" s="1"/>
  <c r="R126" i="1"/>
  <c r="S126" i="1" s="1"/>
  <c r="R125" i="1"/>
  <c r="S125" i="1" s="1"/>
  <c r="R124" i="1"/>
  <c r="S124" i="1" s="1"/>
  <c r="R123" i="1"/>
  <c r="S123" i="1" s="1"/>
  <c r="R122" i="1"/>
  <c r="S122" i="1" s="1"/>
  <c r="R121" i="1"/>
  <c r="S121" i="1" s="1"/>
  <c r="R120" i="1"/>
  <c r="S120" i="1" s="1"/>
  <c r="R119" i="1"/>
  <c r="S119" i="1" s="1"/>
  <c r="R118" i="1"/>
  <c r="S118" i="1" s="1"/>
  <c r="R117" i="1"/>
  <c r="S117" i="1" s="1"/>
  <c r="R116" i="1"/>
  <c r="S116" i="1" s="1"/>
  <c r="R115" i="1"/>
  <c r="S115" i="1" s="1"/>
  <c r="R114" i="1"/>
  <c r="S114" i="1" s="1"/>
  <c r="R113" i="1"/>
  <c r="S113" i="1" s="1"/>
  <c r="R112" i="1"/>
  <c r="S112" i="1" s="1"/>
  <c r="R111" i="1"/>
  <c r="S111" i="1" s="1"/>
  <c r="R110" i="1"/>
  <c r="S110" i="1" s="1"/>
  <c r="R109" i="1"/>
  <c r="S109" i="1" s="1"/>
  <c r="R108" i="1"/>
  <c r="S108" i="1" s="1"/>
  <c r="R107" i="1"/>
  <c r="S107" i="1" s="1"/>
  <c r="R106" i="1"/>
  <c r="S106" i="1" s="1"/>
  <c r="R105" i="1"/>
  <c r="S105" i="1" s="1"/>
  <c r="R104" i="1"/>
  <c r="S104" i="1" s="1"/>
  <c r="R103" i="1"/>
  <c r="S103" i="1" s="1"/>
  <c r="R102" i="1"/>
  <c r="S102" i="1" s="1"/>
  <c r="R101" i="1"/>
  <c r="S101" i="1" s="1"/>
  <c r="R100" i="1"/>
  <c r="S100" i="1" s="1"/>
  <c r="R99" i="1"/>
  <c r="S99" i="1" s="1"/>
  <c r="R98" i="1"/>
  <c r="S98" i="1" s="1"/>
  <c r="R97" i="1"/>
  <c r="S97" i="1" s="1"/>
  <c r="R96" i="1"/>
  <c r="S96" i="1" s="1"/>
  <c r="R95" i="1"/>
  <c r="S95" i="1" s="1"/>
  <c r="R94" i="1"/>
  <c r="S94" i="1" s="1"/>
  <c r="R93" i="1"/>
  <c r="S93" i="1" s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 s="1"/>
</calcChain>
</file>

<file path=xl/sharedStrings.xml><?xml version="1.0" encoding="utf-8"?>
<sst xmlns="http://schemas.openxmlformats.org/spreadsheetml/2006/main" count="693" uniqueCount="466">
  <si>
    <t>मतदान केन्द्र क्रमांक</t>
  </si>
  <si>
    <t xml:space="preserve">पंकज उपाध्याय </t>
  </si>
  <si>
    <t xml:space="preserve">फौजी भगवती धाकड रजौधा </t>
  </si>
  <si>
    <t>सूबेदार सिंह सिकरवार रजौधा 3</t>
  </si>
  <si>
    <t xml:space="preserve">सोनेराम कुशवाह </t>
  </si>
  <si>
    <t xml:space="preserve">अर्जुन सिंह सिकरवार (रन्छोरपुरा) </t>
  </si>
  <si>
    <t xml:space="preserve">पातीरामबघौराखुर्द </t>
  </si>
  <si>
    <t xml:space="preserve"> भरतलाल उमरैया संदीप एड. </t>
  </si>
  <si>
    <t xml:space="preserve"> मनीराम धाकड </t>
  </si>
  <si>
    <t xml:space="preserve"> रीना कुशवाह </t>
  </si>
  <si>
    <t xml:space="preserve">सत्तार स्या </t>
  </si>
  <si>
    <t xml:space="preserve">आलोक शर्मा " </t>
  </si>
  <si>
    <t xml:space="preserve"> अंकुश उपाध्याय </t>
  </si>
  <si>
    <t xml:space="preserve">जितेन्द्र सिंह धाकड </t>
  </si>
  <si>
    <t xml:space="preserve">रामकुमार जाटव (सोलंकी) </t>
  </si>
  <si>
    <t xml:space="preserve"> वैध मतों की कुल संख्या </t>
  </si>
  <si>
    <t>निरस्त किये गये मतों की संख्या 17</t>
  </si>
  <si>
    <t xml:space="preserve">उपरोक्त में से कोई नहीं (NOTA) </t>
  </si>
  <si>
    <t>0 0</t>
  </si>
  <si>
    <t>112 A</t>
  </si>
  <si>
    <t>मतदान</t>
  </si>
  <si>
    <t>डाक मतपत्रों विधान</t>
  </si>
  <si>
    <t>डाले ग</t>
  </si>
  <si>
    <t xml:space="preserve"> अनिल धाकड़ आसलपुर </t>
  </si>
  <si>
    <t>विरजापुर (बरेड़)</t>
  </si>
  <si>
    <t>प्राथमिक विद्यालय जहान सिंह का पुरा बरेड़</t>
  </si>
  <si>
    <t>बरेड़</t>
  </si>
  <si>
    <t>प्राथमिक शाला भवन कोरीपुरा</t>
  </si>
  <si>
    <t>शा०प्रा०वि० वरेंड</t>
  </si>
  <si>
    <t>प्रा.शा.भवन पर्वतपुरा</t>
  </si>
  <si>
    <t>बरेंड़</t>
  </si>
  <si>
    <t>प्राथमिक शाला भवन आसलपुर</t>
  </si>
  <si>
    <t>सिंगरोली</t>
  </si>
  <si>
    <t>शा०प्रा० वि० सिंगरोली</t>
  </si>
  <si>
    <t>शा.प्रा.वि भेदपुरा</t>
  </si>
  <si>
    <t>सिगरोली</t>
  </si>
  <si>
    <t>प्रा०शा० भवन प्रोहितपुरा</t>
  </si>
  <si>
    <t>प्रा०शा० भवन आजाद नगर</t>
  </si>
  <si>
    <t>चिनौनी चम्बल</t>
  </si>
  <si>
    <t>शा०प्रा०वि० चिन्नीनी चम्बल पूर्वी भाग</t>
  </si>
  <si>
    <t>शा० प्रा०वि० चिन्नीनी चम्बल पश्चिमी भाग</t>
  </si>
  <si>
    <t>चिन्नौनी चम्बल</t>
  </si>
  <si>
    <t>शा०मा०वि० चिन्नौनी चम्बल</t>
  </si>
  <si>
    <t>शा०प्रा०वि० सुर्यपुरा</t>
  </si>
  <si>
    <t>तिदोखर</t>
  </si>
  <si>
    <t>शा.मा.वि. तिदोखर</t>
  </si>
  <si>
    <t>प्रा. शाला भवन तिदोखर</t>
  </si>
  <si>
    <t>पचोखरा</t>
  </si>
  <si>
    <t>नवीन हाईस्कूल भवन पचोखरा</t>
  </si>
  <si>
    <t>शा०मा०वि० भैरू सिंह का पुरा पचोखरा</t>
  </si>
  <si>
    <t>प्रा. शाला भवन रामलाल का पुरा</t>
  </si>
  <si>
    <t>खेरली</t>
  </si>
  <si>
    <t>प्रा. शाला भवन खेरली</t>
  </si>
  <si>
    <t>खैरली</t>
  </si>
  <si>
    <t>नवीन आंगनवाडी केन्द्र खेरली</t>
  </si>
  <si>
    <t>जापथाप</t>
  </si>
  <si>
    <t>प्रा.वि. जापथाप</t>
  </si>
  <si>
    <t>प्रा.वि. खेडा हुसैनपुर</t>
  </si>
  <si>
    <t>हुसेनपुर</t>
  </si>
  <si>
    <t>प्रा.वि. हुसैनपुर</t>
  </si>
  <si>
    <t>वृजगढ़ी</t>
  </si>
  <si>
    <t>प्राशाला भवन बृजगढ़ी पूर्वी भाग</t>
  </si>
  <si>
    <t>बृजगढ़ी</t>
  </si>
  <si>
    <t>प्रा०शा० भवन उत्तरी भाग बृजगढ़ी</t>
  </si>
  <si>
    <t>प्रा०शा० भवन अतिरिक्त कक्ष बृजगढ़ी</t>
  </si>
  <si>
    <t>कोटरा</t>
  </si>
  <si>
    <t>प्रा०शाला० भवन कोटरा</t>
  </si>
  <si>
    <t>शा.मा.वि. मिलावा</t>
  </si>
  <si>
    <t>रजोधा</t>
  </si>
  <si>
    <t>प्रा० शाला भवन पूर्वी भाग रजौधा 1</t>
  </si>
  <si>
    <t>मा.शा. भवन रजौधा</t>
  </si>
  <si>
    <t>कुकरोली</t>
  </si>
  <si>
    <t>शा०प्रा०वि० महदेवा</t>
  </si>
  <si>
    <t>भर्रा</t>
  </si>
  <si>
    <t>प्रा. शाला भवन भर्रा, शा.मा.वि. भर्रा</t>
  </si>
  <si>
    <t>बंधपुरा</t>
  </si>
  <si>
    <t>- (जानकारी उपलब्ध नहीं)</t>
  </si>
  <si>
    <t>गुजरना</t>
  </si>
  <si>
    <t>प्रा.वि. गुजरना</t>
  </si>
  <si>
    <t>सुजानगढ़ी</t>
  </si>
  <si>
    <t>ग्राम स्वराज भवन बंधपुरा, आंगनबाड़ी भवन बंधपुरा, मा.शाला भवन उत्तरी भाग सुजानगढ़ी</t>
  </si>
  <si>
    <t>कन्या शाला भवन सुजानगढ़ी, मा. शाला भवन दक्षिणी भाग सुजानगढ़ी</t>
  </si>
  <si>
    <t>दुडीला</t>
  </si>
  <si>
    <t>प्रा. शालाभवन उत्तरी भाग दुडीला</t>
  </si>
  <si>
    <t>टुडीला</t>
  </si>
  <si>
    <t>शा० प्रा०शाला भवन दक्षिणी भाग टुडीला</t>
  </si>
  <si>
    <t>प्रा०वि० मद्दीपुरा</t>
  </si>
  <si>
    <t>चचेडी</t>
  </si>
  <si>
    <t>प्रा. शाला भवन चचेडी, प्रा. शाला भवन चचेडी</t>
  </si>
  <si>
    <t>खुटियानी हार</t>
  </si>
  <si>
    <t>प्रा. शाला भवन खुटियानीहार</t>
  </si>
  <si>
    <t>अहरोली</t>
  </si>
  <si>
    <t>प्रा. शाला भवन अहरोली, शा.प्रा.वि. रामसिंह का पुरा</t>
  </si>
  <si>
    <t>खिडोरा</t>
  </si>
  <si>
    <t>प्रा. शाला भवन खिडौरा, शा०प्रा०वि० धोबीपुरा, शा०हाई स्कूल खिडौरा</t>
  </si>
  <si>
    <t>मोहनपुर</t>
  </si>
  <si>
    <t>प्राथमिक शाला भवन मोहनपुर</t>
  </si>
  <si>
    <t>रन्छोरपुरा</t>
  </si>
  <si>
    <t>शा.मा.वि. रन्छोरपुरा</t>
  </si>
  <si>
    <t>कोल्हूडांडा</t>
  </si>
  <si>
    <t>शा०प्रा०वि० कोल्हूडाडा नवीन</t>
  </si>
  <si>
    <t>डिन्डेोखर</t>
  </si>
  <si>
    <t>शा. उ. मा. वि डिडोखर</t>
  </si>
  <si>
    <t>छिनवरा</t>
  </si>
  <si>
    <t>मा.शा.भवन छिनवरा</t>
  </si>
  <si>
    <t>उत्तमपुरा</t>
  </si>
  <si>
    <t>प्रा०शाला भवन उत्तमपुरा</t>
  </si>
  <si>
    <t>प्रा०शाला भवन उत्तमपुरा पश्चिमी भाग</t>
  </si>
  <si>
    <t>तिलावली</t>
  </si>
  <si>
    <t>मा०शा०भवन पूर्वी भाग तिलावली</t>
  </si>
  <si>
    <t>शा०प्रा०वि० तोर</t>
  </si>
  <si>
    <t>मा. शाला भवन पश्चिम भाग तिलावली</t>
  </si>
  <si>
    <t>ताजपुर</t>
  </si>
  <si>
    <t>प्रा. शाला भवन ताजपुर</t>
  </si>
  <si>
    <t>सरसेनी</t>
  </si>
  <si>
    <t>हा.से. स्कूल पंचमपुरा</t>
  </si>
  <si>
    <t>ई.जी.एस.शा. भवन बमनपटुरा (बदनसिंह का पुरा)</t>
  </si>
  <si>
    <t>सरसेनी (ल्होरीपुरा)</t>
  </si>
  <si>
    <t>शा०प्रा०वि० ल्होरीपुरा</t>
  </si>
  <si>
    <t>प्रा.शा. भवन पठानपुरा</t>
  </si>
  <si>
    <t>सेथरी</t>
  </si>
  <si>
    <t>प्रा. शाला भवन छोले का पुरा</t>
  </si>
  <si>
    <t>खरिका</t>
  </si>
  <si>
    <t>प्रा. शाला भवन खरिका</t>
  </si>
  <si>
    <t>प्रा०शा०भवन खरिका</t>
  </si>
  <si>
    <t>- (भवन जानकारी उपलब्ध नहीं)</t>
  </si>
  <si>
    <t>खिटौरा</t>
  </si>
  <si>
    <t>शा.मा.वि. खरिका, मा०शा० भवन खिटौरा</t>
  </si>
  <si>
    <t>ई.जी.एस. केन्द्र शाला भवन बलधारी सिंह का पुरा</t>
  </si>
  <si>
    <t>सुखपुरा</t>
  </si>
  <si>
    <t>प्रा.शाला. भवन सुखपुरा</t>
  </si>
  <si>
    <t>पंचायत भवन गोकुलपुरा</t>
  </si>
  <si>
    <t>सेंथरी</t>
  </si>
  <si>
    <t>प्रा. शाला भवन धन्नू का पुरा, आंगनबाड़ी भवन केमपुरा</t>
  </si>
  <si>
    <t>स्यारू</t>
  </si>
  <si>
    <t>प्रा. शाला भवन स्यारू</t>
  </si>
  <si>
    <t>चिन्नौनी करैरा</t>
  </si>
  <si>
    <t>शा० प्रा०वि० चिन्नौनी करैरा</t>
  </si>
  <si>
    <t>शा०कन्या प्रा०वि० भवन चिन्नौनी करैरा</t>
  </si>
  <si>
    <t>चिन्नोनी करेरा</t>
  </si>
  <si>
    <t>मा० शाला भवन चिन्नोरी करेरा</t>
  </si>
  <si>
    <t>बदरपुरा</t>
  </si>
  <si>
    <t>गाँधी सेवा आश्रम बदरपुरा</t>
  </si>
  <si>
    <t>प्रा०शा०भवन पूर्वी भाग बदरपुरा</t>
  </si>
  <si>
    <t>करोरी</t>
  </si>
  <si>
    <t>रसोधना</t>
  </si>
  <si>
    <t>मा.शा. भवन करोरी, प्रा.शाला. भवन रसोधना</t>
  </si>
  <si>
    <t>रसोदना</t>
  </si>
  <si>
    <t>मा.शा. भवन रसोधना</t>
  </si>
  <si>
    <t>बुढावली</t>
  </si>
  <si>
    <t>नवीन पंचायत भवन राजीव गांधी सेवा केन्द्र बुढावली</t>
  </si>
  <si>
    <t>ठेहा जौरा</t>
  </si>
  <si>
    <t>प्रा०शा०भवन टेहा जौरा</t>
  </si>
  <si>
    <t>देहा जौरा</t>
  </si>
  <si>
    <t>प्रा०वि० शेरपुर</t>
  </si>
  <si>
    <t>मोहना</t>
  </si>
  <si>
    <t>प्रा०शाला भवन मोहना</t>
  </si>
  <si>
    <t>प्रा०वि० महावीर पुरा</t>
  </si>
  <si>
    <t>बघेल</t>
  </si>
  <si>
    <t>शा०हा०से० स्कूल बघेल</t>
  </si>
  <si>
    <t>शा०हा०से० स्कूल पश्चिमी भाग बघेल</t>
  </si>
  <si>
    <t>जलालपुर</t>
  </si>
  <si>
    <t>प्रा. शाला भवन जलालपुर</t>
  </si>
  <si>
    <t>विसनोरी</t>
  </si>
  <si>
    <t>प्रा. शाला भवन विसनोरी</t>
  </si>
  <si>
    <t>ग्राम स्वराज भवन मुरली का पुरा</t>
  </si>
  <si>
    <t>आगनबाड़ी भवन बिसनौरी</t>
  </si>
  <si>
    <t>बधोराकलां</t>
  </si>
  <si>
    <t>प्राथमिक शाला भवन बघोराकलां</t>
  </si>
  <si>
    <t>बघोराकलां</t>
  </si>
  <si>
    <t>मा०शा० भवन बघोराकलां</t>
  </si>
  <si>
    <t>बधोरा खुर्द</t>
  </si>
  <si>
    <t>प्रा. शाला भवन वधौरा खुर्द</t>
  </si>
  <si>
    <t>रूनीपुर</t>
  </si>
  <si>
    <t>शास० मा०वि० रूनीपुर</t>
  </si>
  <si>
    <t>निधान</t>
  </si>
  <si>
    <t>नवीनशाला भवन रूनीपुर, प्रा. शाला भवन निधान</t>
  </si>
  <si>
    <t>मई</t>
  </si>
  <si>
    <t>प्रा०शा०भवन मई</t>
  </si>
  <si>
    <t>शा०मा०वि० मई</t>
  </si>
  <si>
    <t>जौरा</t>
  </si>
  <si>
    <t>उत्कष्ट उ० मा.वि. पूर्वी भाग जौरा</t>
  </si>
  <si>
    <t>उ०७० मा० वि० पश्चिमी भाग जौरा</t>
  </si>
  <si>
    <t>शा० बा०उ०उ० मा० वि० दक्षिणी भाग जौरा</t>
  </si>
  <si>
    <t>प्राथमिक शाला भवन सांकरा</t>
  </si>
  <si>
    <t>शा.प्रा.वि. भोलू का पुरा</t>
  </si>
  <si>
    <t>सामुदायिक भवन विकास खण्ड कॉलोनी जौरा</t>
  </si>
  <si>
    <t>शा०प्रा०वि० सिंघल बस्ती जौरा</t>
  </si>
  <si>
    <t>बी आर बी कार्यालय विकास खण्ड परिसर</t>
  </si>
  <si>
    <t>एस.ए.डी.ओ. कार्यालय जौरा</t>
  </si>
  <si>
    <t>प्रा० वि० चुन्नीबाबा का खोर</t>
  </si>
  <si>
    <t>न.पा. भवन पूर्वी भाग जौरा</t>
  </si>
  <si>
    <t>नगरपालिका दक्षिणी भाग जौरा</t>
  </si>
  <si>
    <t>नगरपालिका पश्चिमी भाग जौरा</t>
  </si>
  <si>
    <t>प्रा० शा० भवन क्र. 2 जौरा</t>
  </si>
  <si>
    <t>प्रा० शा० भवन क. 2 जौरा पश्चिमी भाग</t>
  </si>
  <si>
    <t>क.उ.मा. वि. उत्तरी भाग जौरा</t>
  </si>
  <si>
    <t>शा.क.मा.वि. गढी जौरा</t>
  </si>
  <si>
    <t>कन्या उ. मा. विद्यालय पूर्वी भाग जौरा</t>
  </si>
  <si>
    <t>कन्या शाला गढी स्कूल</t>
  </si>
  <si>
    <t>शा०प्रा०वि० हरिजन बस्ती जौरा</t>
  </si>
  <si>
    <t>मा०शाला भवन क. 2 पूर्वी भाग जौरा</t>
  </si>
  <si>
    <t>शा०मा०वि० क. 2 पश्चिमी भाग जौरा</t>
  </si>
  <si>
    <t>माध्यमिक शाला भवन क्र 1 पश्चिमी भाग जौरा</t>
  </si>
  <si>
    <t>मा.शा.भ. क्र 1 पूर्वी भाग. जौरा</t>
  </si>
  <si>
    <t>अग्रवाल धर्मशाला पूर्वी भाग जौरा</t>
  </si>
  <si>
    <t>अग्रवाल धर्मशाला पश्चिमी भाग जौरा</t>
  </si>
  <si>
    <t>गांधी वाचनालय जौरा</t>
  </si>
  <si>
    <t>टाउन हॉल जौरा</t>
  </si>
  <si>
    <t>उत्कृष्ट उ.मा.वि. भवन जौरा</t>
  </si>
  <si>
    <t>प्रा. शाला भवन बसन्त नगर जौरा</t>
  </si>
  <si>
    <t>अलापुर</t>
  </si>
  <si>
    <t>नवीन मा.शाला भवन अलापुर</t>
  </si>
  <si>
    <t>पंचायत भवन अलापुर, मा. शाला भवन अलापुर, प्रा० कन्या शा० उत्तरी भाग अलापुर, आंगनबाड़ी भवन अलापुर, प्रा.कन्या शाला दक्षिणी भाग अलापुर, नवीन मिडिल स्कूल अलापुर</t>
  </si>
  <si>
    <t>शा०मा०वि० अलापुर पश्चिमी भाग</t>
  </si>
  <si>
    <t>शा.प्रा.वि. चम्बल कालौनी. अलापुर</t>
  </si>
  <si>
    <t>वन परिक्षेत्र कार्यालय अलापुर</t>
  </si>
  <si>
    <t>नवीन वन परिक्षेत्र कार्यालय अलापुर पश्चिमी भाग</t>
  </si>
  <si>
    <t>मानपुर बल्ला</t>
  </si>
  <si>
    <t>प्रा०शा०भवन मानपुर बल्ला</t>
  </si>
  <si>
    <t>शा० प्रा०वि० भोपतपुर</t>
  </si>
  <si>
    <t>अगरोता</t>
  </si>
  <si>
    <t>प्रा०शा० भवन अगरोता</t>
  </si>
  <si>
    <t>शा०प्रा०वि० पटवा का पुरा</t>
  </si>
  <si>
    <t>गैपरा</t>
  </si>
  <si>
    <t>प्रा० शाला भवन गैपरा</t>
  </si>
  <si>
    <t>प्रा०शा०भवन शंकरपुरा</t>
  </si>
  <si>
    <t>कैमरा</t>
  </si>
  <si>
    <t>प्रा. शाला भवन कैमरा</t>
  </si>
  <si>
    <t>निमास</t>
  </si>
  <si>
    <t>प्रा शाला भवन निमास</t>
  </si>
  <si>
    <t>शा.प्रा.दि. गैपरी</t>
  </si>
  <si>
    <t>सिकरोदा</t>
  </si>
  <si>
    <t>स्वराज भवन बुद्धेरा</t>
  </si>
  <si>
    <t>जौनारा</t>
  </si>
  <si>
    <t>शा०प्र०मा० जौनारा</t>
  </si>
  <si>
    <t>शा.मा.वि.सिकरीदा</t>
  </si>
  <si>
    <t>दीपैरा</t>
  </si>
  <si>
    <t>मा०साठभवन पश्चिमी भान दीपैता</t>
  </si>
  <si>
    <t>दीपेरा</t>
  </si>
  <si>
    <t>शा.प्रा.दि दीपैरा</t>
  </si>
  <si>
    <t>मा.शाला भवन पश्चिमी भाग दीपेनरा</t>
  </si>
  <si>
    <t>शेखपुर</t>
  </si>
  <si>
    <t>शा.प्रा.वि. मवन शेखपुर</t>
  </si>
  <si>
    <t>ग्राम स्वराज मदन शेखपुर</t>
  </si>
  <si>
    <t>नयागांव मानगढ</t>
  </si>
  <si>
    <t>प्रा. शाला भवन नयागांव मानगढ़</t>
  </si>
  <si>
    <t>बिलगांवक्वारी</t>
  </si>
  <si>
    <t>प्रशाभवन बिलगांव</t>
  </si>
  <si>
    <t>टीकतगढी</t>
  </si>
  <si>
    <t>शा०ग्रा०वि० रामपुरा बंगस</t>
  </si>
  <si>
    <t>लाभकरन</t>
  </si>
  <si>
    <t>प्रा.शाला भवन लाभकरन</t>
  </si>
  <si>
    <t>प्रा.शाला.भवन लाभकरन</t>
  </si>
  <si>
    <t>तोरिका</t>
  </si>
  <si>
    <t>मा.शाला भवन तोरिका</t>
  </si>
  <si>
    <t>कुर्सेली</t>
  </si>
  <si>
    <t>प्रा०शाला भवन पूर्वी भाग कुरौली</t>
  </si>
  <si>
    <t>कुरोली</t>
  </si>
  <si>
    <t>शा.मा.वि. कुरौली</t>
  </si>
  <si>
    <t>प्रा०शाला कुरौली</t>
  </si>
  <si>
    <t>चमरगबां</t>
  </si>
  <si>
    <t>शा०मा० शाला भवन चमरगंवा</t>
  </si>
  <si>
    <t>शा०मा० शाला भवन चमरंगवा</t>
  </si>
  <si>
    <t>माली बाजना</t>
  </si>
  <si>
    <t>प्रा०शा० भवनपूर्वी भाग मालीबाजना</t>
  </si>
  <si>
    <t>पिपरौआ</t>
  </si>
  <si>
    <t>अशा.अनु.प्राप्त प्रा.शा.भवन पिपरौआ</t>
  </si>
  <si>
    <t>बघरोली</t>
  </si>
  <si>
    <t>प्रा०शा० भवन बघरोली</t>
  </si>
  <si>
    <t>शा.मा. शाला भवन बघरोली</t>
  </si>
  <si>
    <t>अर्सेदा</t>
  </si>
  <si>
    <t>प्रा. शाला भवन अरोदा</t>
  </si>
  <si>
    <t>अरोदा</t>
  </si>
  <si>
    <t>शा.प्रा.वि. सुजनिया का पुरा (पोखर का पुरा)</t>
  </si>
  <si>
    <t>डमेजर</t>
  </si>
  <si>
    <t>प्रा. शाला भवन पूर्वी भाग डमेजर</t>
  </si>
  <si>
    <t>बूढसिरथिरा</t>
  </si>
  <si>
    <t>शा०प्रा० शाला भवन बूढ सिस्थरा</t>
  </si>
  <si>
    <t>बृम्हबाजना</t>
  </si>
  <si>
    <t>शा०प्रा०भवन बृम्हबाजना</t>
  </si>
  <si>
    <t>विरावली</t>
  </si>
  <si>
    <t>प्रा.शाला भवन विरावली</t>
  </si>
  <si>
    <t>बस्तोली</t>
  </si>
  <si>
    <t>प्रा. शाला भवन बस्तोली</t>
  </si>
  <si>
    <t>गस्तोली</t>
  </si>
  <si>
    <t>सामुदायिक भवन गस्तोली</t>
  </si>
  <si>
    <t>रीझांनी</t>
  </si>
  <si>
    <t>प्रा०शा०भवन रीझानी</t>
  </si>
  <si>
    <t>चौढेरा</t>
  </si>
  <si>
    <t>प्रा.शाला. भवन चौढेरा</t>
  </si>
  <si>
    <t>कैलारस</t>
  </si>
  <si>
    <t>शा.बा.मा. वि. कैलारस</t>
  </si>
  <si>
    <t>शा.प्रा.वि. कैलारस</t>
  </si>
  <si>
    <t>शा.बा.मा.वि. कैलारस</t>
  </si>
  <si>
    <t>कन्या मा. वि. कैलारस</t>
  </si>
  <si>
    <t>कन्या प्रा. वि. कैलारस</t>
  </si>
  <si>
    <t>शा.क.उ.मा.वि. कैलारस उत्तरी भाग</t>
  </si>
  <si>
    <t>शा.क.उ.मा.वि. कैलारस द. भाग</t>
  </si>
  <si>
    <t>शा.क.उ.मा.वि. कैलारस प. भाग</t>
  </si>
  <si>
    <t>शा.प्रा.वि. उर्दू कैलारस</t>
  </si>
  <si>
    <t>कार्यालय वरिष्ठ कृषि विस्तार अधिकारी कैलारस</t>
  </si>
  <si>
    <t>शा० कन्या उ०मा०वि० कैलारस</t>
  </si>
  <si>
    <t>चम्बल डाक बंगला उत्तरी भाग कैलारस</t>
  </si>
  <si>
    <t>Loa कैलारस, चम्बल डाक बंगला उत्तरी भाग कैलारस</t>
  </si>
  <si>
    <t>चम्बल डाक बंगला दक्षिणी भाग कैलारस</t>
  </si>
  <si>
    <t>शा.क.प्रा.वि. चम्बल का कैलारस</t>
  </si>
  <si>
    <t>कृषि उपज मण्डी कार्यालय हाल कैलारस</t>
  </si>
  <si>
    <t>कृषि मण्डी उपज मण्डी कार्यालय हॉल कैलारस, कृषि उपज मण्डी सचिव कक्ष कैलारस</t>
  </si>
  <si>
    <t>शा०प्रा०वि० खुमान का पुरा</t>
  </si>
  <si>
    <t>न.पा.कार्या उत्तरी भाग कैलारस</t>
  </si>
  <si>
    <t>न.पा.कार्या. दक्षिणी भाग कैलारस</t>
  </si>
  <si>
    <t>प्रा. शाला भवन आंतरी</t>
  </si>
  <si>
    <t>गैस ऐथ्योरिटी भवन, पी०डब्ल्यू०डी० रेस्ट हाउस आंतरी</t>
  </si>
  <si>
    <t>प्रा. शाला डोंगरपुर</t>
  </si>
  <si>
    <t>प्रा.शाला डोंगरपुर</t>
  </si>
  <si>
    <t>प्रा०शाला डोंगरपुर</t>
  </si>
  <si>
    <t>ब्लॉक कार्या. पूर्वी भाग कैलारस</t>
  </si>
  <si>
    <t>बी आर सी भवन कैलारस</t>
  </si>
  <si>
    <t>ब्लॉक कार्या. पश्चिमी भाग कैलारस</t>
  </si>
  <si>
    <t>ब्लॉक रिसोर्स सेन्टर कैलारस</t>
  </si>
  <si>
    <t>मिलसैया</t>
  </si>
  <si>
    <t>कोई विवरण उपलब्ध नहीं</t>
  </si>
  <si>
    <t>भिलसैया</t>
  </si>
  <si>
    <t>प्रा.शा. भवन मिलसैया
प्रा.शा भवन बेरई मानगढ़</t>
  </si>
  <si>
    <t>निरारा</t>
  </si>
  <si>
    <t>शा०मा० शाला निरारा</t>
  </si>
  <si>
    <t>प्रा.शा. भवन बीरमपुर मानगढ़</t>
  </si>
  <si>
    <t>प्रा.शा. भवन निरारा</t>
  </si>
  <si>
    <t>बराहना</t>
  </si>
  <si>
    <t xml:space="preserve">
प्रा.शा. भवन बरहाना</t>
  </si>
  <si>
    <t>कोटसिरथरा</t>
  </si>
  <si>
    <t>प्रा. शाला भवन कोटसिरथरा</t>
  </si>
  <si>
    <t>प्रा. शाला भवन कोटसिरथरा कक्ष 250-2</t>
  </si>
  <si>
    <t>प्रा.शा. भवन कोटसिरथस</t>
  </si>
  <si>
    <t>प्रा.शा. भवन कोटसिरथरा</t>
  </si>
  <si>
    <t>किसरोली</t>
  </si>
  <si>
    <t>प्रा. शाला भवन किसरोली</t>
  </si>
  <si>
    <t>पिपरोनिया</t>
  </si>
  <si>
    <t>प्रा० शा० भवन पिरोनिया</t>
  </si>
  <si>
    <t>किरावली मानगढ़</t>
  </si>
  <si>
    <t>प्रा.शाला. भवन किरावली मानगढ़</t>
  </si>
  <si>
    <t>कोढेरा</t>
  </si>
  <si>
    <t>प्रा०शा० भवन कोढेरा</t>
  </si>
  <si>
    <t>लहरों</t>
  </si>
  <si>
    <t>प्रा.शाला. भवन लहर्रा</t>
  </si>
  <si>
    <t>तिलोजरी</t>
  </si>
  <si>
    <t>शा०मा० शाला भवन तिलोजरी</t>
  </si>
  <si>
    <t>शा०मा० शाला भवन तिलॉजरी</t>
  </si>
  <si>
    <t>खिरी</t>
  </si>
  <si>
    <t>शा.प्रा.वि. खिरी</t>
  </si>
  <si>
    <t>सिंगाचौली</t>
  </si>
  <si>
    <t>पंचायत भवन सिंगाचोली</t>
  </si>
  <si>
    <t>कोढा</t>
  </si>
  <si>
    <t>प्रा. शाला भवन पूर्वी भाग कोढा</t>
  </si>
  <si>
    <t>प्रा. शाला भवन पूर्वी भाग कक्ष क्र० 2 कोट सिस्थरा</t>
  </si>
  <si>
    <t>सगोरिया</t>
  </si>
  <si>
    <t>प्रा०शाला भवन सागोरिया</t>
  </si>
  <si>
    <t>देवकच्छ</t>
  </si>
  <si>
    <t>शा० प्रा०शा० आदिवासी कॉलौनी देवकच्छ</t>
  </si>
  <si>
    <t>कहारपुरा</t>
  </si>
  <si>
    <t>मनोरंजन भवन कहारपुरा</t>
  </si>
  <si>
    <t>शा.पा.वि. रानीपुरा</t>
  </si>
  <si>
    <t>घूरकूड़ा</t>
  </si>
  <si>
    <t>मा. शाला भवन धूरकूडा</t>
  </si>
  <si>
    <t>धूरकूडा</t>
  </si>
  <si>
    <t>शा.मा. वि. धूरकूडा</t>
  </si>
  <si>
    <t>पहाड़गढ़</t>
  </si>
  <si>
    <t>उत्कृष्ट उ.मा.वि. पहाडगढ़</t>
  </si>
  <si>
    <t>शा.मा.वि. पहाडगढ़</t>
  </si>
  <si>
    <t>विकास खण्ड भवन पहाडगढ़</t>
  </si>
  <si>
    <t>पहाड़गढ</t>
  </si>
  <si>
    <t>बी आर सी भवन पहाडगढ</t>
  </si>
  <si>
    <t>शा०प्रा०वि० पहाडगढ़</t>
  </si>
  <si>
    <t>ठाठीपुर</t>
  </si>
  <si>
    <t>शा०मा०शाला भवन ठाठीपुरा</t>
  </si>
  <si>
    <t>शा०मा०शा० भवन गुर्जा</t>
  </si>
  <si>
    <t>मा. शाला भवन अति. कक्ष ठाठीपुर</t>
  </si>
  <si>
    <t>निरार</t>
  </si>
  <si>
    <t>शा०प्रा०शा० भवन चाचुल</t>
  </si>
  <si>
    <t>सामुदायिक भवन निरार</t>
  </si>
  <si>
    <t>टिक्टोली दूमदार</t>
  </si>
  <si>
    <t>पंचायत भवन पूर्वी भाग टिक्टोली दूमदार</t>
  </si>
  <si>
    <t>पंचायत भवन पश्चिमी भाग टिक्टोली दूमदार</t>
  </si>
  <si>
    <t>टिकटोली दूमदार</t>
  </si>
  <si>
    <t>शा०मा०वि० टिकटोली दूमदार</t>
  </si>
  <si>
    <t>प्रा. शाला भवन ऊदुआ का पुरा</t>
  </si>
  <si>
    <t>परसोटा</t>
  </si>
  <si>
    <t>मिडिल स्कूल पूर्वी भाग परसोटा</t>
  </si>
  <si>
    <t>मिडिल स्कूल पश्चिमी भाग पोरसाटा</t>
  </si>
  <si>
    <t>शा. हाई स्कूल परसोटा</t>
  </si>
  <si>
    <t>परसौटा</t>
  </si>
  <si>
    <t>शा० प्रा०वि० परसौटा</t>
  </si>
  <si>
    <t>शा०प्रा०वि० बारा</t>
  </si>
  <si>
    <t>नरहौली</t>
  </si>
  <si>
    <t>शिक्षा गारंटी प्रा०शा० भवन वघेल का पुरा</t>
  </si>
  <si>
    <t>घाडोर</t>
  </si>
  <si>
    <t>प्रा. शाला भवन घाडोर</t>
  </si>
  <si>
    <t>घाडौरा</t>
  </si>
  <si>
    <t>शा०प्रा०वि० पश्चिमी भाग घाड़ौर</t>
  </si>
  <si>
    <t>छडेह</t>
  </si>
  <si>
    <t>प्रा. शाला भवन छडेह</t>
  </si>
  <si>
    <t>बुरावली</t>
  </si>
  <si>
    <t>पंचायत भवन बुरावली</t>
  </si>
  <si>
    <t>नरहेला</t>
  </si>
  <si>
    <t>प्रा. शाला भवन पूर्वी भाग नरहेला</t>
  </si>
  <si>
    <t>प्रा. शाला भवन नरहेला</t>
  </si>
  <si>
    <t>नरैहला</t>
  </si>
  <si>
    <t>प्रा०शाला भवन प० भाग नरैहला</t>
  </si>
  <si>
    <t>शा.प्रा.वि. पारी का पुरा</t>
  </si>
  <si>
    <t>काशीपुरा</t>
  </si>
  <si>
    <t>प्रा. शाला भवन मजरा</t>
  </si>
  <si>
    <t>झौड</t>
  </si>
  <si>
    <t>पंचायत भवन झौड</t>
  </si>
  <si>
    <t>शा प्रावि हटी सिंह का पुरा</t>
  </si>
  <si>
    <t>शा प्रा वि हटी सिंह का पुरा</t>
  </si>
  <si>
    <t>कुंअरपुर</t>
  </si>
  <si>
    <t>प्रा. शाला भवन कुंअरपुर</t>
  </si>
  <si>
    <t>शा०प्रा०वि० पश्चिमी भाग कुंअरपुर</t>
  </si>
  <si>
    <t>कुअरपुर</t>
  </si>
  <si>
    <t>शा०प्रा०वि० धौरेरा</t>
  </si>
  <si>
    <t>नीचली बहराई</t>
  </si>
  <si>
    <t>प्रा. शाला भवन नीचली बहराई</t>
  </si>
  <si>
    <t>खिडरियापुरा</t>
  </si>
  <si>
    <t>ग्राम स्वराज भवन खिडरियापुरा</t>
  </si>
  <si>
    <t>शा.प्रा.वि. मरा</t>
  </si>
  <si>
    <t>कन्हार</t>
  </si>
  <si>
    <t>मिडिल स्कूल कन्हार</t>
  </si>
  <si>
    <t>मा.वि. जोगीपुरा</t>
  </si>
  <si>
    <t>कन्हार (कालाखेत)</t>
  </si>
  <si>
    <t>प्रा.शाला भवन कालाखेत</t>
  </si>
  <si>
    <t>जड़ेरू</t>
  </si>
  <si>
    <t>शा० प्रा०शाला भवन जडेरू</t>
  </si>
  <si>
    <t>जडेरू</t>
  </si>
  <si>
    <t>शा०प्रा० शाला भवन रकैरा</t>
  </si>
  <si>
    <t>घोधा</t>
  </si>
  <si>
    <t>प्रा. शाला भवन धोधा</t>
  </si>
  <si>
    <t>धोधा</t>
  </si>
  <si>
    <t>शा.मा. शाला भवन धौधा</t>
  </si>
  <si>
    <t>डेनेडा स्वास्थ्य केन्द्र</t>
  </si>
  <si>
    <t>गेहतोली</t>
  </si>
  <si>
    <t>प्राथमिक शाला भवन गेहतोली</t>
  </si>
  <si>
    <t>गहतोली</t>
  </si>
  <si>
    <t>प्रा० शाला भवन गेहतोली</t>
  </si>
  <si>
    <t>Total Ragistered Voter</t>
  </si>
  <si>
    <t>Male</t>
  </si>
  <si>
    <t>Female</t>
  </si>
  <si>
    <t>चाचुल</t>
  </si>
  <si>
    <t>मतदान क्षेत्र</t>
  </si>
  <si>
    <t>भवन, जिसमें यह स्थापित होगा</t>
  </si>
  <si>
    <t xml:space="preserve"> योग </t>
  </si>
  <si>
    <t xml:space="preserve">निविदत्त मतों की संख्या </t>
  </si>
  <si>
    <t>INC</t>
  </si>
  <si>
    <t>AAP</t>
  </si>
  <si>
    <t>BJP</t>
  </si>
  <si>
    <t>BSP</t>
  </si>
  <si>
    <t>PPOI</t>
  </si>
  <si>
    <t>BMJP</t>
  </si>
  <si>
    <t>JAP</t>
  </si>
  <si>
    <t>ASP</t>
  </si>
  <si>
    <t>SP</t>
  </si>
  <si>
    <t>AIFB</t>
  </si>
  <si>
    <t>PPP</t>
  </si>
  <si>
    <t>Independent</t>
  </si>
  <si>
    <t xml:space="preserve">Delta Positive </t>
  </si>
  <si>
    <t>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</si>
</sst>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F0C17B7-8B9E-4D7B-9C98-49B666A58B49}"/>
  </cellStyles>
  <dxfs count="3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Positive vs  VoterTurnout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Data!$AB$3:$AB$298</c:f>
              <c:numCache>
                <c:formatCode>General</c:formatCode>
                <c:ptCount val="296"/>
                <c:pt idx="0">
                  <c:v>231</c:v>
                </c:pt>
                <c:pt idx="1">
                  <c:v>207</c:v>
                </c:pt>
                <c:pt idx="2">
                  <c:v>89</c:v>
                </c:pt>
                <c:pt idx="3">
                  <c:v>91</c:v>
                </c:pt>
                <c:pt idx="4">
                  <c:v>3</c:v>
                </c:pt>
                <c:pt idx="5">
                  <c:v>24</c:v>
                </c:pt>
                <c:pt idx="6">
                  <c:v>32</c:v>
                </c:pt>
                <c:pt idx="7">
                  <c:v>19</c:v>
                </c:pt>
                <c:pt idx="8">
                  <c:v>280</c:v>
                </c:pt>
                <c:pt idx="9">
                  <c:v>51</c:v>
                </c:pt>
                <c:pt idx="10">
                  <c:v>356</c:v>
                </c:pt>
                <c:pt idx="11">
                  <c:v>272</c:v>
                </c:pt>
                <c:pt idx="12">
                  <c:v>214</c:v>
                </c:pt>
                <c:pt idx="13">
                  <c:v>356</c:v>
                </c:pt>
                <c:pt idx="14">
                  <c:v>56</c:v>
                </c:pt>
                <c:pt idx="15">
                  <c:v>8</c:v>
                </c:pt>
                <c:pt idx="16">
                  <c:v>423</c:v>
                </c:pt>
                <c:pt idx="17">
                  <c:v>100</c:v>
                </c:pt>
                <c:pt idx="18">
                  <c:v>314</c:v>
                </c:pt>
                <c:pt idx="19">
                  <c:v>150</c:v>
                </c:pt>
                <c:pt idx="20">
                  <c:v>219</c:v>
                </c:pt>
                <c:pt idx="21">
                  <c:v>319</c:v>
                </c:pt>
                <c:pt idx="22">
                  <c:v>218</c:v>
                </c:pt>
                <c:pt idx="23">
                  <c:v>51</c:v>
                </c:pt>
                <c:pt idx="24">
                  <c:v>405</c:v>
                </c:pt>
                <c:pt idx="25">
                  <c:v>133</c:v>
                </c:pt>
                <c:pt idx="26">
                  <c:v>250</c:v>
                </c:pt>
                <c:pt idx="27">
                  <c:v>144</c:v>
                </c:pt>
                <c:pt idx="28">
                  <c:v>560</c:v>
                </c:pt>
                <c:pt idx="29">
                  <c:v>329</c:v>
                </c:pt>
                <c:pt idx="30">
                  <c:v>99</c:v>
                </c:pt>
                <c:pt idx="31">
                  <c:v>717</c:v>
                </c:pt>
                <c:pt idx="32">
                  <c:v>184</c:v>
                </c:pt>
                <c:pt idx="33">
                  <c:v>219</c:v>
                </c:pt>
                <c:pt idx="34">
                  <c:v>55</c:v>
                </c:pt>
                <c:pt idx="35">
                  <c:v>444</c:v>
                </c:pt>
                <c:pt idx="36">
                  <c:v>29</c:v>
                </c:pt>
                <c:pt idx="37">
                  <c:v>29</c:v>
                </c:pt>
                <c:pt idx="38">
                  <c:v>210</c:v>
                </c:pt>
                <c:pt idx="39">
                  <c:v>352</c:v>
                </c:pt>
                <c:pt idx="40">
                  <c:v>253</c:v>
                </c:pt>
                <c:pt idx="41">
                  <c:v>215</c:v>
                </c:pt>
                <c:pt idx="42">
                  <c:v>13</c:v>
                </c:pt>
                <c:pt idx="43">
                  <c:v>71</c:v>
                </c:pt>
                <c:pt idx="44">
                  <c:v>186</c:v>
                </c:pt>
                <c:pt idx="45">
                  <c:v>34</c:v>
                </c:pt>
                <c:pt idx="46">
                  <c:v>301</c:v>
                </c:pt>
                <c:pt idx="47">
                  <c:v>257</c:v>
                </c:pt>
                <c:pt idx="48">
                  <c:v>373</c:v>
                </c:pt>
                <c:pt idx="49">
                  <c:v>136</c:v>
                </c:pt>
                <c:pt idx="50">
                  <c:v>196</c:v>
                </c:pt>
                <c:pt idx="51">
                  <c:v>98</c:v>
                </c:pt>
                <c:pt idx="52">
                  <c:v>382</c:v>
                </c:pt>
                <c:pt idx="53">
                  <c:v>2</c:v>
                </c:pt>
                <c:pt idx="54">
                  <c:v>333</c:v>
                </c:pt>
                <c:pt idx="55">
                  <c:v>166</c:v>
                </c:pt>
                <c:pt idx="56">
                  <c:v>43</c:v>
                </c:pt>
                <c:pt idx="57">
                  <c:v>348</c:v>
                </c:pt>
                <c:pt idx="58">
                  <c:v>223</c:v>
                </c:pt>
                <c:pt idx="59">
                  <c:v>40</c:v>
                </c:pt>
                <c:pt idx="60">
                  <c:v>429</c:v>
                </c:pt>
                <c:pt idx="61">
                  <c:v>14</c:v>
                </c:pt>
                <c:pt idx="62">
                  <c:v>190</c:v>
                </c:pt>
                <c:pt idx="63">
                  <c:v>69</c:v>
                </c:pt>
                <c:pt idx="64">
                  <c:v>130</c:v>
                </c:pt>
                <c:pt idx="65">
                  <c:v>83</c:v>
                </c:pt>
                <c:pt idx="66">
                  <c:v>54</c:v>
                </c:pt>
                <c:pt idx="67">
                  <c:v>23</c:v>
                </c:pt>
                <c:pt idx="68">
                  <c:v>8</c:v>
                </c:pt>
                <c:pt idx="69">
                  <c:v>56</c:v>
                </c:pt>
                <c:pt idx="70">
                  <c:v>72</c:v>
                </c:pt>
                <c:pt idx="71">
                  <c:v>3</c:v>
                </c:pt>
                <c:pt idx="72">
                  <c:v>148</c:v>
                </c:pt>
                <c:pt idx="73">
                  <c:v>24</c:v>
                </c:pt>
                <c:pt idx="74">
                  <c:v>8</c:v>
                </c:pt>
                <c:pt idx="75">
                  <c:v>108</c:v>
                </c:pt>
                <c:pt idx="76">
                  <c:v>329</c:v>
                </c:pt>
                <c:pt idx="77">
                  <c:v>192</c:v>
                </c:pt>
                <c:pt idx="78">
                  <c:v>52</c:v>
                </c:pt>
                <c:pt idx="79">
                  <c:v>21</c:v>
                </c:pt>
                <c:pt idx="80">
                  <c:v>49</c:v>
                </c:pt>
                <c:pt idx="81">
                  <c:v>82</c:v>
                </c:pt>
                <c:pt idx="82">
                  <c:v>40</c:v>
                </c:pt>
                <c:pt idx="83">
                  <c:v>145</c:v>
                </c:pt>
                <c:pt idx="84">
                  <c:v>75</c:v>
                </c:pt>
                <c:pt idx="85">
                  <c:v>308</c:v>
                </c:pt>
                <c:pt idx="86">
                  <c:v>203</c:v>
                </c:pt>
                <c:pt idx="87">
                  <c:v>121</c:v>
                </c:pt>
                <c:pt idx="88">
                  <c:v>124</c:v>
                </c:pt>
                <c:pt idx="89">
                  <c:v>77</c:v>
                </c:pt>
                <c:pt idx="90">
                  <c:v>50</c:v>
                </c:pt>
                <c:pt idx="91">
                  <c:v>296</c:v>
                </c:pt>
                <c:pt idx="92">
                  <c:v>60</c:v>
                </c:pt>
                <c:pt idx="93">
                  <c:v>299</c:v>
                </c:pt>
                <c:pt idx="94">
                  <c:v>33</c:v>
                </c:pt>
                <c:pt idx="95">
                  <c:v>48</c:v>
                </c:pt>
                <c:pt idx="96">
                  <c:v>103</c:v>
                </c:pt>
                <c:pt idx="97">
                  <c:v>52</c:v>
                </c:pt>
                <c:pt idx="98">
                  <c:v>161</c:v>
                </c:pt>
                <c:pt idx="99">
                  <c:v>228</c:v>
                </c:pt>
                <c:pt idx="100">
                  <c:v>66</c:v>
                </c:pt>
                <c:pt idx="101">
                  <c:v>91</c:v>
                </c:pt>
                <c:pt idx="102">
                  <c:v>66</c:v>
                </c:pt>
                <c:pt idx="103">
                  <c:v>304</c:v>
                </c:pt>
                <c:pt idx="104">
                  <c:v>97</c:v>
                </c:pt>
                <c:pt idx="105">
                  <c:v>62</c:v>
                </c:pt>
                <c:pt idx="106">
                  <c:v>127</c:v>
                </c:pt>
                <c:pt idx="107">
                  <c:v>360</c:v>
                </c:pt>
                <c:pt idx="108">
                  <c:v>142</c:v>
                </c:pt>
                <c:pt idx="109">
                  <c:v>159</c:v>
                </c:pt>
                <c:pt idx="110">
                  <c:v>279</c:v>
                </c:pt>
                <c:pt idx="111">
                  <c:v>207</c:v>
                </c:pt>
                <c:pt idx="112">
                  <c:v>226</c:v>
                </c:pt>
                <c:pt idx="113">
                  <c:v>317</c:v>
                </c:pt>
                <c:pt idx="114">
                  <c:v>163</c:v>
                </c:pt>
                <c:pt idx="115">
                  <c:v>132</c:v>
                </c:pt>
                <c:pt idx="116">
                  <c:v>132</c:v>
                </c:pt>
                <c:pt idx="117">
                  <c:v>195</c:v>
                </c:pt>
                <c:pt idx="118">
                  <c:v>121</c:v>
                </c:pt>
                <c:pt idx="119">
                  <c:v>150</c:v>
                </c:pt>
                <c:pt idx="120">
                  <c:v>43</c:v>
                </c:pt>
                <c:pt idx="121">
                  <c:v>278</c:v>
                </c:pt>
                <c:pt idx="122">
                  <c:v>166</c:v>
                </c:pt>
                <c:pt idx="123">
                  <c:v>119</c:v>
                </c:pt>
                <c:pt idx="124">
                  <c:v>194</c:v>
                </c:pt>
                <c:pt idx="125">
                  <c:v>39</c:v>
                </c:pt>
                <c:pt idx="126">
                  <c:v>115</c:v>
                </c:pt>
                <c:pt idx="127">
                  <c:v>231</c:v>
                </c:pt>
                <c:pt idx="128">
                  <c:v>375</c:v>
                </c:pt>
                <c:pt idx="129">
                  <c:v>356</c:v>
                </c:pt>
                <c:pt idx="130">
                  <c:v>1</c:v>
                </c:pt>
                <c:pt idx="131">
                  <c:v>93</c:v>
                </c:pt>
                <c:pt idx="132">
                  <c:v>44</c:v>
                </c:pt>
                <c:pt idx="133">
                  <c:v>156</c:v>
                </c:pt>
                <c:pt idx="134">
                  <c:v>309</c:v>
                </c:pt>
                <c:pt idx="135">
                  <c:v>180</c:v>
                </c:pt>
                <c:pt idx="136">
                  <c:v>321</c:v>
                </c:pt>
                <c:pt idx="137">
                  <c:v>579</c:v>
                </c:pt>
                <c:pt idx="138">
                  <c:v>563</c:v>
                </c:pt>
                <c:pt idx="139">
                  <c:v>83</c:v>
                </c:pt>
                <c:pt idx="140">
                  <c:v>126</c:v>
                </c:pt>
                <c:pt idx="141">
                  <c:v>188</c:v>
                </c:pt>
                <c:pt idx="142">
                  <c:v>514</c:v>
                </c:pt>
                <c:pt idx="143">
                  <c:v>444</c:v>
                </c:pt>
                <c:pt idx="144">
                  <c:v>363</c:v>
                </c:pt>
                <c:pt idx="145">
                  <c:v>99</c:v>
                </c:pt>
                <c:pt idx="146">
                  <c:v>150</c:v>
                </c:pt>
                <c:pt idx="147">
                  <c:v>170</c:v>
                </c:pt>
                <c:pt idx="148">
                  <c:v>400</c:v>
                </c:pt>
                <c:pt idx="149">
                  <c:v>223</c:v>
                </c:pt>
                <c:pt idx="150">
                  <c:v>141</c:v>
                </c:pt>
                <c:pt idx="151">
                  <c:v>17</c:v>
                </c:pt>
                <c:pt idx="152">
                  <c:v>293</c:v>
                </c:pt>
                <c:pt idx="153">
                  <c:v>140</c:v>
                </c:pt>
                <c:pt idx="154">
                  <c:v>251</c:v>
                </c:pt>
                <c:pt idx="155">
                  <c:v>207</c:v>
                </c:pt>
                <c:pt idx="156">
                  <c:v>88</c:v>
                </c:pt>
                <c:pt idx="157">
                  <c:v>90</c:v>
                </c:pt>
                <c:pt idx="158">
                  <c:v>237</c:v>
                </c:pt>
                <c:pt idx="159">
                  <c:v>187</c:v>
                </c:pt>
                <c:pt idx="160">
                  <c:v>302</c:v>
                </c:pt>
                <c:pt idx="161">
                  <c:v>93</c:v>
                </c:pt>
                <c:pt idx="162">
                  <c:v>129</c:v>
                </c:pt>
                <c:pt idx="163">
                  <c:v>159</c:v>
                </c:pt>
                <c:pt idx="164">
                  <c:v>28</c:v>
                </c:pt>
                <c:pt idx="165">
                  <c:v>226</c:v>
                </c:pt>
                <c:pt idx="166">
                  <c:v>9</c:v>
                </c:pt>
                <c:pt idx="167">
                  <c:v>37</c:v>
                </c:pt>
                <c:pt idx="168">
                  <c:v>214</c:v>
                </c:pt>
                <c:pt idx="169">
                  <c:v>85</c:v>
                </c:pt>
                <c:pt idx="170">
                  <c:v>49</c:v>
                </c:pt>
                <c:pt idx="171">
                  <c:v>79</c:v>
                </c:pt>
                <c:pt idx="172">
                  <c:v>31</c:v>
                </c:pt>
                <c:pt idx="173">
                  <c:v>132</c:v>
                </c:pt>
                <c:pt idx="174">
                  <c:v>39</c:v>
                </c:pt>
                <c:pt idx="175">
                  <c:v>48</c:v>
                </c:pt>
                <c:pt idx="176">
                  <c:v>394</c:v>
                </c:pt>
                <c:pt idx="177">
                  <c:v>209</c:v>
                </c:pt>
                <c:pt idx="178">
                  <c:v>259</c:v>
                </c:pt>
                <c:pt idx="179">
                  <c:v>206</c:v>
                </c:pt>
                <c:pt idx="180">
                  <c:v>18</c:v>
                </c:pt>
                <c:pt idx="181">
                  <c:v>303</c:v>
                </c:pt>
                <c:pt idx="182">
                  <c:v>44</c:v>
                </c:pt>
                <c:pt idx="183">
                  <c:v>46</c:v>
                </c:pt>
                <c:pt idx="184">
                  <c:v>40</c:v>
                </c:pt>
                <c:pt idx="185">
                  <c:v>295</c:v>
                </c:pt>
                <c:pt idx="186">
                  <c:v>143</c:v>
                </c:pt>
                <c:pt idx="187">
                  <c:v>50</c:v>
                </c:pt>
                <c:pt idx="188">
                  <c:v>98</c:v>
                </c:pt>
                <c:pt idx="189">
                  <c:v>49</c:v>
                </c:pt>
                <c:pt idx="190">
                  <c:v>206</c:v>
                </c:pt>
                <c:pt idx="191">
                  <c:v>294</c:v>
                </c:pt>
                <c:pt idx="192">
                  <c:v>197</c:v>
                </c:pt>
                <c:pt idx="193">
                  <c:v>110</c:v>
                </c:pt>
                <c:pt idx="194">
                  <c:v>103</c:v>
                </c:pt>
                <c:pt idx="195">
                  <c:v>154</c:v>
                </c:pt>
                <c:pt idx="196">
                  <c:v>95</c:v>
                </c:pt>
                <c:pt idx="197">
                  <c:v>117</c:v>
                </c:pt>
                <c:pt idx="198">
                  <c:v>161</c:v>
                </c:pt>
                <c:pt idx="199">
                  <c:v>200</c:v>
                </c:pt>
                <c:pt idx="200">
                  <c:v>153</c:v>
                </c:pt>
                <c:pt idx="201">
                  <c:v>15</c:v>
                </c:pt>
                <c:pt idx="202">
                  <c:v>279</c:v>
                </c:pt>
                <c:pt idx="203">
                  <c:v>79</c:v>
                </c:pt>
                <c:pt idx="204">
                  <c:v>255</c:v>
                </c:pt>
                <c:pt idx="205">
                  <c:v>252</c:v>
                </c:pt>
                <c:pt idx="206">
                  <c:v>97</c:v>
                </c:pt>
                <c:pt idx="207">
                  <c:v>324</c:v>
                </c:pt>
                <c:pt idx="208">
                  <c:v>291</c:v>
                </c:pt>
                <c:pt idx="209">
                  <c:v>62</c:v>
                </c:pt>
                <c:pt idx="210">
                  <c:v>417</c:v>
                </c:pt>
                <c:pt idx="211">
                  <c:v>452</c:v>
                </c:pt>
                <c:pt idx="212">
                  <c:v>165</c:v>
                </c:pt>
                <c:pt idx="213">
                  <c:v>152</c:v>
                </c:pt>
                <c:pt idx="214">
                  <c:v>226</c:v>
                </c:pt>
                <c:pt idx="215">
                  <c:v>16</c:v>
                </c:pt>
                <c:pt idx="216">
                  <c:v>116</c:v>
                </c:pt>
                <c:pt idx="217">
                  <c:v>83</c:v>
                </c:pt>
                <c:pt idx="218">
                  <c:v>45</c:v>
                </c:pt>
                <c:pt idx="219">
                  <c:v>15</c:v>
                </c:pt>
                <c:pt idx="220">
                  <c:v>197</c:v>
                </c:pt>
                <c:pt idx="221">
                  <c:v>335</c:v>
                </c:pt>
                <c:pt idx="222">
                  <c:v>380</c:v>
                </c:pt>
                <c:pt idx="223">
                  <c:v>105</c:v>
                </c:pt>
                <c:pt idx="224">
                  <c:v>343</c:v>
                </c:pt>
                <c:pt idx="225">
                  <c:v>228</c:v>
                </c:pt>
                <c:pt idx="226">
                  <c:v>66</c:v>
                </c:pt>
                <c:pt idx="227">
                  <c:v>195</c:v>
                </c:pt>
                <c:pt idx="228">
                  <c:v>53</c:v>
                </c:pt>
                <c:pt idx="229">
                  <c:v>79</c:v>
                </c:pt>
                <c:pt idx="230">
                  <c:v>196</c:v>
                </c:pt>
                <c:pt idx="231">
                  <c:v>17</c:v>
                </c:pt>
                <c:pt idx="232">
                  <c:v>248</c:v>
                </c:pt>
                <c:pt idx="233">
                  <c:v>121</c:v>
                </c:pt>
                <c:pt idx="234">
                  <c:v>55</c:v>
                </c:pt>
                <c:pt idx="235">
                  <c:v>341</c:v>
                </c:pt>
                <c:pt idx="236">
                  <c:v>114</c:v>
                </c:pt>
                <c:pt idx="237">
                  <c:v>238</c:v>
                </c:pt>
                <c:pt idx="238">
                  <c:v>317</c:v>
                </c:pt>
                <c:pt idx="239">
                  <c:v>197</c:v>
                </c:pt>
                <c:pt idx="240">
                  <c:v>85</c:v>
                </c:pt>
                <c:pt idx="241">
                  <c:v>271</c:v>
                </c:pt>
                <c:pt idx="242">
                  <c:v>138</c:v>
                </c:pt>
                <c:pt idx="243">
                  <c:v>107</c:v>
                </c:pt>
                <c:pt idx="244">
                  <c:v>30</c:v>
                </c:pt>
                <c:pt idx="245">
                  <c:v>310</c:v>
                </c:pt>
                <c:pt idx="246">
                  <c:v>56</c:v>
                </c:pt>
                <c:pt idx="247">
                  <c:v>147</c:v>
                </c:pt>
                <c:pt idx="248">
                  <c:v>92</c:v>
                </c:pt>
                <c:pt idx="249">
                  <c:v>170</c:v>
                </c:pt>
                <c:pt idx="250">
                  <c:v>147</c:v>
                </c:pt>
                <c:pt idx="251">
                  <c:v>211</c:v>
                </c:pt>
                <c:pt idx="252">
                  <c:v>168</c:v>
                </c:pt>
                <c:pt idx="253">
                  <c:v>348</c:v>
                </c:pt>
                <c:pt idx="254">
                  <c:v>211</c:v>
                </c:pt>
                <c:pt idx="255">
                  <c:v>262</c:v>
                </c:pt>
                <c:pt idx="256">
                  <c:v>268</c:v>
                </c:pt>
                <c:pt idx="257">
                  <c:v>231</c:v>
                </c:pt>
                <c:pt idx="258">
                  <c:v>315</c:v>
                </c:pt>
                <c:pt idx="259">
                  <c:v>76</c:v>
                </c:pt>
                <c:pt idx="260">
                  <c:v>15</c:v>
                </c:pt>
                <c:pt idx="261">
                  <c:v>59</c:v>
                </c:pt>
                <c:pt idx="262">
                  <c:v>64</c:v>
                </c:pt>
                <c:pt idx="263">
                  <c:v>32</c:v>
                </c:pt>
                <c:pt idx="264">
                  <c:v>11</c:v>
                </c:pt>
                <c:pt idx="265">
                  <c:v>215</c:v>
                </c:pt>
                <c:pt idx="266">
                  <c:v>3</c:v>
                </c:pt>
                <c:pt idx="267">
                  <c:v>53</c:v>
                </c:pt>
                <c:pt idx="268">
                  <c:v>81</c:v>
                </c:pt>
                <c:pt idx="269">
                  <c:v>320</c:v>
                </c:pt>
                <c:pt idx="270">
                  <c:v>162</c:v>
                </c:pt>
                <c:pt idx="271">
                  <c:v>272</c:v>
                </c:pt>
                <c:pt idx="272">
                  <c:v>78</c:v>
                </c:pt>
                <c:pt idx="273">
                  <c:v>87</c:v>
                </c:pt>
                <c:pt idx="274">
                  <c:v>130</c:v>
                </c:pt>
                <c:pt idx="275">
                  <c:v>79</c:v>
                </c:pt>
                <c:pt idx="276">
                  <c:v>200</c:v>
                </c:pt>
                <c:pt idx="277">
                  <c:v>256</c:v>
                </c:pt>
                <c:pt idx="278">
                  <c:v>203</c:v>
                </c:pt>
                <c:pt idx="279">
                  <c:v>172</c:v>
                </c:pt>
                <c:pt idx="280">
                  <c:v>289</c:v>
                </c:pt>
                <c:pt idx="281">
                  <c:v>234</c:v>
                </c:pt>
                <c:pt idx="282">
                  <c:v>147</c:v>
                </c:pt>
                <c:pt idx="283">
                  <c:v>514</c:v>
                </c:pt>
                <c:pt idx="284">
                  <c:v>227</c:v>
                </c:pt>
                <c:pt idx="285">
                  <c:v>271</c:v>
                </c:pt>
                <c:pt idx="286">
                  <c:v>38</c:v>
                </c:pt>
                <c:pt idx="287">
                  <c:v>363</c:v>
                </c:pt>
                <c:pt idx="288">
                  <c:v>187</c:v>
                </c:pt>
                <c:pt idx="289">
                  <c:v>174</c:v>
                </c:pt>
                <c:pt idx="290">
                  <c:v>196</c:v>
                </c:pt>
                <c:pt idx="291">
                  <c:v>89</c:v>
                </c:pt>
                <c:pt idx="292">
                  <c:v>143</c:v>
                </c:pt>
                <c:pt idx="293">
                  <c:v>266</c:v>
                </c:pt>
                <c:pt idx="294">
                  <c:v>32</c:v>
                </c:pt>
                <c:pt idx="295">
                  <c:v>41</c:v>
                </c:pt>
              </c:numCache>
            </c:numRef>
          </c:xVal>
          <c:yVal>
            <c:numRef>
              <c:f>Data!$AC$3:$AC$298</c:f>
              <c:numCache>
                <c:formatCode>0</c:formatCode>
                <c:ptCount val="296"/>
                <c:pt idx="0">
                  <c:v>61.927144535840185</c:v>
                </c:pt>
                <c:pt idx="1">
                  <c:v>65.289912629070685</c:v>
                </c:pt>
                <c:pt idx="2">
                  <c:v>67.234042553191486</c:v>
                </c:pt>
                <c:pt idx="3">
                  <c:v>66.304347826086953</c:v>
                </c:pt>
                <c:pt idx="4">
                  <c:v>68.929804372842355</c:v>
                </c:pt>
                <c:pt idx="5">
                  <c:v>61.801801801801801</c:v>
                </c:pt>
                <c:pt idx="6">
                  <c:v>83.923705722070835</c:v>
                </c:pt>
                <c:pt idx="7">
                  <c:v>73.315363881401623</c:v>
                </c:pt>
                <c:pt idx="8">
                  <c:v>71.403661726242376</c:v>
                </c:pt>
                <c:pt idx="9">
                  <c:v>73.638613861386133</c:v>
                </c:pt>
                <c:pt idx="10">
                  <c:v>74.212598425196859</c:v>
                </c:pt>
                <c:pt idx="11">
                  <c:v>70.099999999999994</c:v>
                </c:pt>
                <c:pt idx="12">
                  <c:v>68.7007874015748</c:v>
                </c:pt>
                <c:pt idx="13">
                  <c:v>78.489326765188835</c:v>
                </c:pt>
                <c:pt idx="14">
                  <c:v>64.629258517034074</c:v>
                </c:pt>
                <c:pt idx="15">
                  <c:v>77.731092436974791</c:v>
                </c:pt>
                <c:pt idx="16">
                  <c:v>77.556109725685786</c:v>
                </c:pt>
                <c:pt idx="17">
                  <c:v>80.303030303030297</c:v>
                </c:pt>
                <c:pt idx="18">
                  <c:v>72.507122507122517</c:v>
                </c:pt>
                <c:pt idx="19">
                  <c:v>75.225225225225216</c:v>
                </c:pt>
                <c:pt idx="20">
                  <c:v>56.740914419695201</c:v>
                </c:pt>
                <c:pt idx="21">
                  <c:v>81.066376496191523</c:v>
                </c:pt>
                <c:pt idx="22">
                  <c:v>63.278171788810091</c:v>
                </c:pt>
                <c:pt idx="23">
                  <c:v>68.172484599589325</c:v>
                </c:pt>
                <c:pt idx="24">
                  <c:v>77.041942604856516</c:v>
                </c:pt>
                <c:pt idx="25">
                  <c:v>70.588235294117652</c:v>
                </c:pt>
                <c:pt idx="26">
                  <c:v>69.80552712384852</c:v>
                </c:pt>
                <c:pt idx="27">
                  <c:v>70.512820512820511</c:v>
                </c:pt>
                <c:pt idx="28">
                  <c:v>82.636148382004734</c:v>
                </c:pt>
                <c:pt idx="29">
                  <c:v>80.824742268041234</c:v>
                </c:pt>
                <c:pt idx="30">
                  <c:v>63.530391340549542</c:v>
                </c:pt>
                <c:pt idx="31">
                  <c:v>85.440613026819918</c:v>
                </c:pt>
                <c:pt idx="32">
                  <c:v>76.936316695352829</c:v>
                </c:pt>
                <c:pt idx="33">
                  <c:v>87.435897435897431</c:v>
                </c:pt>
                <c:pt idx="34">
                  <c:v>86.444444444444443</c:v>
                </c:pt>
                <c:pt idx="35">
                  <c:v>67.627494456762747</c:v>
                </c:pt>
                <c:pt idx="36">
                  <c:v>74.781849912739958</c:v>
                </c:pt>
                <c:pt idx="37">
                  <c:v>73.727272727272734</c:v>
                </c:pt>
                <c:pt idx="38">
                  <c:v>76.348547717842322</c:v>
                </c:pt>
                <c:pt idx="39">
                  <c:v>66.725352112676063</c:v>
                </c:pt>
                <c:pt idx="40">
                  <c:v>74.493927125506076</c:v>
                </c:pt>
                <c:pt idx="41">
                  <c:v>70.204841713221597</c:v>
                </c:pt>
                <c:pt idx="42">
                  <c:v>58.995327102803742</c:v>
                </c:pt>
                <c:pt idx="43">
                  <c:v>59.528487229862471</c:v>
                </c:pt>
                <c:pt idx="44">
                  <c:v>78.472222222222214</c:v>
                </c:pt>
                <c:pt idx="45">
                  <c:v>70.44145873320538</c:v>
                </c:pt>
                <c:pt idx="46">
                  <c:v>67.344632768361578</c:v>
                </c:pt>
                <c:pt idx="47">
                  <c:v>61.300813008130085</c:v>
                </c:pt>
                <c:pt idx="48">
                  <c:v>53.333333333333336</c:v>
                </c:pt>
                <c:pt idx="49">
                  <c:v>59.55801104972376</c:v>
                </c:pt>
                <c:pt idx="50">
                  <c:v>67.64705882352942</c:v>
                </c:pt>
                <c:pt idx="51">
                  <c:v>66.666666666666657</c:v>
                </c:pt>
                <c:pt idx="52">
                  <c:v>61.852166525063723</c:v>
                </c:pt>
                <c:pt idx="53">
                  <c:v>67.429443173150275</c:v>
                </c:pt>
                <c:pt idx="54">
                  <c:v>62.572254335260112</c:v>
                </c:pt>
                <c:pt idx="55">
                  <c:v>63.945028294260311</c:v>
                </c:pt>
                <c:pt idx="56">
                  <c:v>60.79545454545454</c:v>
                </c:pt>
                <c:pt idx="57">
                  <c:v>52.530933633295838</c:v>
                </c:pt>
                <c:pt idx="58">
                  <c:v>62.267343485617602</c:v>
                </c:pt>
                <c:pt idx="59">
                  <c:v>58.396624472573841</c:v>
                </c:pt>
                <c:pt idx="60">
                  <c:v>64.122137404580144</c:v>
                </c:pt>
                <c:pt idx="61">
                  <c:v>59.285714285714285</c:v>
                </c:pt>
                <c:pt idx="62">
                  <c:v>52.989449003516995</c:v>
                </c:pt>
                <c:pt idx="63">
                  <c:v>56.739305891848268</c:v>
                </c:pt>
                <c:pt idx="64">
                  <c:v>70.136986301369859</c:v>
                </c:pt>
                <c:pt idx="65">
                  <c:v>63.626834381551369</c:v>
                </c:pt>
                <c:pt idx="66">
                  <c:v>62.690707350901533</c:v>
                </c:pt>
                <c:pt idx="67">
                  <c:v>59.345794392523366</c:v>
                </c:pt>
                <c:pt idx="68">
                  <c:v>67.785234899328856</c:v>
                </c:pt>
                <c:pt idx="69">
                  <c:v>64.038128249566725</c:v>
                </c:pt>
                <c:pt idx="70">
                  <c:v>77.979274611398964</c:v>
                </c:pt>
                <c:pt idx="71">
                  <c:v>49.466192170818509</c:v>
                </c:pt>
                <c:pt idx="72">
                  <c:v>74.285714285714292</c:v>
                </c:pt>
                <c:pt idx="73">
                  <c:v>84.793814432989691</c:v>
                </c:pt>
                <c:pt idx="74">
                  <c:v>90.759493670886073</c:v>
                </c:pt>
                <c:pt idx="75">
                  <c:v>44.703230653643878</c:v>
                </c:pt>
                <c:pt idx="76">
                  <c:v>78.173913043478265</c:v>
                </c:pt>
                <c:pt idx="77">
                  <c:v>87.244094488188978</c:v>
                </c:pt>
                <c:pt idx="78">
                  <c:v>47.357723577235774</c:v>
                </c:pt>
                <c:pt idx="79">
                  <c:v>80.235294117647058</c:v>
                </c:pt>
                <c:pt idx="80">
                  <c:v>62.219451371571076</c:v>
                </c:pt>
                <c:pt idx="81">
                  <c:v>74.96503496503496</c:v>
                </c:pt>
                <c:pt idx="82">
                  <c:v>74.787878787878796</c:v>
                </c:pt>
                <c:pt idx="83">
                  <c:v>58.264150943396231</c:v>
                </c:pt>
                <c:pt idx="84">
                  <c:v>69.606903163950136</c:v>
                </c:pt>
                <c:pt idx="85">
                  <c:v>64.938271604938265</c:v>
                </c:pt>
                <c:pt idx="86">
                  <c:v>55.555555555555557</c:v>
                </c:pt>
                <c:pt idx="87">
                  <c:v>84.461538461538467</c:v>
                </c:pt>
                <c:pt idx="88">
                  <c:v>80</c:v>
                </c:pt>
                <c:pt idx="89">
                  <c:v>77.789699570815458</c:v>
                </c:pt>
                <c:pt idx="90">
                  <c:v>70.434782608695656</c:v>
                </c:pt>
                <c:pt idx="91">
                  <c:v>71.300448430493262</c:v>
                </c:pt>
                <c:pt idx="92">
                  <c:v>82.705882352941174</c:v>
                </c:pt>
                <c:pt idx="93">
                  <c:v>87.274290627687009</c:v>
                </c:pt>
                <c:pt idx="94">
                  <c:v>88.666666666666671</c:v>
                </c:pt>
                <c:pt idx="95">
                  <c:v>90.941176470588232</c:v>
                </c:pt>
                <c:pt idx="96">
                  <c:v>88.666666666666671</c:v>
                </c:pt>
                <c:pt idx="97">
                  <c:v>79.111111111111114</c:v>
                </c:pt>
                <c:pt idx="98">
                  <c:v>72.322503008423595</c:v>
                </c:pt>
                <c:pt idx="99">
                  <c:v>79.106280193236714</c:v>
                </c:pt>
                <c:pt idx="100">
                  <c:v>70.35175879396985</c:v>
                </c:pt>
                <c:pt idx="101">
                  <c:v>74.354838709677423</c:v>
                </c:pt>
                <c:pt idx="102">
                  <c:v>66.536964980544738</c:v>
                </c:pt>
                <c:pt idx="103">
                  <c:v>76.638655462184886</c:v>
                </c:pt>
                <c:pt idx="104">
                  <c:v>67.339771729587355</c:v>
                </c:pt>
                <c:pt idx="105">
                  <c:v>65.226554267650158</c:v>
                </c:pt>
                <c:pt idx="106">
                  <c:v>62.745098039215684</c:v>
                </c:pt>
                <c:pt idx="107">
                  <c:v>83.52000000000001</c:v>
                </c:pt>
                <c:pt idx="108">
                  <c:v>83.043478260869563</c:v>
                </c:pt>
                <c:pt idx="109">
                  <c:v>90.941176470588232</c:v>
                </c:pt>
                <c:pt idx="110">
                  <c:v>68.373493975903614</c:v>
                </c:pt>
                <c:pt idx="111">
                  <c:v>58.881256133464177</c:v>
                </c:pt>
                <c:pt idx="112">
                  <c:v>89.07692307692308</c:v>
                </c:pt>
                <c:pt idx="113">
                  <c:v>85.68421052631578</c:v>
                </c:pt>
                <c:pt idx="114">
                  <c:v>87.138263665594849</c:v>
                </c:pt>
                <c:pt idx="115">
                  <c:v>81.5</c:v>
                </c:pt>
                <c:pt idx="116">
                  <c:v>48.050139275766021</c:v>
                </c:pt>
                <c:pt idx="117">
                  <c:v>51.309523809523803</c:v>
                </c:pt>
                <c:pt idx="118">
                  <c:v>84.857142857142847</c:v>
                </c:pt>
                <c:pt idx="119">
                  <c:v>37.472283813747225</c:v>
                </c:pt>
                <c:pt idx="120">
                  <c:v>66.410748560460647</c:v>
                </c:pt>
                <c:pt idx="121">
                  <c:v>63.074204946996474</c:v>
                </c:pt>
                <c:pt idx="122">
                  <c:v>84.468937875751507</c:v>
                </c:pt>
                <c:pt idx="123">
                  <c:v>88.235294117647058</c:v>
                </c:pt>
                <c:pt idx="124">
                  <c:v>61.923847695390776</c:v>
                </c:pt>
                <c:pt idx="125">
                  <c:v>42.700729927007295</c:v>
                </c:pt>
                <c:pt idx="126">
                  <c:v>74.148296593186373</c:v>
                </c:pt>
                <c:pt idx="127">
                  <c:v>83.230769230769226</c:v>
                </c:pt>
                <c:pt idx="128">
                  <c:v>84.15384615384616</c:v>
                </c:pt>
                <c:pt idx="129">
                  <c:v>85.466666666666669</c:v>
                </c:pt>
                <c:pt idx="130">
                  <c:v>81.941747572815544</c:v>
                </c:pt>
                <c:pt idx="131">
                  <c:v>65.4368932038835</c:v>
                </c:pt>
                <c:pt idx="132">
                  <c:v>55.306718597857838</c:v>
                </c:pt>
                <c:pt idx="133">
                  <c:v>46.236559139784944</c:v>
                </c:pt>
                <c:pt idx="134">
                  <c:v>88.95348837209302</c:v>
                </c:pt>
                <c:pt idx="135">
                  <c:v>50.215331610680444</c:v>
                </c:pt>
                <c:pt idx="136">
                  <c:v>72.438162544169614</c:v>
                </c:pt>
                <c:pt idx="137">
                  <c:v>66.523605150214593</c:v>
                </c:pt>
                <c:pt idx="138">
                  <c:v>78.142695356738386</c:v>
                </c:pt>
                <c:pt idx="139">
                  <c:v>88.941176470588232</c:v>
                </c:pt>
                <c:pt idx="140">
                  <c:v>87.571428571428569</c:v>
                </c:pt>
                <c:pt idx="141">
                  <c:v>35.060728744939276</c:v>
                </c:pt>
                <c:pt idx="142">
                  <c:v>81.729920564872018</c:v>
                </c:pt>
                <c:pt idx="143">
                  <c:v>75.391032325338898</c:v>
                </c:pt>
                <c:pt idx="144">
                  <c:v>75.466666666666669</c:v>
                </c:pt>
                <c:pt idx="145">
                  <c:v>17.849898580121703</c:v>
                </c:pt>
                <c:pt idx="146">
                  <c:v>94.428571428571431</c:v>
                </c:pt>
                <c:pt idx="147">
                  <c:v>44.358407079646014</c:v>
                </c:pt>
                <c:pt idx="148">
                  <c:v>82.888349514563103</c:v>
                </c:pt>
                <c:pt idx="149">
                  <c:v>70.219435736677113</c:v>
                </c:pt>
                <c:pt idx="150">
                  <c:v>88.647342995169083</c:v>
                </c:pt>
                <c:pt idx="151">
                  <c:v>64.0625</c:v>
                </c:pt>
                <c:pt idx="152">
                  <c:v>89.130434782608688</c:v>
                </c:pt>
                <c:pt idx="153">
                  <c:v>38.505747126436781</c:v>
                </c:pt>
                <c:pt idx="154">
                  <c:v>84.260869565217391</c:v>
                </c:pt>
                <c:pt idx="155">
                  <c:v>50.046425255338903</c:v>
                </c:pt>
                <c:pt idx="156">
                  <c:v>93.368421052631575</c:v>
                </c:pt>
                <c:pt idx="157">
                  <c:v>70.491803278688522</c:v>
                </c:pt>
                <c:pt idx="158">
                  <c:v>63.225255972696246</c:v>
                </c:pt>
                <c:pt idx="159">
                  <c:v>80.058939096267196</c:v>
                </c:pt>
                <c:pt idx="160">
                  <c:v>97.25</c:v>
                </c:pt>
                <c:pt idx="161">
                  <c:v>37.799043062200951</c:v>
                </c:pt>
                <c:pt idx="162">
                  <c:v>84.444444444444443</c:v>
                </c:pt>
                <c:pt idx="163">
                  <c:v>88.478260869565219</c:v>
                </c:pt>
                <c:pt idx="164">
                  <c:v>42.695356738391851</c:v>
                </c:pt>
                <c:pt idx="165">
                  <c:v>96</c:v>
                </c:pt>
                <c:pt idx="166">
                  <c:v>78.461538461538467</c:v>
                </c:pt>
                <c:pt idx="167">
                  <c:v>87.739130434782609</c:v>
                </c:pt>
                <c:pt idx="168">
                  <c:v>88.293370944992944</c:v>
                </c:pt>
                <c:pt idx="169">
                  <c:v>84.755244755244746</c:v>
                </c:pt>
                <c:pt idx="170">
                  <c:v>52.281368821292773</c:v>
                </c:pt>
                <c:pt idx="171">
                  <c:v>98.125</c:v>
                </c:pt>
                <c:pt idx="172">
                  <c:v>40.522875816993462</c:v>
                </c:pt>
                <c:pt idx="173">
                  <c:v>85.568917668825165</c:v>
                </c:pt>
                <c:pt idx="174">
                  <c:v>58.080808080808076</c:v>
                </c:pt>
                <c:pt idx="175">
                  <c:v>85.28</c:v>
                </c:pt>
                <c:pt idx="176">
                  <c:v>79.130434782608688</c:v>
                </c:pt>
                <c:pt idx="177">
                  <c:v>61.60145586897179</c:v>
                </c:pt>
                <c:pt idx="178">
                  <c:v>56.913674560733384</c:v>
                </c:pt>
                <c:pt idx="179">
                  <c:v>81</c:v>
                </c:pt>
                <c:pt idx="180">
                  <c:v>28.901273885350321</c:v>
                </c:pt>
                <c:pt idx="181">
                  <c:v>88.08695652173914</c:v>
                </c:pt>
                <c:pt idx="182">
                  <c:v>68.734283319362959</c:v>
                </c:pt>
                <c:pt idx="183">
                  <c:v>64.506405425772414</c:v>
                </c:pt>
                <c:pt idx="184">
                  <c:v>80.032599837000816</c:v>
                </c:pt>
                <c:pt idx="185">
                  <c:v>78.536184210526315</c:v>
                </c:pt>
                <c:pt idx="186">
                  <c:v>85.017421602787451</c:v>
                </c:pt>
                <c:pt idx="187">
                  <c:v>69.521410579345087</c:v>
                </c:pt>
                <c:pt idx="188">
                  <c:v>78.75329236172081</c:v>
                </c:pt>
                <c:pt idx="189">
                  <c:v>88.222222222222229</c:v>
                </c:pt>
                <c:pt idx="190">
                  <c:v>79.807692307692307</c:v>
                </c:pt>
                <c:pt idx="191">
                  <c:v>72.881355932203391</c:v>
                </c:pt>
                <c:pt idx="192">
                  <c:v>58.534233365477341</c:v>
                </c:pt>
                <c:pt idx="193">
                  <c:v>90.434782608695656</c:v>
                </c:pt>
                <c:pt idx="194">
                  <c:v>21.393841166936792</c:v>
                </c:pt>
                <c:pt idx="195">
                  <c:v>88.775510204081627</c:v>
                </c:pt>
                <c:pt idx="196">
                  <c:v>52.689075630252105</c:v>
                </c:pt>
                <c:pt idx="197">
                  <c:v>88.842105263157904</c:v>
                </c:pt>
                <c:pt idx="198">
                  <c:v>51.419878296146052</c:v>
                </c:pt>
                <c:pt idx="199">
                  <c:v>92.352941176470594</c:v>
                </c:pt>
                <c:pt idx="200">
                  <c:v>57.665505226480839</c:v>
                </c:pt>
                <c:pt idx="201">
                  <c:v>49.556400506970846</c:v>
                </c:pt>
                <c:pt idx="202">
                  <c:v>51.322233104799217</c:v>
                </c:pt>
                <c:pt idx="203">
                  <c:v>67.776689520078364</c:v>
                </c:pt>
                <c:pt idx="204">
                  <c:v>72.435105067985162</c:v>
                </c:pt>
                <c:pt idx="205">
                  <c:v>64.886251236399602</c:v>
                </c:pt>
                <c:pt idx="206">
                  <c:v>65.245009074410163</c:v>
                </c:pt>
                <c:pt idx="207">
                  <c:v>70.478983382209194</c:v>
                </c:pt>
                <c:pt idx="208">
                  <c:v>54.056047197640126</c:v>
                </c:pt>
                <c:pt idx="209">
                  <c:v>87.777777777777771</c:v>
                </c:pt>
                <c:pt idx="210">
                  <c:v>91</c:v>
                </c:pt>
                <c:pt idx="211">
                  <c:v>80.465116279069775</c:v>
                </c:pt>
                <c:pt idx="212">
                  <c:v>67.403958090803258</c:v>
                </c:pt>
                <c:pt idx="213">
                  <c:v>84.173669467787121</c:v>
                </c:pt>
                <c:pt idx="214">
                  <c:v>87.2</c:v>
                </c:pt>
                <c:pt idx="215">
                  <c:v>97.613636363636374</c:v>
                </c:pt>
                <c:pt idx="216">
                  <c:v>78.545454545454547</c:v>
                </c:pt>
                <c:pt idx="217">
                  <c:v>53.949129852744313</c:v>
                </c:pt>
                <c:pt idx="218">
                  <c:v>83.015873015873026</c:v>
                </c:pt>
                <c:pt idx="219">
                  <c:v>50.658561296859176</c:v>
                </c:pt>
                <c:pt idx="220">
                  <c:v>89.17647058823529</c:v>
                </c:pt>
                <c:pt idx="221">
                  <c:v>87.545454545454547</c:v>
                </c:pt>
                <c:pt idx="222">
                  <c:v>86.956521739130437</c:v>
                </c:pt>
                <c:pt idx="223">
                  <c:v>54.384485666104553</c:v>
                </c:pt>
                <c:pt idx="224">
                  <c:v>85.142857142857139</c:v>
                </c:pt>
                <c:pt idx="225">
                  <c:v>89.333333333333329</c:v>
                </c:pt>
                <c:pt idx="226">
                  <c:v>23.48367029548989</c:v>
                </c:pt>
                <c:pt idx="227">
                  <c:v>61.161290322580641</c:v>
                </c:pt>
                <c:pt idx="228">
                  <c:v>86.933333333333323</c:v>
                </c:pt>
                <c:pt idx="229">
                  <c:v>48.506401137980085</c:v>
                </c:pt>
                <c:pt idx="230">
                  <c:v>57.207718501702608</c:v>
                </c:pt>
                <c:pt idx="231">
                  <c:v>55.813953488372093</c:v>
                </c:pt>
                <c:pt idx="232">
                  <c:v>77.184054283290919</c:v>
                </c:pt>
                <c:pt idx="233">
                  <c:v>87.173913043478251</c:v>
                </c:pt>
                <c:pt idx="234">
                  <c:v>46.093133385951063</c:v>
                </c:pt>
                <c:pt idx="235">
                  <c:v>92.886597938144334</c:v>
                </c:pt>
                <c:pt idx="236">
                  <c:v>41.86241610738255</c:v>
                </c:pt>
                <c:pt idx="237">
                  <c:v>92</c:v>
                </c:pt>
                <c:pt idx="238">
                  <c:v>67.280163599182004</c:v>
                </c:pt>
                <c:pt idx="239">
                  <c:v>91.5</c:v>
                </c:pt>
                <c:pt idx="240">
                  <c:v>85.416666666666657</c:v>
                </c:pt>
                <c:pt idx="241">
                  <c:v>57.071339173967459</c:v>
                </c:pt>
                <c:pt idx="242">
                  <c:v>54.263565891472865</c:v>
                </c:pt>
                <c:pt idx="243">
                  <c:v>97.125</c:v>
                </c:pt>
                <c:pt idx="244">
                  <c:v>67.48091603053436</c:v>
                </c:pt>
                <c:pt idx="245">
                  <c:v>49.170731707317074</c:v>
                </c:pt>
                <c:pt idx="246">
                  <c:v>56.767208043310134</c:v>
                </c:pt>
                <c:pt idx="247">
                  <c:v>94.699999999999989</c:v>
                </c:pt>
                <c:pt idx="248">
                  <c:v>39.916839916839919</c:v>
                </c:pt>
                <c:pt idx="249">
                  <c:v>85.78125</c:v>
                </c:pt>
                <c:pt idx="250">
                  <c:v>43.346774193548384</c:v>
                </c:pt>
                <c:pt idx="251">
                  <c:v>79.529411764705884</c:v>
                </c:pt>
                <c:pt idx="252">
                  <c:v>66.527777777777771</c:v>
                </c:pt>
                <c:pt idx="253">
                  <c:v>70.845070422535215</c:v>
                </c:pt>
                <c:pt idx="254">
                  <c:v>79.187817258883257</c:v>
                </c:pt>
                <c:pt idx="255">
                  <c:v>73.167981961668545</c:v>
                </c:pt>
                <c:pt idx="256">
                  <c:v>68.965517241379317</c:v>
                </c:pt>
                <c:pt idx="257">
                  <c:v>76.970954356846477</c:v>
                </c:pt>
                <c:pt idx="258">
                  <c:v>77.565982404692079</c:v>
                </c:pt>
                <c:pt idx="259">
                  <c:v>74.277854195323243</c:v>
                </c:pt>
                <c:pt idx="260">
                  <c:v>87.6</c:v>
                </c:pt>
                <c:pt idx="261">
                  <c:v>36.497890295358651</c:v>
                </c:pt>
                <c:pt idx="262">
                  <c:v>82.274247491638803</c:v>
                </c:pt>
                <c:pt idx="263">
                  <c:v>62.815126050420169</c:v>
                </c:pt>
                <c:pt idx="264">
                  <c:v>79.411764705882348</c:v>
                </c:pt>
                <c:pt idx="265">
                  <c:v>79.780960404380792</c:v>
                </c:pt>
                <c:pt idx="266">
                  <c:v>78.770131771595899</c:v>
                </c:pt>
                <c:pt idx="267">
                  <c:v>78.153846153846146</c:v>
                </c:pt>
                <c:pt idx="268">
                  <c:v>80.820695807314905</c:v>
                </c:pt>
                <c:pt idx="269">
                  <c:v>72.061482820976494</c:v>
                </c:pt>
                <c:pt idx="270">
                  <c:v>80.845771144278615</c:v>
                </c:pt>
                <c:pt idx="271">
                  <c:v>76.998050682261209</c:v>
                </c:pt>
                <c:pt idx="272">
                  <c:v>78.249097472924191</c:v>
                </c:pt>
                <c:pt idx="273">
                  <c:v>74.837310195227772</c:v>
                </c:pt>
                <c:pt idx="274">
                  <c:v>73.358490566037744</c:v>
                </c:pt>
                <c:pt idx="275">
                  <c:v>71.084337349397586</c:v>
                </c:pt>
                <c:pt idx="276">
                  <c:v>79.234449760765543</c:v>
                </c:pt>
                <c:pt idx="277">
                  <c:v>72.707263389581797</c:v>
                </c:pt>
                <c:pt idx="278">
                  <c:v>59.789156626506021</c:v>
                </c:pt>
                <c:pt idx="279">
                  <c:v>75.447570332480822</c:v>
                </c:pt>
                <c:pt idx="280">
                  <c:v>67.976190476190482</c:v>
                </c:pt>
                <c:pt idx="281">
                  <c:v>64.005602240896351</c:v>
                </c:pt>
                <c:pt idx="282">
                  <c:v>62.5</c:v>
                </c:pt>
                <c:pt idx="283">
                  <c:v>70.066334991708118</c:v>
                </c:pt>
                <c:pt idx="284">
                  <c:v>67.940552016985137</c:v>
                </c:pt>
                <c:pt idx="285">
                  <c:v>71.297989031078615</c:v>
                </c:pt>
                <c:pt idx="286">
                  <c:v>68.215767634854771</c:v>
                </c:pt>
                <c:pt idx="287">
                  <c:v>68.94514767932489</c:v>
                </c:pt>
                <c:pt idx="288">
                  <c:v>40.1673640167364</c:v>
                </c:pt>
                <c:pt idx="289">
                  <c:v>67.748917748917748</c:v>
                </c:pt>
                <c:pt idx="290">
                  <c:v>39.069264069264072</c:v>
                </c:pt>
                <c:pt idx="291">
                  <c:v>72.316384180790962</c:v>
                </c:pt>
                <c:pt idx="292">
                  <c:v>66.565349544072944</c:v>
                </c:pt>
                <c:pt idx="293">
                  <c:v>63.378995433789953</c:v>
                </c:pt>
                <c:pt idx="294">
                  <c:v>73.14225053078556</c:v>
                </c:pt>
                <c:pt idx="295">
                  <c:v>77.2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4-4F59-A56E-1F91A559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74064"/>
        <c:axId val="371269744"/>
      </c:scatterChart>
      <c:valAx>
        <c:axId val="37127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69744"/>
        <c:crosses val="autoZero"/>
        <c:crossBetween val="midCat"/>
      </c:valAx>
      <c:valAx>
        <c:axId val="3712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7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</a:t>
            </a:r>
            <a:r>
              <a:rPr lang="en-US" baseline="0"/>
              <a:t> VS BJP </a:t>
            </a:r>
            <a:endParaRPr lang="en-US"/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outlier!$AC$3:$AC$6</c:f>
              <c:numCache>
                <c:formatCode>0</c:formatCode>
                <c:ptCount val="4"/>
                <c:pt idx="0">
                  <c:v>28.901273885350321</c:v>
                </c:pt>
                <c:pt idx="1">
                  <c:v>91</c:v>
                </c:pt>
                <c:pt idx="2">
                  <c:v>90.759493670886073</c:v>
                </c:pt>
                <c:pt idx="3">
                  <c:v>97.613636363636374</c:v>
                </c:pt>
              </c:numCache>
            </c:numRef>
          </c:xVal>
          <c:yVal>
            <c:numRef>
              <c:f>outlier!$AD$3:$AD$6</c:f>
              <c:numCache>
                <c:formatCode>General</c:formatCode>
                <c:ptCount val="4"/>
                <c:pt idx="0">
                  <c:v>#N/A</c:v>
                </c:pt>
                <c:pt idx="1">
                  <c:v>417</c:v>
                </c:pt>
                <c:pt idx="2">
                  <c:v>8</c:v>
                </c:pt>
                <c:pt idx="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6-4760-A142-FAF0FC6D0555}"/>
            </c:ext>
          </c:extLst>
        </c:ser>
        <c:ser>
          <c:idx val="1"/>
          <c:order val="1"/>
          <c:tx>
            <c:v>BJP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outlier!$AC$3:$AC$6</c:f>
              <c:numCache>
                <c:formatCode>0</c:formatCode>
                <c:ptCount val="4"/>
                <c:pt idx="0">
                  <c:v>28.901273885350321</c:v>
                </c:pt>
                <c:pt idx="1">
                  <c:v>91</c:v>
                </c:pt>
                <c:pt idx="2">
                  <c:v>90.759493670886073</c:v>
                </c:pt>
                <c:pt idx="3">
                  <c:v>97.613636363636374</c:v>
                </c:pt>
              </c:numCache>
            </c:numRef>
          </c:xVal>
          <c:yVal>
            <c:numRef>
              <c:f>outlier!$AE$3:$AE$6</c:f>
              <c:numCache>
                <c:formatCode>General</c:formatCode>
                <c:ptCount val="4"/>
                <c:pt idx="0">
                  <c:v>18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6-4760-A142-FAF0FC6D0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276512"/>
        <c:axId val="371271184"/>
      </c:scatterChart>
      <c:valAx>
        <c:axId val="7022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71184"/>
        <c:crosses val="autoZero"/>
        <c:crossBetween val="midCat"/>
      </c:valAx>
      <c:valAx>
        <c:axId val="3712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7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19050</xdr:colOff>
      <xdr:row>1</xdr:row>
      <xdr:rowOff>290512</xdr:rowOff>
    </xdr:from>
    <xdr:to>
      <xdr:col>34</xdr:col>
      <xdr:colOff>742950</xdr:colOff>
      <xdr:row>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1DC62-491B-EE9D-C63F-6CCA1D78E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533400</xdr:colOff>
      <xdr:row>0</xdr:row>
      <xdr:rowOff>709612</xdr:rowOff>
    </xdr:from>
    <xdr:to>
      <xdr:col>40</xdr:col>
      <xdr:colOff>228600</xdr:colOff>
      <xdr:row>4</xdr:row>
      <xdr:rowOff>404812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385F6-4C9B-D4BF-DA1F-DB7F9EB96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workbookViewId="0">
      <pane ySplit="1" topLeftCell="A2" activePane="bottomLeft" state="frozen"/>
      <selection activeCell="L1" sqref="L1"/>
      <selection pane="bottomLeft" activeCell="B2" sqref="B2:P2"/>
    </sheetView>
  </sheetViews>
  <sheetFormatPr defaultColWidth="14.42578125" defaultRowHeight="37.5" customHeight="1"/>
  <cols>
    <col min="1" max="1" width="8.7109375" customWidth="1"/>
    <col min="2" max="18" width="9.140625" customWidth="1"/>
    <col min="19" max="19" width="8.7109375" customWidth="1"/>
    <col min="20" max="22" width="9.140625" customWidth="1"/>
    <col min="23" max="23" width="14.42578125" style="4"/>
    <col min="24" max="24" width="21.28515625" style="4" customWidth="1"/>
    <col min="25" max="29" width="14.42578125" style="1"/>
  </cols>
  <sheetData>
    <row r="1" spans="1:29" ht="37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/>
      <c r="S1" s="2" t="s">
        <v>16</v>
      </c>
      <c r="T1" s="2" t="s">
        <v>17</v>
      </c>
      <c r="U1" s="2" t="s">
        <v>450</v>
      </c>
      <c r="V1" s="2" t="s">
        <v>451</v>
      </c>
      <c r="W1" s="2" t="s">
        <v>448</v>
      </c>
      <c r="X1" s="2" t="s">
        <v>449</v>
      </c>
      <c r="Y1" s="2" t="s">
        <v>444</v>
      </c>
      <c r="Z1" s="2" t="s">
        <v>445</v>
      </c>
      <c r="AA1" s="2" t="s">
        <v>446</v>
      </c>
      <c r="AB1" s="2" t="s">
        <v>464</v>
      </c>
      <c r="AC1" s="2" t="s">
        <v>465</v>
      </c>
    </row>
    <row r="2" spans="1:29" ht="37.5" customHeight="1">
      <c r="A2" s="3"/>
      <c r="B2" s="7" t="s">
        <v>452</v>
      </c>
      <c r="C2" s="7" t="s">
        <v>453</v>
      </c>
      <c r="D2" s="7" t="s">
        <v>454</v>
      </c>
      <c r="E2" s="7" t="s">
        <v>455</v>
      </c>
      <c r="F2" s="7" t="s">
        <v>456</v>
      </c>
      <c r="G2" s="7" t="s">
        <v>457</v>
      </c>
      <c r="H2" s="7" t="s">
        <v>458</v>
      </c>
      <c r="I2" s="7" t="s">
        <v>459</v>
      </c>
      <c r="J2" s="7" t="s">
        <v>460</v>
      </c>
      <c r="K2" s="7" t="s">
        <v>461</v>
      </c>
      <c r="L2" s="7" t="s">
        <v>462</v>
      </c>
      <c r="M2" s="8" t="s">
        <v>463</v>
      </c>
      <c r="N2" s="8" t="s">
        <v>463</v>
      </c>
      <c r="O2" s="8" t="s">
        <v>463</v>
      </c>
      <c r="P2" s="8" t="s">
        <v>463</v>
      </c>
      <c r="Q2" s="3"/>
      <c r="R2" s="3"/>
      <c r="S2" s="3"/>
      <c r="T2" s="3"/>
      <c r="U2" s="3"/>
      <c r="V2" s="3"/>
      <c r="W2" s="5"/>
      <c r="X2" s="5"/>
      <c r="Y2" s="3"/>
      <c r="Z2" s="3"/>
      <c r="AA2" s="3"/>
      <c r="AB2" s="3"/>
      <c r="AC2" s="3"/>
    </row>
    <row r="3" spans="1:29" ht="37.5" customHeight="1">
      <c r="A3" s="11">
        <v>1</v>
      </c>
      <c r="B3" s="11">
        <v>143</v>
      </c>
      <c r="C3" s="11">
        <v>3</v>
      </c>
      <c r="D3" s="11">
        <v>374</v>
      </c>
      <c r="E3" s="11">
        <v>6</v>
      </c>
      <c r="F3" s="11">
        <v>0</v>
      </c>
      <c r="G3" s="11">
        <v>0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527</v>
      </c>
      <c r="R3" s="11">
        <f t="shared" ref="R3:R257" si="0">SUM(B3:P3)</f>
        <v>527</v>
      </c>
      <c r="S3" s="11">
        <f t="shared" ref="S3:S257" si="1">Q3-R3</f>
        <v>0</v>
      </c>
      <c r="T3" s="11">
        <v>0</v>
      </c>
      <c r="U3" s="11">
        <v>527</v>
      </c>
      <c r="V3" s="11">
        <v>0</v>
      </c>
      <c r="W3" s="12" t="s">
        <v>24</v>
      </c>
      <c r="X3" s="12" t="s">
        <v>25</v>
      </c>
      <c r="Y3" s="12">
        <v>851</v>
      </c>
      <c r="Z3" s="12">
        <v>851</v>
      </c>
      <c r="AA3" s="12">
        <v>397</v>
      </c>
      <c r="AB3" s="13">
        <f>MAX(B3,D3)-MIN(B3,D3)</f>
        <v>231</v>
      </c>
      <c r="AC3" s="14">
        <f>(U3/Y3)*100</f>
        <v>61.927144535840185</v>
      </c>
    </row>
    <row r="4" spans="1:29" ht="37.5" customHeight="1">
      <c r="A4" s="11">
        <v>2</v>
      </c>
      <c r="B4" s="11">
        <v>297</v>
      </c>
      <c r="C4" s="11">
        <v>8</v>
      </c>
      <c r="D4" s="11">
        <v>504</v>
      </c>
      <c r="E4" s="11">
        <v>11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1</v>
      </c>
      <c r="Q4" s="11">
        <v>822</v>
      </c>
      <c r="R4" s="11">
        <f t="shared" si="0"/>
        <v>822</v>
      </c>
      <c r="S4" s="11">
        <f t="shared" si="1"/>
        <v>0</v>
      </c>
      <c r="T4" s="11">
        <v>0</v>
      </c>
      <c r="U4" s="11">
        <v>822</v>
      </c>
      <c r="V4" s="11">
        <v>0</v>
      </c>
      <c r="W4" s="12" t="s">
        <v>26</v>
      </c>
      <c r="X4" s="12" t="s">
        <v>27</v>
      </c>
      <c r="Y4" s="12">
        <v>1259</v>
      </c>
      <c r="Z4" s="12">
        <v>658</v>
      </c>
      <c r="AA4" s="13">
        <v>592</v>
      </c>
      <c r="AB4" s="13">
        <f t="shared" ref="AB4:AB67" si="2">MAX(B4,D4)-MIN(B4,D4)</f>
        <v>207</v>
      </c>
      <c r="AC4" s="14">
        <f t="shared" ref="AC4:AC67" si="3">(U4/Y4)*100</f>
        <v>65.289912629070685</v>
      </c>
    </row>
    <row r="5" spans="1:29" ht="37.5" customHeight="1">
      <c r="A5" s="9">
        <v>3</v>
      </c>
      <c r="B5" s="9">
        <v>263</v>
      </c>
      <c r="C5" s="9">
        <v>2</v>
      </c>
      <c r="D5" s="9">
        <v>174</v>
      </c>
      <c r="E5" s="9">
        <v>31</v>
      </c>
      <c r="F5" s="9">
        <v>0</v>
      </c>
      <c r="G5" s="9">
        <v>0</v>
      </c>
      <c r="H5" s="9">
        <v>0</v>
      </c>
      <c r="I5" s="9">
        <v>1</v>
      </c>
      <c r="J5" s="9">
        <v>0</v>
      </c>
      <c r="K5" s="9">
        <v>0</v>
      </c>
      <c r="L5" s="9">
        <v>0</v>
      </c>
      <c r="M5" s="9">
        <v>0</v>
      </c>
      <c r="N5" s="9">
        <v>1</v>
      </c>
      <c r="O5" s="9">
        <v>1</v>
      </c>
      <c r="P5" s="9">
        <v>0</v>
      </c>
      <c r="Q5" s="9">
        <v>473</v>
      </c>
      <c r="R5" s="9">
        <f t="shared" si="0"/>
        <v>473</v>
      </c>
      <c r="S5" s="9">
        <f t="shared" si="1"/>
        <v>0</v>
      </c>
      <c r="T5" s="9">
        <v>1</v>
      </c>
      <c r="U5" s="9">
        <v>474</v>
      </c>
      <c r="V5" s="9">
        <v>0</v>
      </c>
      <c r="W5" s="15" t="s">
        <v>26</v>
      </c>
      <c r="X5" s="15" t="s">
        <v>28</v>
      </c>
      <c r="Y5" s="15">
        <v>705</v>
      </c>
      <c r="Z5" s="15">
        <v>376</v>
      </c>
      <c r="AA5" s="15">
        <v>329</v>
      </c>
      <c r="AB5" s="10">
        <f t="shared" si="2"/>
        <v>89</v>
      </c>
      <c r="AC5" s="16">
        <f t="shared" si="3"/>
        <v>67.234042553191486</v>
      </c>
    </row>
    <row r="6" spans="1:29" ht="37.5" customHeight="1">
      <c r="A6" s="11">
        <v>4</v>
      </c>
      <c r="B6" s="11">
        <v>164</v>
      </c>
      <c r="C6" s="11">
        <v>2</v>
      </c>
      <c r="D6" s="11">
        <v>255</v>
      </c>
      <c r="E6" s="11">
        <v>3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1</v>
      </c>
      <c r="Q6" s="11">
        <v>426</v>
      </c>
      <c r="R6" s="11">
        <f t="shared" si="0"/>
        <v>426</v>
      </c>
      <c r="S6" s="11">
        <f t="shared" si="1"/>
        <v>0</v>
      </c>
      <c r="T6" s="11">
        <v>1</v>
      </c>
      <c r="U6" s="11">
        <v>427</v>
      </c>
      <c r="V6" s="11">
        <v>0</v>
      </c>
      <c r="W6" s="12" t="s">
        <v>26</v>
      </c>
      <c r="X6" s="12" t="s">
        <v>29</v>
      </c>
      <c r="Y6" s="12">
        <v>644</v>
      </c>
      <c r="Z6" s="12">
        <v>334</v>
      </c>
      <c r="AA6" s="13">
        <v>304</v>
      </c>
      <c r="AB6" s="13">
        <f t="shared" si="2"/>
        <v>91</v>
      </c>
      <c r="AC6" s="14">
        <f t="shared" si="3"/>
        <v>66.304347826086953</v>
      </c>
    </row>
    <row r="7" spans="1:29" ht="37.5" customHeight="1">
      <c r="A7" s="11">
        <v>5</v>
      </c>
      <c r="B7" s="11">
        <v>271</v>
      </c>
      <c r="C7" s="11">
        <v>18</v>
      </c>
      <c r="D7" s="11">
        <v>274</v>
      </c>
      <c r="E7" s="11">
        <v>7</v>
      </c>
      <c r="F7" s="11">
        <v>22</v>
      </c>
      <c r="G7" s="11">
        <v>1</v>
      </c>
      <c r="H7" s="11">
        <v>0</v>
      </c>
      <c r="I7" s="11">
        <v>1</v>
      </c>
      <c r="J7" s="11">
        <v>3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1</v>
      </c>
      <c r="Q7" s="11">
        <v>598</v>
      </c>
      <c r="R7" s="11">
        <f t="shared" si="0"/>
        <v>598</v>
      </c>
      <c r="S7" s="11">
        <f t="shared" si="1"/>
        <v>0</v>
      </c>
      <c r="T7" s="11">
        <v>1</v>
      </c>
      <c r="U7" s="11">
        <v>599</v>
      </c>
      <c r="V7" s="11">
        <v>0</v>
      </c>
      <c r="W7" s="12" t="s">
        <v>30</v>
      </c>
      <c r="X7" s="12" t="s">
        <v>31</v>
      </c>
      <c r="Y7" s="12">
        <v>869</v>
      </c>
      <c r="Z7" s="12">
        <v>449</v>
      </c>
      <c r="AA7" s="12">
        <v>419</v>
      </c>
      <c r="AB7" s="13">
        <f t="shared" si="2"/>
        <v>3</v>
      </c>
      <c r="AC7" s="14">
        <f t="shared" si="3"/>
        <v>68.929804372842355</v>
      </c>
    </row>
    <row r="8" spans="1:29" ht="37.5" customHeight="1">
      <c r="A8" s="11">
        <v>6</v>
      </c>
      <c r="B8" s="11">
        <v>323</v>
      </c>
      <c r="C8" s="11">
        <v>5</v>
      </c>
      <c r="D8" s="11">
        <v>347</v>
      </c>
      <c r="E8" s="11">
        <v>7</v>
      </c>
      <c r="F8" s="11">
        <v>1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1</v>
      </c>
      <c r="O8" s="11">
        <v>1</v>
      </c>
      <c r="P8" s="11">
        <v>0</v>
      </c>
      <c r="Q8" s="11">
        <v>685</v>
      </c>
      <c r="R8" s="11">
        <f t="shared" si="0"/>
        <v>685</v>
      </c>
      <c r="S8" s="11">
        <f t="shared" si="1"/>
        <v>0</v>
      </c>
      <c r="T8" s="11">
        <v>1</v>
      </c>
      <c r="U8" s="11">
        <v>686</v>
      </c>
      <c r="V8" s="11">
        <v>0</v>
      </c>
      <c r="W8" s="12" t="s">
        <v>32</v>
      </c>
      <c r="X8" s="12" t="s">
        <v>33</v>
      </c>
      <c r="Y8" s="12">
        <v>1110</v>
      </c>
      <c r="Z8" s="12">
        <v>579</v>
      </c>
      <c r="AA8" s="13">
        <v>523</v>
      </c>
      <c r="AB8" s="13">
        <f t="shared" si="2"/>
        <v>24</v>
      </c>
      <c r="AC8" s="14">
        <f t="shared" si="3"/>
        <v>61.801801801801801</v>
      </c>
    </row>
    <row r="9" spans="1:29" ht="37.5" customHeight="1">
      <c r="A9" s="11">
        <v>7</v>
      </c>
      <c r="B9" s="11">
        <v>135</v>
      </c>
      <c r="C9" s="11">
        <v>3</v>
      </c>
      <c r="D9" s="11">
        <v>167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1">
        <v>307</v>
      </c>
      <c r="R9" s="11">
        <f t="shared" si="0"/>
        <v>307</v>
      </c>
      <c r="S9" s="11">
        <f t="shared" si="1"/>
        <v>0</v>
      </c>
      <c r="T9" s="11">
        <v>1</v>
      </c>
      <c r="U9" s="11">
        <v>308</v>
      </c>
      <c r="V9" s="11">
        <v>0</v>
      </c>
      <c r="W9" s="12" t="s">
        <v>32</v>
      </c>
      <c r="X9" s="12" t="s">
        <v>34</v>
      </c>
      <c r="Y9" s="12">
        <v>367</v>
      </c>
      <c r="Z9" s="12">
        <v>196</v>
      </c>
      <c r="AA9" s="12">
        <v>171</v>
      </c>
      <c r="AB9" s="13">
        <f t="shared" si="2"/>
        <v>32</v>
      </c>
      <c r="AC9" s="14">
        <f t="shared" si="3"/>
        <v>83.923705722070835</v>
      </c>
    </row>
    <row r="10" spans="1:29" ht="37.5" customHeight="1">
      <c r="A10" s="9">
        <v>8</v>
      </c>
      <c r="B10" s="9">
        <v>144</v>
      </c>
      <c r="C10" s="9">
        <v>2</v>
      </c>
      <c r="D10" s="9">
        <v>125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271</v>
      </c>
      <c r="R10" s="9">
        <f t="shared" si="0"/>
        <v>271</v>
      </c>
      <c r="S10" s="9">
        <f t="shared" si="1"/>
        <v>0</v>
      </c>
      <c r="T10" s="9">
        <v>1</v>
      </c>
      <c r="U10" s="9">
        <v>272</v>
      </c>
      <c r="V10" s="9">
        <v>0</v>
      </c>
      <c r="W10" s="15" t="s">
        <v>35</v>
      </c>
      <c r="X10" s="15" t="s">
        <v>36</v>
      </c>
      <c r="Y10" s="15">
        <v>371</v>
      </c>
      <c r="Z10" s="15">
        <v>202</v>
      </c>
      <c r="AA10" s="10">
        <v>169</v>
      </c>
      <c r="AB10" s="10">
        <f t="shared" si="2"/>
        <v>19</v>
      </c>
      <c r="AC10" s="16">
        <f t="shared" si="3"/>
        <v>73.315363881401623</v>
      </c>
    </row>
    <row r="11" spans="1:29" ht="37.5" customHeight="1">
      <c r="A11" s="9">
        <v>9</v>
      </c>
      <c r="B11" s="9">
        <v>391</v>
      </c>
      <c r="C11" s="9">
        <v>4</v>
      </c>
      <c r="D11" s="9">
        <v>111</v>
      </c>
      <c r="E11" s="9">
        <v>304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1</v>
      </c>
      <c r="N11" s="9">
        <v>0</v>
      </c>
      <c r="O11" s="9">
        <v>2</v>
      </c>
      <c r="P11" s="9">
        <v>0</v>
      </c>
      <c r="Q11" s="9">
        <v>816</v>
      </c>
      <c r="R11" s="9">
        <f t="shared" si="0"/>
        <v>816</v>
      </c>
      <c r="S11" s="9">
        <f t="shared" si="1"/>
        <v>0</v>
      </c>
      <c r="T11" s="9">
        <v>3</v>
      </c>
      <c r="U11" s="9">
        <v>819</v>
      </c>
      <c r="V11" s="9">
        <v>0</v>
      </c>
      <c r="W11" s="15" t="s">
        <v>32</v>
      </c>
      <c r="X11" s="15" t="s">
        <v>37</v>
      </c>
      <c r="Y11" s="15">
        <v>1147</v>
      </c>
      <c r="Z11" s="15">
        <v>607</v>
      </c>
      <c r="AA11" s="15">
        <v>534</v>
      </c>
      <c r="AB11" s="10">
        <f t="shared" si="2"/>
        <v>280</v>
      </c>
      <c r="AC11" s="16">
        <f t="shared" si="3"/>
        <v>71.403661726242376</v>
      </c>
    </row>
    <row r="12" spans="1:29" ht="37.5" customHeight="1">
      <c r="A12" s="11">
        <v>10</v>
      </c>
      <c r="B12" s="11">
        <v>255</v>
      </c>
      <c r="C12" s="11">
        <v>2</v>
      </c>
      <c r="D12" s="11">
        <v>306</v>
      </c>
      <c r="E12" s="11">
        <v>27</v>
      </c>
      <c r="F12" s="11">
        <v>0</v>
      </c>
      <c r="G12" s="11">
        <v>0</v>
      </c>
      <c r="H12" s="11">
        <v>1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592</v>
      </c>
      <c r="R12" s="11">
        <f t="shared" si="0"/>
        <v>592</v>
      </c>
      <c r="S12" s="11">
        <f t="shared" si="1"/>
        <v>0</v>
      </c>
      <c r="T12" s="11">
        <v>3</v>
      </c>
      <c r="U12" s="11">
        <v>595</v>
      </c>
      <c r="V12" s="11">
        <v>0</v>
      </c>
      <c r="W12" s="12" t="s">
        <v>38</v>
      </c>
      <c r="X12" s="12" t="s">
        <v>39</v>
      </c>
      <c r="Y12" s="12">
        <v>808</v>
      </c>
      <c r="Z12" s="12">
        <v>434</v>
      </c>
      <c r="AA12" s="13">
        <v>366</v>
      </c>
      <c r="AB12" s="13">
        <f t="shared" si="2"/>
        <v>51</v>
      </c>
      <c r="AC12" s="14">
        <f t="shared" si="3"/>
        <v>73.638613861386133</v>
      </c>
    </row>
    <row r="13" spans="1:29" ht="37.5" customHeight="1">
      <c r="A13" s="9">
        <v>11</v>
      </c>
      <c r="B13" s="9">
        <v>459</v>
      </c>
      <c r="C13" s="9">
        <v>5</v>
      </c>
      <c r="D13" s="9">
        <v>103</v>
      </c>
      <c r="E13" s="9">
        <v>163</v>
      </c>
      <c r="F13" s="9">
        <v>4</v>
      </c>
      <c r="G13" s="9">
        <v>1</v>
      </c>
      <c r="H13" s="9">
        <v>0</v>
      </c>
      <c r="I13" s="9">
        <v>5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2</v>
      </c>
      <c r="P13" s="9">
        <v>2</v>
      </c>
      <c r="Q13" s="9">
        <v>744</v>
      </c>
      <c r="R13" s="9">
        <f t="shared" si="0"/>
        <v>744</v>
      </c>
      <c r="S13" s="9">
        <f t="shared" si="1"/>
        <v>0</v>
      </c>
      <c r="T13" s="9">
        <v>10</v>
      </c>
      <c r="U13" s="9">
        <v>754</v>
      </c>
      <c r="V13" s="9">
        <v>0</v>
      </c>
      <c r="W13" s="15" t="s">
        <v>38</v>
      </c>
      <c r="X13" s="15" t="s">
        <v>40</v>
      </c>
      <c r="Y13" s="15">
        <v>1016</v>
      </c>
      <c r="Z13" s="15">
        <v>538</v>
      </c>
      <c r="AA13" s="15">
        <v>460</v>
      </c>
      <c r="AB13" s="10">
        <f t="shared" si="2"/>
        <v>356</v>
      </c>
      <c r="AC13" s="16">
        <f t="shared" si="3"/>
        <v>74.212598425196859</v>
      </c>
    </row>
    <row r="14" spans="1:29" ht="37.5" customHeight="1">
      <c r="A14" s="9">
        <v>12</v>
      </c>
      <c r="B14" s="9">
        <v>479</v>
      </c>
      <c r="C14" s="9">
        <v>4</v>
      </c>
      <c r="D14" s="9">
        <v>207</v>
      </c>
      <c r="E14" s="9">
        <v>9</v>
      </c>
      <c r="F14" s="9">
        <v>0</v>
      </c>
      <c r="G14" s="9">
        <v>0</v>
      </c>
      <c r="H14" s="9">
        <v>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701</v>
      </c>
      <c r="R14" s="9">
        <f t="shared" si="0"/>
        <v>701</v>
      </c>
      <c r="S14" s="9">
        <f t="shared" si="1"/>
        <v>0</v>
      </c>
      <c r="T14" s="9">
        <v>0</v>
      </c>
      <c r="U14" s="9">
        <v>701</v>
      </c>
      <c r="V14" s="9">
        <v>0</v>
      </c>
      <c r="W14" s="15" t="s">
        <v>41</v>
      </c>
      <c r="X14" s="15" t="s">
        <v>42</v>
      </c>
      <c r="Y14" s="15">
        <v>1000</v>
      </c>
      <c r="Z14" s="15">
        <v>541</v>
      </c>
      <c r="AA14" s="10">
        <v>445</v>
      </c>
      <c r="AB14" s="10">
        <f t="shared" si="2"/>
        <v>272</v>
      </c>
      <c r="AC14" s="16">
        <f t="shared" si="3"/>
        <v>70.099999999999994</v>
      </c>
    </row>
    <row r="15" spans="1:29" ht="37.5" customHeight="1">
      <c r="A15" s="9">
        <v>13</v>
      </c>
      <c r="B15" s="9">
        <v>281</v>
      </c>
      <c r="C15" s="9">
        <v>0</v>
      </c>
      <c r="D15" s="9">
        <v>67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349</v>
      </c>
      <c r="R15" s="9">
        <f t="shared" si="0"/>
        <v>349</v>
      </c>
      <c r="S15" s="9">
        <f t="shared" si="1"/>
        <v>0</v>
      </c>
      <c r="T15" s="9">
        <v>0</v>
      </c>
      <c r="U15" s="9">
        <v>349</v>
      </c>
      <c r="V15" s="9">
        <v>0</v>
      </c>
      <c r="W15" s="15" t="s">
        <v>41</v>
      </c>
      <c r="X15" s="15" t="s">
        <v>43</v>
      </c>
      <c r="Y15" s="15">
        <v>508</v>
      </c>
      <c r="Z15" s="15">
        <v>290</v>
      </c>
      <c r="AA15" s="15">
        <v>218</v>
      </c>
      <c r="AB15" s="10">
        <f t="shared" si="2"/>
        <v>214</v>
      </c>
      <c r="AC15" s="16">
        <f t="shared" si="3"/>
        <v>68.7007874015748</v>
      </c>
    </row>
    <row r="16" spans="1:29" ht="37.5" customHeight="1">
      <c r="A16" s="9">
        <v>14</v>
      </c>
      <c r="B16" s="9">
        <v>614</v>
      </c>
      <c r="C16" s="9">
        <v>2</v>
      </c>
      <c r="D16" s="9">
        <v>258</v>
      </c>
      <c r="E16" s="9">
        <v>77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2</v>
      </c>
      <c r="O16" s="9">
        <v>0</v>
      </c>
      <c r="P16" s="9">
        <v>0</v>
      </c>
      <c r="Q16" s="9">
        <v>954</v>
      </c>
      <c r="R16" s="9">
        <f t="shared" si="0"/>
        <v>954</v>
      </c>
      <c r="S16" s="9">
        <f t="shared" si="1"/>
        <v>0</v>
      </c>
      <c r="T16" s="9">
        <v>2</v>
      </c>
      <c r="U16" s="9">
        <v>956</v>
      </c>
      <c r="V16" s="9">
        <v>0</v>
      </c>
      <c r="W16" s="15" t="s">
        <v>44</v>
      </c>
      <c r="X16" s="15" t="s">
        <v>45</v>
      </c>
      <c r="Y16" s="15">
        <v>1218</v>
      </c>
      <c r="Z16" s="15">
        <v>651</v>
      </c>
      <c r="AA16" s="10">
        <v>562</v>
      </c>
      <c r="AB16" s="10">
        <f t="shared" si="2"/>
        <v>356</v>
      </c>
      <c r="AC16" s="16">
        <f t="shared" si="3"/>
        <v>78.489326765188835</v>
      </c>
    </row>
    <row r="17" spans="1:29" ht="37.5" customHeight="1">
      <c r="A17" s="9">
        <v>15</v>
      </c>
      <c r="B17" s="9">
        <v>347</v>
      </c>
      <c r="C17" s="9">
        <v>2</v>
      </c>
      <c r="D17" s="9">
        <v>291</v>
      </c>
      <c r="E17" s="9">
        <v>2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643</v>
      </c>
      <c r="R17" s="9">
        <f t="shared" si="0"/>
        <v>643</v>
      </c>
      <c r="S17" s="9">
        <f t="shared" si="1"/>
        <v>0</v>
      </c>
      <c r="T17" s="9">
        <v>2</v>
      </c>
      <c r="U17" s="9">
        <v>645</v>
      </c>
      <c r="V17" s="9">
        <v>0</v>
      </c>
      <c r="W17" s="15" t="s">
        <v>44</v>
      </c>
      <c r="X17" s="15" t="s">
        <v>46</v>
      </c>
      <c r="Y17" s="15">
        <v>998</v>
      </c>
      <c r="Z17" s="15">
        <v>539</v>
      </c>
      <c r="AA17" s="15">
        <v>457</v>
      </c>
      <c r="AB17" s="10">
        <f t="shared" si="2"/>
        <v>56</v>
      </c>
      <c r="AC17" s="16">
        <f t="shared" si="3"/>
        <v>64.629258517034074</v>
      </c>
    </row>
    <row r="18" spans="1:29" ht="37.5" customHeight="1">
      <c r="A18" s="9">
        <v>16</v>
      </c>
      <c r="B18" s="9">
        <v>266</v>
      </c>
      <c r="C18" s="9">
        <v>1</v>
      </c>
      <c r="D18" s="9">
        <v>258</v>
      </c>
      <c r="E18" s="9">
        <v>25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s="9">
        <v>0</v>
      </c>
      <c r="P18" s="9">
        <v>1</v>
      </c>
      <c r="Q18" s="9">
        <v>553</v>
      </c>
      <c r="R18" s="9">
        <f t="shared" si="0"/>
        <v>553</v>
      </c>
      <c r="S18" s="9">
        <f t="shared" si="1"/>
        <v>0</v>
      </c>
      <c r="T18" s="9">
        <v>2</v>
      </c>
      <c r="U18" s="9">
        <v>555</v>
      </c>
      <c r="V18" s="9">
        <v>0</v>
      </c>
      <c r="W18" s="15" t="s">
        <v>47</v>
      </c>
      <c r="X18" s="15" t="s">
        <v>48</v>
      </c>
      <c r="Y18" s="15">
        <v>714</v>
      </c>
      <c r="Z18" s="15">
        <v>386</v>
      </c>
      <c r="AA18" s="10">
        <v>320</v>
      </c>
      <c r="AB18" s="10">
        <f t="shared" si="2"/>
        <v>8</v>
      </c>
      <c r="AC18" s="16">
        <f t="shared" si="3"/>
        <v>77.731092436974791</v>
      </c>
    </row>
    <row r="19" spans="1:29" ht="37.5" customHeight="1">
      <c r="A19" s="9">
        <v>17</v>
      </c>
      <c r="B19" s="9">
        <v>476</v>
      </c>
      <c r="C19" s="9">
        <v>5</v>
      </c>
      <c r="D19" s="9">
        <v>53</v>
      </c>
      <c r="E19" s="9">
        <v>79</v>
      </c>
      <c r="F19" s="9">
        <v>0</v>
      </c>
      <c r="G19" s="9">
        <v>0</v>
      </c>
      <c r="H19" s="9">
        <v>0</v>
      </c>
      <c r="I19" s="9">
        <v>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1</v>
      </c>
      <c r="Q19" s="9">
        <v>619</v>
      </c>
      <c r="R19" s="9">
        <f t="shared" si="0"/>
        <v>619</v>
      </c>
      <c r="S19" s="9">
        <f t="shared" si="1"/>
        <v>0</v>
      </c>
      <c r="T19" s="9">
        <v>3</v>
      </c>
      <c r="U19" s="9">
        <v>622</v>
      </c>
      <c r="V19" s="9">
        <v>0</v>
      </c>
      <c r="W19" s="15" t="s">
        <v>47</v>
      </c>
      <c r="X19" s="15" t="s">
        <v>49</v>
      </c>
      <c r="Y19" s="15">
        <v>802</v>
      </c>
      <c r="Z19" s="15">
        <v>436</v>
      </c>
      <c r="AA19" s="15">
        <v>366</v>
      </c>
      <c r="AB19" s="10">
        <f t="shared" si="2"/>
        <v>423</v>
      </c>
      <c r="AC19" s="16">
        <f t="shared" si="3"/>
        <v>77.556109725685786</v>
      </c>
    </row>
    <row r="20" spans="1:29" ht="37.5" customHeight="1">
      <c r="A20" s="9">
        <v>18</v>
      </c>
      <c r="B20" s="9">
        <v>202</v>
      </c>
      <c r="C20" s="9">
        <v>2</v>
      </c>
      <c r="D20" s="9">
        <v>102</v>
      </c>
      <c r="E20" s="9">
        <v>369</v>
      </c>
      <c r="F20" s="9">
        <v>1</v>
      </c>
      <c r="G20" s="9">
        <v>0</v>
      </c>
      <c r="H20" s="9">
        <v>1</v>
      </c>
      <c r="I20" s="9">
        <v>1</v>
      </c>
      <c r="J20" s="9">
        <v>0</v>
      </c>
      <c r="K20" s="9">
        <v>2</v>
      </c>
      <c r="L20" s="9">
        <v>2</v>
      </c>
      <c r="M20" s="9">
        <v>0</v>
      </c>
      <c r="N20" s="9">
        <v>3</v>
      </c>
      <c r="O20" s="9">
        <v>3</v>
      </c>
      <c r="P20" s="9">
        <v>0</v>
      </c>
      <c r="Q20" s="9">
        <v>688</v>
      </c>
      <c r="R20" s="9">
        <f t="shared" si="0"/>
        <v>688</v>
      </c>
      <c r="S20" s="9">
        <f t="shared" si="1"/>
        <v>0</v>
      </c>
      <c r="T20" s="9">
        <v>1</v>
      </c>
      <c r="U20" s="9">
        <v>689</v>
      </c>
      <c r="V20" s="9">
        <v>0</v>
      </c>
      <c r="W20" s="15" t="s">
        <v>47</v>
      </c>
      <c r="X20" s="15" t="s">
        <v>50</v>
      </c>
      <c r="Y20" s="15">
        <v>858</v>
      </c>
      <c r="Z20" s="15">
        <v>464</v>
      </c>
      <c r="AA20" s="15">
        <v>393</v>
      </c>
      <c r="AB20" s="10">
        <f t="shared" si="2"/>
        <v>100</v>
      </c>
      <c r="AC20" s="16">
        <f t="shared" si="3"/>
        <v>80.303030303030297</v>
      </c>
    </row>
    <row r="21" spans="1:29" ht="37.5" customHeight="1">
      <c r="A21" s="9">
        <v>19</v>
      </c>
      <c r="B21" s="9">
        <v>371</v>
      </c>
      <c r="C21" s="9">
        <v>1</v>
      </c>
      <c r="D21" s="9">
        <v>57</v>
      </c>
      <c r="E21" s="9">
        <v>78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1</v>
      </c>
      <c r="Q21" s="9">
        <v>508</v>
      </c>
      <c r="R21" s="9">
        <f t="shared" si="0"/>
        <v>508</v>
      </c>
      <c r="S21" s="9">
        <f t="shared" si="1"/>
        <v>0</v>
      </c>
      <c r="T21" s="9">
        <v>1</v>
      </c>
      <c r="U21" s="9">
        <v>509</v>
      </c>
      <c r="V21" s="9">
        <v>0</v>
      </c>
      <c r="W21" s="15" t="s">
        <v>51</v>
      </c>
      <c r="X21" s="15" t="s">
        <v>52</v>
      </c>
      <c r="Y21" s="15">
        <v>702</v>
      </c>
      <c r="Z21" s="15">
        <v>385</v>
      </c>
      <c r="AA21" s="15">
        <v>317</v>
      </c>
      <c r="AB21" s="10">
        <f t="shared" si="2"/>
        <v>314</v>
      </c>
      <c r="AC21" s="16">
        <f t="shared" si="3"/>
        <v>72.507122507122517</v>
      </c>
    </row>
    <row r="22" spans="1:29" ht="37.5" customHeight="1">
      <c r="A22" s="9">
        <v>20</v>
      </c>
      <c r="B22" s="9">
        <v>322</v>
      </c>
      <c r="C22" s="9">
        <v>2</v>
      </c>
      <c r="D22" s="9">
        <v>172</v>
      </c>
      <c r="E22" s="9">
        <v>3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500</v>
      </c>
      <c r="R22" s="9">
        <f t="shared" si="0"/>
        <v>500</v>
      </c>
      <c r="S22" s="9">
        <f t="shared" si="1"/>
        <v>0</v>
      </c>
      <c r="T22" s="9">
        <v>1</v>
      </c>
      <c r="U22" s="9">
        <v>501</v>
      </c>
      <c r="V22" s="9">
        <v>0</v>
      </c>
      <c r="W22" s="15" t="s">
        <v>53</v>
      </c>
      <c r="X22" s="15" t="s">
        <v>54</v>
      </c>
      <c r="Y22" s="15">
        <v>666</v>
      </c>
      <c r="Z22" s="15">
        <v>367</v>
      </c>
      <c r="AA22" s="15">
        <v>299</v>
      </c>
      <c r="AB22" s="10">
        <f t="shared" si="2"/>
        <v>150</v>
      </c>
      <c r="AC22" s="16">
        <f t="shared" si="3"/>
        <v>75.225225225225216</v>
      </c>
    </row>
    <row r="23" spans="1:29" ht="37.5" customHeight="1">
      <c r="A23" s="9">
        <v>21</v>
      </c>
      <c r="B23" s="9">
        <v>336</v>
      </c>
      <c r="C23" s="9">
        <v>6</v>
      </c>
      <c r="D23" s="9">
        <v>117</v>
      </c>
      <c r="E23" s="9">
        <v>16</v>
      </c>
      <c r="F23" s="9">
        <v>0</v>
      </c>
      <c r="G23" s="9">
        <v>0</v>
      </c>
      <c r="H23" s="9">
        <v>0</v>
      </c>
      <c r="I23" s="9">
        <v>3</v>
      </c>
      <c r="J23" s="9">
        <v>0</v>
      </c>
      <c r="K23" s="9">
        <v>0</v>
      </c>
      <c r="L23" s="9">
        <v>1</v>
      </c>
      <c r="M23" s="9">
        <v>1</v>
      </c>
      <c r="N23" s="9">
        <v>1</v>
      </c>
      <c r="O23" s="9">
        <v>0</v>
      </c>
      <c r="P23" s="9">
        <v>0</v>
      </c>
      <c r="Q23" s="9">
        <v>481</v>
      </c>
      <c r="R23" s="9">
        <f t="shared" si="0"/>
        <v>481</v>
      </c>
      <c r="S23" s="9">
        <f t="shared" si="1"/>
        <v>0</v>
      </c>
      <c r="T23" s="9">
        <v>3</v>
      </c>
      <c r="U23" s="9">
        <v>484</v>
      </c>
      <c r="V23" s="9">
        <v>0</v>
      </c>
      <c r="W23" s="15" t="s">
        <v>55</v>
      </c>
      <c r="X23" s="15" t="s">
        <v>56</v>
      </c>
      <c r="Y23" s="15">
        <v>853</v>
      </c>
      <c r="Z23" s="15">
        <v>465</v>
      </c>
      <c r="AA23" s="15">
        <v>387</v>
      </c>
      <c r="AB23" s="10">
        <f t="shared" si="2"/>
        <v>219</v>
      </c>
      <c r="AC23" s="16">
        <f t="shared" si="3"/>
        <v>56.740914419695201</v>
      </c>
    </row>
    <row r="24" spans="1:29" ht="37.5" customHeight="1">
      <c r="A24" s="9">
        <v>22</v>
      </c>
      <c r="B24" s="9">
        <v>388</v>
      </c>
      <c r="C24" s="9">
        <v>3</v>
      </c>
      <c r="D24" s="9">
        <v>69</v>
      </c>
      <c r="E24" s="9">
        <v>277</v>
      </c>
      <c r="F24" s="9">
        <v>0</v>
      </c>
      <c r="G24" s="9">
        <v>1</v>
      </c>
      <c r="H24" s="9">
        <v>0</v>
      </c>
      <c r="I24" s="9">
        <v>0</v>
      </c>
      <c r="J24" s="9">
        <v>2</v>
      </c>
      <c r="K24" s="9">
        <v>1</v>
      </c>
      <c r="L24" s="9">
        <v>0</v>
      </c>
      <c r="M24" s="9">
        <v>0</v>
      </c>
      <c r="N24" s="9">
        <v>2</v>
      </c>
      <c r="O24" s="9">
        <v>0</v>
      </c>
      <c r="P24" s="9">
        <v>0</v>
      </c>
      <c r="Q24" s="9">
        <v>743</v>
      </c>
      <c r="R24" s="9">
        <f t="shared" si="0"/>
        <v>743</v>
      </c>
      <c r="S24" s="9">
        <f t="shared" si="1"/>
        <v>0</v>
      </c>
      <c r="T24" s="9">
        <v>2</v>
      </c>
      <c r="U24" s="9">
        <v>745</v>
      </c>
      <c r="V24" s="9">
        <v>0</v>
      </c>
      <c r="W24" s="15" t="s">
        <v>55</v>
      </c>
      <c r="X24" s="15" t="s">
        <v>57</v>
      </c>
      <c r="Y24" s="15">
        <v>919</v>
      </c>
      <c r="Z24" s="15">
        <v>509</v>
      </c>
      <c r="AA24" s="15">
        <v>408</v>
      </c>
      <c r="AB24" s="10">
        <f t="shared" si="2"/>
        <v>319</v>
      </c>
      <c r="AC24" s="16">
        <f t="shared" si="3"/>
        <v>81.066376496191523</v>
      </c>
    </row>
    <row r="25" spans="1:29" ht="37.5" customHeight="1">
      <c r="A25" s="9">
        <v>23</v>
      </c>
      <c r="B25" s="9">
        <v>423</v>
      </c>
      <c r="C25" s="9">
        <v>2</v>
      </c>
      <c r="D25" s="9">
        <v>205</v>
      </c>
      <c r="E25" s="9">
        <v>151</v>
      </c>
      <c r="F25" s="9">
        <v>1</v>
      </c>
      <c r="G25" s="9">
        <v>2</v>
      </c>
      <c r="H25" s="9">
        <v>1</v>
      </c>
      <c r="I25" s="9">
        <v>10</v>
      </c>
      <c r="J25" s="9">
        <v>1</v>
      </c>
      <c r="K25" s="9">
        <v>0</v>
      </c>
      <c r="L25" s="9">
        <v>0</v>
      </c>
      <c r="M25" s="9">
        <v>0</v>
      </c>
      <c r="N25" s="9">
        <v>2</v>
      </c>
      <c r="O25" s="9">
        <v>1</v>
      </c>
      <c r="P25" s="9">
        <v>1</v>
      </c>
      <c r="Q25" s="9">
        <v>800</v>
      </c>
      <c r="R25" s="9">
        <f t="shared" si="0"/>
        <v>800</v>
      </c>
      <c r="S25" s="9">
        <f t="shared" si="1"/>
        <v>0</v>
      </c>
      <c r="T25" s="9">
        <v>3</v>
      </c>
      <c r="U25" s="9">
        <v>803</v>
      </c>
      <c r="V25" s="9">
        <v>0</v>
      </c>
      <c r="W25" s="15" t="s">
        <v>58</v>
      </c>
      <c r="X25" s="15" t="s">
        <v>59</v>
      </c>
      <c r="Y25" s="15">
        <v>1269</v>
      </c>
      <c r="Z25" s="15">
        <v>707</v>
      </c>
      <c r="AA25" s="15">
        <v>561</v>
      </c>
      <c r="AB25" s="10">
        <f t="shared" si="2"/>
        <v>218</v>
      </c>
      <c r="AC25" s="16">
        <f t="shared" si="3"/>
        <v>63.278171788810091</v>
      </c>
    </row>
    <row r="26" spans="1:29" ht="37.5" customHeight="1">
      <c r="A26" s="11">
        <v>24</v>
      </c>
      <c r="B26" s="11">
        <v>450</v>
      </c>
      <c r="C26" s="11">
        <v>6</v>
      </c>
      <c r="D26" s="11">
        <v>501</v>
      </c>
      <c r="E26" s="11">
        <v>8</v>
      </c>
      <c r="F26" s="11">
        <v>1</v>
      </c>
      <c r="G26" s="11">
        <v>2</v>
      </c>
      <c r="H26" s="11">
        <v>1</v>
      </c>
      <c r="I26" s="11">
        <v>1</v>
      </c>
      <c r="J26" s="11">
        <v>2</v>
      </c>
      <c r="K26" s="11">
        <v>2</v>
      </c>
      <c r="L26" s="11">
        <v>1</v>
      </c>
      <c r="M26" s="11">
        <v>2</v>
      </c>
      <c r="N26" s="11">
        <v>0</v>
      </c>
      <c r="O26" s="11">
        <v>2</v>
      </c>
      <c r="P26" s="11">
        <v>8</v>
      </c>
      <c r="Q26" s="11">
        <v>987</v>
      </c>
      <c r="R26" s="11">
        <f t="shared" si="0"/>
        <v>987</v>
      </c>
      <c r="S26" s="11">
        <f t="shared" si="1"/>
        <v>0</v>
      </c>
      <c r="T26" s="11">
        <v>9</v>
      </c>
      <c r="U26" s="11">
        <v>996</v>
      </c>
      <c r="V26" s="11">
        <v>0</v>
      </c>
      <c r="W26" s="12" t="s">
        <v>60</v>
      </c>
      <c r="X26" s="12" t="s">
        <v>61</v>
      </c>
      <c r="Y26" s="12">
        <v>1461</v>
      </c>
      <c r="Z26" s="12">
        <v>806</v>
      </c>
      <c r="AA26" s="12">
        <v>654</v>
      </c>
      <c r="AB26" s="13">
        <f t="shared" si="2"/>
        <v>51</v>
      </c>
      <c r="AC26" s="14">
        <f t="shared" si="3"/>
        <v>68.172484599589325</v>
      </c>
    </row>
    <row r="27" spans="1:29" ht="37.5" customHeight="1">
      <c r="A27" s="9">
        <v>25</v>
      </c>
      <c r="B27" s="9">
        <v>531</v>
      </c>
      <c r="C27" s="9">
        <v>4</v>
      </c>
      <c r="D27" s="9">
        <v>126</v>
      </c>
      <c r="E27" s="9">
        <v>32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</v>
      </c>
      <c r="N27" s="9">
        <v>0</v>
      </c>
      <c r="O27" s="9">
        <v>0</v>
      </c>
      <c r="P27" s="9">
        <v>0</v>
      </c>
      <c r="Q27" s="9">
        <v>694</v>
      </c>
      <c r="R27" s="9">
        <f t="shared" si="0"/>
        <v>694</v>
      </c>
      <c r="S27" s="9">
        <f t="shared" si="1"/>
        <v>0</v>
      </c>
      <c r="T27" s="9">
        <v>4</v>
      </c>
      <c r="U27" s="9">
        <v>698</v>
      </c>
      <c r="V27" s="9">
        <v>0</v>
      </c>
      <c r="W27" s="15" t="s">
        <v>62</v>
      </c>
      <c r="X27" s="15" t="s">
        <v>63</v>
      </c>
      <c r="Y27" s="15">
        <v>906</v>
      </c>
      <c r="Z27" s="15">
        <v>483</v>
      </c>
      <c r="AA27" s="10">
        <v>423</v>
      </c>
      <c r="AB27" s="10">
        <f t="shared" si="2"/>
        <v>405</v>
      </c>
      <c r="AC27" s="16">
        <f t="shared" si="3"/>
        <v>77.041942604856516</v>
      </c>
    </row>
    <row r="28" spans="1:29" ht="37.5" customHeight="1">
      <c r="A28" s="11">
        <v>26</v>
      </c>
      <c r="B28" s="11">
        <v>119</v>
      </c>
      <c r="C28" s="11">
        <v>81</v>
      </c>
      <c r="D28" s="11">
        <v>252</v>
      </c>
      <c r="E28" s="11">
        <v>27</v>
      </c>
      <c r="F28" s="11">
        <v>4</v>
      </c>
      <c r="G28" s="11">
        <v>4</v>
      </c>
      <c r="H28" s="11">
        <v>1</v>
      </c>
      <c r="I28" s="11">
        <v>0</v>
      </c>
      <c r="J28" s="11">
        <v>14</v>
      </c>
      <c r="K28" s="11">
        <v>1</v>
      </c>
      <c r="L28" s="11">
        <v>0</v>
      </c>
      <c r="M28" s="11">
        <v>0</v>
      </c>
      <c r="N28" s="11">
        <v>0</v>
      </c>
      <c r="O28" s="11">
        <v>0</v>
      </c>
      <c r="P28" s="11">
        <v>1</v>
      </c>
      <c r="Q28" s="11">
        <v>504</v>
      </c>
      <c r="R28" s="11">
        <f t="shared" si="0"/>
        <v>504</v>
      </c>
      <c r="S28" s="11">
        <f t="shared" si="1"/>
        <v>0</v>
      </c>
      <c r="T28" s="11">
        <v>0</v>
      </c>
      <c r="U28" s="11">
        <v>504</v>
      </c>
      <c r="V28" s="11">
        <v>0</v>
      </c>
      <c r="W28" s="12" t="s">
        <v>62</v>
      </c>
      <c r="X28" s="12" t="s">
        <v>64</v>
      </c>
      <c r="Y28" s="12">
        <v>714</v>
      </c>
      <c r="Z28" s="12">
        <v>376</v>
      </c>
      <c r="AA28" s="13">
        <v>338</v>
      </c>
      <c r="AB28" s="13">
        <f t="shared" si="2"/>
        <v>133</v>
      </c>
      <c r="AC28" s="14">
        <f t="shared" si="3"/>
        <v>70.588235294117652</v>
      </c>
    </row>
    <row r="29" spans="1:29" ht="37.5" customHeight="1">
      <c r="A29" s="9">
        <v>27</v>
      </c>
      <c r="B29" s="9">
        <v>400</v>
      </c>
      <c r="C29" s="9">
        <v>0</v>
      </c>
      <c r="D29" s="9">
        <v>150</v>
      </c>
      <c r="E29" s="9">
        <v>74</v>
      </c>
      <c r="F29" s="9">
        <v>0</v>
      </c>
      <c r="G29" s="9">
        <v>0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</v>
      </c>
      <c r="O29" s="9">
        <v>0</v>
      </c>
      <c r="P29" s="9">
        <v>1</v>
      </c>
      <c r="Q29" s="9">
        <v>627</v>
      </c>
      <c r="R29" s="9">
        <f t="shared" si="0"/>
        <v>627</v>
      </c>
      <c r="S29" s="9">
        <f t="shared" si="1"/>
        <v>0</v>
      </c>
      <c r="T29" s="9">
        <v>1</v>
      </c>
      <c r="U29" s="9">
        <v>682</v>
      </c>
      <c r="V29" s="9">
        <v>0</v>
      </c>
      <c r="W29" s="15" t="s">
        <v>65</v>
      </c>
      <c r="X29" s="15" t="s">
        <v>66</v>
      </c>
      <c r="Y29" s="15">
        <v>977</v>
      </c>
      <c r="Z29" s="15">
        <v>520</v>
      </c>
      <c r="AA29" s="10">
        <v>451</v>
      </c>
      <c r="AB29" s="10">
        <f t="shared" si="2"/>
        <v>250</v>
      </c>
      <c r="AC29" s="16">
        <f t="shared" si="3"/>
        <v>69.80552712384852</v>
      </c>
    </row>
    <row r="30" spans="1:29" ht="37.5" customHeight="1">
      <c r="A30" s="11">
        <v>28</v>
      </c>
      <c r="B30" s="11">
        <v>152</v>
      </c>
      <c r="C30" s="11">
        <v>12</v>
      </c>
      <c r="D30" s="11">
        <v>296</v>
      </c>
      <c r="E30" s="11">
        <v>241</v>
      </c>
      <c r="F30" s="11">
        <v>0</v>
      </c>
      <c r="G30" s="11">
        <v>0</v>
      </c>
      <c r="H30" s="11">
        <v>0</v>
      </c>
      <c r="I30" s="11">
        <v>1</v>
      </c>
      <c r="J30" s="11">
        <v>1</v>
      </c>
      <c r="K30" s="11">
        <v>1</v>
      </c>
      <c r="L30" s="11">
        <v>1</v>
      </c>
      <c r="M30" s="11">
        <v>2</v>
      </c>
      <c r="N30" s="11">
        <v>0</v>
      </c>
      <c r="O30" s="11">
        <v>4</v>
      </c>
      <c r="P30" s="11">
        <v>0</v>
      </c>
      <c r="Q30" s="11">
        <v>711</v>
      </c>
      <c r="R30" s="11">
        <f t="shared" si="0"/>
        <v>711</v>
      </c>
      <c r="S30" s="11">
        <f t="shared" si="1"/>
        <v>0</v>
      </c>
      <c r="T30" s="11">
        <v>4</v>
      </c>
      <c r="U30" s="11">
        <v>715</v>
      </c>
      <c r="V30" s="11">
        <v>0</v>
      </c>
      <c r="W30" s="12" t="s">
        <v>65</v>
      </c>
      <c r="X30" s="12" t="s">
        <v>67</v>
      </c>
      <c r="Y30" s="12">
        <v>1014</v>
      </c>
      <c r="Z30" s="12">
        <v>554</v>
      </c>
      <c r="AA30" s="13">
        <v>452</v>
      </c>
      <c r="AB30" s="13">
        <f t="shared" si="2"/>
        <v>144</v>
      </c>
      <c r="AC30" s="14">
        <f t="shared" si="3"/>
        <v>70.512820512820511</v>
      </c>
    </row>
    <row r="31" spans="1:29" ht="37.5" customHeight="1">
      <c r="A31" s="11">
        <v>29</v>
      </c>
      <c r="B31" s="11">
        <v>149</v>
      </c>
      <c r="C31" s="11">
        <v>163</v>
      </c>
      <c r="D31" s="11">
        <v>709</v>
      </c>
      <c r="E31" s="11">
        <v>7</v>
      </c>
      <c r="F31" s="11">
        <v>2</v>
      </c>
      <c r="G31" s="11">
        <v>4</v>
      </c>
      <c r="H31" s="11">
        <v>0</v>
      </c>
      <c r="I31" s="11">
        <v>1</v>
      </c>
      <c r="J31" s="11">
        <v>6</v>
      </c>
      <c r="K31" s="11">
        <v>0</v>
      </c>
      <c r="L31" s="11">
        <v>0</v>
      </c>
      <c r="M31" s="11">
        <v>0</v>
      </c>
      <c r="N31" s="11">
        <v>1</v>
      </c>
      <c r="O31" s="11">
        <v>3</v>
      </c>
      <c r="P31" s="11">
        <v>0</v>
      </c>
      <c r="Q31" s="11">
        <v>1045</v>
      </c>
      <c r="R31" s="11">
        <f t="shared" si="0"/>
        <v>1045</v>
      </c>
      <c r="S31" s="11">
        <f t="shared" si="1"/>
        <v>0</v>
      </c>
      <c r="T31" s="11">
        <v>2</v>
      </c>
      <c r="U31" s="11">
        <v>1047</v>
      </c>
      <c r="V31" s="11">
        <v>0</v>
      </c>
      <c r="W31" s="12" t="s">
        <v>68</v>
      </c>
      <c r="X31" s="12" t="s">
        <v>69</v>
      </c>
      <c r="Y31" s="12">
        <v>1267</v>
      </c>
      <c r="Z31" s="12">
        <v>645</v>
      </c>
      <c r="AA31" s="13">
        <v>622</v>
      </c>
      <c r="AB31" s="13">
        <f t="shared" si="2"/>
        <v>560</v>
      </c>
      <c r="AC31" s="14">
        <f t="shared" si="3"/>
        <v>82.636148382004734</v>
      </c>
    </row>
    <row r="32" spans="1:29" ht="37.5" customHeight="1">
      <c r="A32" s="11">
        <v>30</v>
      </c>
      <c r="B32" s="11">
        <v>28</v>
      </c>
      <c r="C32" s="11">
        <v>3</v>
      </c>
      <c r="D32" s="11">
        <v>357</v>
      </c>
      <c r="E32" s="11">
        <v>2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  <c r="O32" s="11">
        <v>0</v>
      </c>
      <c r="P32" s="11">
        <v>0</v>
      </c>
      <c r="Q32" s="11">
        <v>391</v>
      </c>
      <c r="R32" s="11">
        <f t="shared" si="0"/>
        <v>391</v>
      </c>
      <c r="S32" s="11">
        <f t="shared" si="1"/>
        <v>0</v>
      </c>
      <c r="T32" s="11">
        <v>1</v>
      </c>
      <c r="U32" s="11">
        <v>392</v>
      </c>
      <c r="V32" s="11">
        <v>0</v>
      </c>
      <c r="W32" s="12" t="s">
        <v>68</v>
      </c>
      <c r="X32" s="12" t="s">
        <v>70</v>
      </c>
      <c r="Y32" s="12">
        <v>485</v>
      </c>
      <c r="Z32" s="12">
        <v>232</v>
      </c>
      <c r="AA32" s="13">
        <v>253</v>
      </c>
      <c r="AB32" s="13">
        <f t="shared" si="2"/>
        <v>329</v>
      </c>
      <c r="AC32" s="14">
        <f t="shared" si="3"/>
        <v>80.824742268041234</v>
      </c>
    </row>
    <row r="33" spans="1:29" ht="37.5" customHeight="1">
      <c r="A33" s="9">
        <v>31</v>
      </c>
      <c r="B33" s="9">
        <v>337</v>
      </c>
      <c r="C33" s="9">
        <v>10</v>
      </c>
      <c r="D33" s="9">
        <v>238</v>
      </c>
      <c r="E33" s="9">
        <v>167</v>
      </c>
      <c r="F33" s="9">
        <v>0</v>
      </c>
      <c r="G33" s="9">
        <v>1</v>
      </c>
      <c r="H33" s="9">
        <v>0</v>
      </c>
      <c r="I33" s="9">
        <v>0</v>
      </c>
      <c r="J33" s="9">
        <v>0</v>
      </c>
      <c r="K33" s="9">
        <v>0</v>
      </c>
      <c r="L33" s="9">
        <v>1</v>
      </c>
      <c r="M33" s="9">
        <v>0</v>
      </c>
      <c r="N33" s="9">
        <v>0</v>
      </c>
      <c r="O33" s="9">
        <v>3</v>
      </c>
      <c r="P33" s="9">
        <v>0</v>
      </c>
      <c r="Q33" s="9">
        <v>757</v>
      </c>
      <c r="R33" s="9">
        <f t="shared" si="0"/>
        <v>757</v>
      </c>
      <c r="S33" s="9">
        <f t="shared" si="1"/>
        <v>0</v>
      </c>
      <c r="T33" s="9">
        <v>6</v>
      </c>
      <c r="U33" s="9">
        <v>763</v>
      </c>
      <c r="V33" s="9">
        <v>0</v>
      </c>
      <c r="W33" s="15" t="s">
        <v>71</v>
      </c>
      <c r="X33" s="15" t="s">
        <v>72</v>
      </c>
      <c r="Y33" s="15">
        <v>1201</v>
      </c>
      <c r="Z33" s="15">
        <v>668</v>
      </c>
      <c r="AA33" s="10">
        <v>522</v>
      </c>
      <c r="AB33" s="10">
        <f t="shared" si="2"/>
        <v>99</v>
      </c>
      <c r="AC33" s="16">
        <f t="shared" si="3"/>
        <v>63.530391340549542</v>
      </c>
    </row>
    <row r="34" spans="1:29" ht="37.5" customHeight="1">
      <c r="A34" s="11">
        <v>32</v>
      </c>
      <c r="B34" s="11">
        <v>196</v>
      </c>
      <c r="C34" s="11">
        <v>2</v>
      </c>
      <c r="D34" s="11">
        <v>913</v>
      </c>
      <c r="E34" s="11">
        <v>4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1115</v>
      </c>
      <c r="R34" s="11">
        <f t="shared" si="0"/>
        <v>1115</v>
      </c>
      <c r="S34" s="11">
        <f t="shared" si="1"/>
        <v>0</v>
      </c>
      <c r="T34" s="11">
        <v>0</v>
      </c>
      <c r="U34" s="11">
        <v>1115</v>
      </c>
      <c r="V34" s="11">
        <v>0</v>
      </c>
      <c r="W34" s="12" t="s">
        <v>73</v>
      </c>
      <c r="X34" s="12" t="s">
        <v>74</v>
      </c>
      <c r="Y34" s="12">
        <v>1305</v>
      </c>
      <c r="Z34" s="12">
        <v>704</v>
      </c>
      <c r="AA34" s="13">
        <v>601</v>
      </c>
      <c r="AB34" s="13">
        <f t="shared" si="2"/>
        <v>717</v>
      </c>
      <c r="AC34" s="14">
        <f t="shared" si="3"/>
        <v>85.440613026819918</v>
      </c>
    </row>
    <row r="35" spans="1:29" ht="37.5" customHeight="1">
      <c r="A35" s="11">
        <v>33</v>
      </c>
      <c r="B35" s="11">
        <v>118</v>
      </c>
      <c r="C35" s="11">
        <v>1</v>
      </c>
      <c r="D35" s="11">
        <v>302</v>
      </c>
      <c r="E35" s="11">
        <v>11</v>
      </c>
      <c r="F35" s="11">
        <v>0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1</v>
      </c>
      <c r="O35" s="11">
        <v>9</v>
      </c>
      <c r="P35" s="11">
        <v>0</v>
      </c>
      <c r="Q35" s="11">
        <v>444</v>
      </c>
      <c r="R35" s="11">
        <f t="shared" si="0"/>
        <v>444</v>
      </c>
      <c r="S35" s="11">
        <f t="shared" si="1"/>
        <v>0</v>
      </c>
      <c r="T35" s="11">
        <v>3</v>
      </c>
      <c r="U35" s="11">
        <v>447</v>
      </c>
      <c r="V35" s="11">
        <v>0</v>
      </c>
      <c r="W35" s="12" t="s">
        <v>73</v>
      </c>
      <c r="X35" s="12" t="s">
        <v>74</v>
      </c>
      <c r="Y35" s="12">
        <v>581</v>
      </c>
      <c r="Z35" s="12">
        <v>316</v>
      </c>
      <c r="AA35" s="13">
        <v>265</v>
      </c>
      <c r="AB35" s="13">
        <f t="shared" si="2"/>
        <v>184</v>
      </c>
      <c r="AC35" s="14">
        <f t="shared" si="3"/>
        <v>76.936316695352829</v>
      </c>
    </row>
    <row r="36" spans="1:29" ht="37.5" customHeight="1">
      <c r="A36" s="9">
        <v>34</v>
      </c>
      <c r="B36" s="9">
        <v>432</v>
      </c>
      <c r="C36" s="9">
        <v>1</v>
      </c>
      <c r="D36" s="9">
        <v>213</v>
      </c>
      <c r="E36" s="9">
        <v>21</v>
      </c>
      <c r="F36" s="9">
        <v>1</v>
      </c>
      <c r="G36" s="9">
        <v>0</v>
      </c>
      <c r="H36" s="9">
        <v>0</v>
      </c>
      <c r="I36" s="9">
        <v>11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</v>
      </c>
      <c r="P36" s="9">
        <v>0</v>
      </c>
      <c r="Q36" s="9">
        <v>680</v>
      </c>
      <c r="R36" s="9">
        <f t="shared" si="0"/>
        <v>680</v>
      </c>
      <c r="S36" s="9">
        <f t="shared" si="1"/>
        <v>0</v>
      </c>
      <c r="T36" s="9">
        <v>2</v>
      </c>
      <c r="U36" s="9">
        <v>682</v>
      </c>
      <c r="V36" s="9">
        <v>0</v>
      </c>
      <c r="W36" s="15" t="s">
        <v>75</v>
      </c>
      <c r="X36" s="15" t="s">
        <v>76</v>
      </c>
      <c r="Y36" s="15">
        <v>780</v>
      </c>
      <c r="Z36" s="15">
        <v>316</v>
      </c>
      <c r="AA36" s="10">
        <v>289</v>
      </c>
      <c r="AB36" s="10">
        <f t="shared" si="2"/>
        <v>219</v>
      </c>
      <c r="AC36" s="16">
        <f t="shared" si="3"/>
        <v>87.435897435897431</v>
      </c>
    </row>
    <row r="37" spans="1:29" ht="37.5" customHeight="1">
      <c r="A37" s="11">
        <v>35</v>
      </c>
      <c r="B37" s="11">
        <v>24</v>
      </c>
      <c r="C37" s="11">
        <v>3</v>
      </c>
      <c r="D37" s="11">
        <v>79</v>
      </c>
      <c r="E37" s="11">
        <v>277</v>
      </c>
      <c r="F37" s="11">
        <v>1</v>
      </c>
      <c r="G37" s="11">
        <v>1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11">
        <v>1</v>
      </c>
      <c r="O37" s="11">
        <v>0</v>
      </c>
      <c r="P37" s="11">
        <v>0</v>
      </c>
      <c r="Q37" s="11">
        <v>387</v>
      </c>
      <c r="R37" s="11">
        <f t="shared" si="0"/>
        <v>387</v>
      </c>
      <c r="S37" s="11">
        <f t="shared" si="1"/>
        <v>0</v>
      </c>
      <c r="T37" s="11">
        <v>2</v>
      </c>
      <c r="U37" s="11">
        <v>389</v>
      </c>
      <c r="V37" s="11">
        <v>0</v>
      </c>
      <c r="W37" s="12" t="s">
        <v>75</v>
      </c>
      <c r="X37" s="12" t="s">
        <v>76</v>
      </c>
      <c r="Y37" s="13">
        <v>450</v>
      </c>
      <c r="Z37" s="13">
        <v>240</v>
      </c>
      <c r="AA37" s="13">
        <v>210</v>
      </c>
      <c r="AB37" s="13">
        <f t="shared" si="2"/>
        <v>55</v>
      </c>
      <c r="AC37" s="14">
        <f t="shared" si="3"/>
        <v>86.444444444444443</v>
      </c>
    </row>
    <row r="38" spans="1:29" ht="37.5" customHeight="1">
      <c r="A38" s="9">
        <v>36</v>
      </c>
      <c r="B38" s="9">
        <v>519</v>
      </c>
      <c r="C38" s="9">
        <v>0</v>
      </c>
      <c r="D38" s="9">
        <v>75</v>
      </c>
      <c r="E38" s="9">
        <v>1</v>
      </c>
      <c r="F38" s="9">
        <v>1</v>
      </c>
      <c r="G38" s="9">
        <v>0</v>
      </c>
      <c r="H38" s="9">
        <v>0</v>
      </c>
      <c r="I38" s="9">
        <v>0</v>
      </c>
      <c r="J38" s="9">
        <v>4</v>
      </c>
      <c r="K38" s="9">
        <v>0</v>
      </c>
      <c r="L38" s="9">
        <v>0</v>
      </c>
      <c r="M38" s="9">
        <v>0</v>
      </c>
      <c r="N38" s="9">
        <v>0</v>
      </c>
      <c r="O38" s="9">
        <v>2</v>
      </c>
      <c r="P38" s="9">
        <v>2</v>
      </c>
      <c r="Q38" s="9">
        <v>604</v>
      </c>
      <c r="R38" s="9">
        <f t="shared" si="0"/>
        <v>604</v>
      </c>
      <c r="S38" s="9">
        <f t="shared" si="1"/>
        <v>0</v>
      </c>
      <c r="T38" s="9">
        <v>6</v>
      </c>
      <c r="U38" s="9">
        <v>610</v>
      </c>
      <c r="V38" s="9">
        <v>0</v>
      </c>
      <c r="W38" s="15" t="s">
        <v>77</v>
      </c>
      <c r="X38" s="15" t="s">
        <v>78</v>
      </c>
      <c r="Y38" s="15">
        <v>902</v>
      </c>
      <c r="Z38" s="15">
        <v>496</v>
      </c>
      <c r="AA38" s="10">
        <v>401</v>
      </c>
      <c r="AB38" s="10">
        <f t="shared" si="2"/>
        <v>444</v>
      </c>
      <c r="AC38" s="16">
        <f t="shared" si="3"/>
        <v>67.627494456762747</v>
      </c>
    </row>
    <row r="39" spans="1:29" ht="37.5" customHeight="1">
      <c r="A39" s="11">
        <v>37</v>
      </c>
      <c r="B39" s="11">
        <v>356</v>
      </c>
      <c r="C39" s="11">
        <v>29</v>
      </c>
      <c r="D39" s="11">
        <v>385</v>
      </c>
      <c r="E39" s="11">
        <v>20</v>
      </c>
      <c r="F39" s="11">
        <v>0</v>
      </c>
      <c r="G39" s="11">
        <v>0</v>
      </c>
      <c r="H39" s="11">
        <v>0</v>
      </c>
      <c r="I39" s="11">
        <v>0</v>
      </c>
      <c r="J39" s="11">
        <v>58</v>
      </c>
      <c r="K39" s="11">
        <v>0</v>
      </c>
      <c r="L39" s="11">
        <v>0</v>
      </c>
      <c r="M39" s="11">
        <v>0</v>
      </c>
      <c r="N39" s="11">
        <v>0</v>
      </c>
      <c r="O39" s="11">
        <v>1</v>
      </c>
      <c r="P39" s="11">
        <v>0</v>
      </c>
      <c r="Q39" s="11">
        <v>849</v>
      </c>
      <c r="R39" s="11">
        <f t="shared" si="0"/>
        <v>849</v>
      </c>
      <c r="S39" s="11">
        <f t="shared" si="1"/>
        <v>0</v>
      </c>
      <c r="T39" s="11">
        <v>8</v>
      </c>
      <c r="U39" s="11">
        <v>857</v>
      </c>
      <c r="V39" s="11">
        <v>0</v>
      </c>
      <c r="W39" s="12" t="s">
        <v>79</v>
      </c>
      <c r="X39" s="12" t="s">
        <v>80</v>
      </c>
      <c r="Y39" s="12">
        <v>1146</v>
      </c>
      <c r="Z39" s="12">
        <v>609</v>
      </c>
      <c r="AA39" s="13">
        <v>537</v>
      </c>
      <c r="AB39" s="13">
        <f t="shared" si="2"/>
        <v>29</v>
      </c>
      <c r="AC39" s="14">
        <f t="shared" si="3"/>
        <v>74.781849912739958</v>
      </c>
    </row>
    <row r="40" spans="1:29" ht="37.5" customHeight="1">
      <c r="A40" s="11">
        <v>38</v>
      </c>
      <c r="B40" s="11">
        <v>314</v>
      </c>
      <c r="C40" s="11">
        <v>80</v>
      </c>
      <c r="D40" s="11">
        <v>343</v>
      </c>
      <c r="E40" s="11">
        <v>17</v>
      </c>
      <c r="F40" s="11">
        <v>1</v>
      </c>
      <c r="G40" s="11">
        <v>1</v>
      </c>
      <c r="H40" s="11">
        <v>0</v>
      </c>
      <c r="I40" s="11">
        <v>0</v>
      </c>
      <c r="J40" s="11">
        <v>39</v>
      </c>
      <c r="K40" s="11">
        <v>1</v>
      </c>
      <c r="L40" s="11">
        <v>0</v>
      </c>
      <c r="M40" s="11">
        <v>2</v>
      </c>
      <c r="N40" s="11">
        <v>2</v>
      </c>
      <c r="O40" s="11">
        <v>3</v>
      </c>
      <c r="P40" s="11">
        <v>0</v>
      </c>
      <c r="Q40" s="11">
        <v>803</v>
      </c>
      <c r="R40" s="11">
        <f t="shared" si="0"/>
        <v>803</v>
      </c>
      <c r="S40" s="11">
        <f t="shared" si="1"/>
        <v>0</v>
      </c>
      <c r="T40" s="11">
        <v>8</v>
      </c>
      <c r="U40" s="11">
        <v>811</v>
      </c>
      <c r="V40" s="11">
        <v>0</v>
      </c>
      <c r="W40" s="12" t="s">
        <v>79</v>
      </c>
      <c r="X40" s="12" t="s">
        <v>76</v>
      </c>
      <c r="Y40" s="12">
        <v>1100</v>
      </c>
      <c r="Z40" s="12">
        <v>578</v>
      </c>
      <c r="AA40" s="13">
        <v>522</v>
      </c>
      <c r="AB40" s="13">
        <f t="shared" si="2"/>
        <v>29</v>
      </c>
      <c r="AC40" s="14">
        <f t="shared" si="3"/>
        <v>73.727272727272734</v>
      </c>
    </row>
    <row r="41" spans="1:29" ht="37.5" customHeight="1">
      <c r="A41" s="9">
        <v>39</v>
      </c>
      <c r="B41" s="9">
        <v>276</v>
      </c>
      <c r="C41" s="9">
        <v>0</v>
      </c>
      <c r="D41" s="9">
        <v>66</v>
      </c>
      <c r="E41" s="9">
        <v>560</v>
      </c>
      <c r="F41" s="9">
        <v>1</v>
      </c>
      <c r="G41" s="9">
        <v>1</v>
      </c>
      <c r="H41" s="9">
        <v>0</v>
      </c>
      <c r="I41" s="9">
        <v>0</v>
      </c>
      <c r="J41" s="9">
        <v>1</v>
      </c>
      <c r="K41" s="9">
        <v>1</v>
      </c>
      <c r="L41" s="9">
        <v>1</v>
      </c>
      <c r="M41" s="9">
        <v>1</v>
      </c>
      <c r="N41" s="9">
        <v>3</v>
      </c>
      <c r="O41" s="9">
        <v>2</v>
      </c>
      <c r="P41" s="9">
        <v>1</v>
      </c>
      <c r="Q41" s="9">
        <v>914</v>
      </c>
      <c r="R41" s="9">
        <f t="shared" si="0"/>
        <v>914</v>
      </c>
      <c r="S41" s="9">
        <f t="shared" si="1"/>
        <v>0</v>
      </c>
      <c r="T41" s="9">
        <v>6</v>
      </c>
      <c r="U41" s="9">
        <v>920</v>
      </c>
      <c r="V41" s="9">
        <v>0</v>
      </c>
      <c r="W41" s="15" t="s">
        <v>79</v>
      </c>
      <c r="X41" s="15" t="s">
        <v>81</v>
      </c>
      <c r="Y41" s="15">
        <v>1205</v>
      </c>
      <c r="Z41" s="15">
        <v>659</v>
      </c>
      <c r="AA41" s="10">
        <v>545</v>
      </c>
      <c r="AB41" s="10">
        <f t="shared" si="2"/>
        <v>210</v>
      </c>
      <c r="AC41" s="16">
        <f t="shared" si="3"/>
        <v>76.348547717842322</v>
      </c>
    </row>
    <row r="42" spans="1:29" ht="37.5" customHeight="1">
      <c r="A42" s="9">
        <v>40</v>
      </c>
      <c r="B42" s="9">
        <v>509</v>
      </c>
      <c r="C42" s="9">
        <v>4</v>
      </c>
      <c r="D42" s="9">
        <v>157</v>
      </c>
      <c r="E42" s="9">
        <v>76</v>
      </c>
      <c r="F42" s="9">
        <v>1</v>
      </c>
      <c r="G42" s="9">
        <v>0</v>
      </c>
      <c r="H42" s="9">
        <v>2</v>
      </c>
      <c r="I42" s="9">
        <v>3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753</v>
      </c>
      <c r="R42" s="9">
        <f t="shared" si="0"/>
        <v>753</v>
      </c>
      <c r="S42" s="9">
        <f t="shared" si="1"/>
        <v>0</v>
      </c>
      <c r="T42" s="9">
        <v>5</v>
      </c>
      <c r="U42" s="9">
        <v>758</v>
      </c>
      <c r="V42" s="9">
        <v>0</v>
      </c>
      <c r="W42" s="15" t="s">
        <v>82</v>
      </c>
      <c r="X42" s="15" t="s">
        <v>83</v>
      </c>
      <c r="Y42" s="15">
        <v>1136</v>
      </c>
      <c r="Z42" s="15">
        <v>647</v>
      </c>
      <c r="AA42" s="10">
        <v>489</v>
      </c>
      <c r="AB42" s="10">
        <f t="shared" si="2"/>
        <v>352</v>
      </c>
      <c r="AC42" s="16">
        <f t="shared" si="3"/>
        <v>66.725352112676063</v>
      </c>
    </row>
    <row r="43" spans="1:29" ht="37.5" customHeight="1">
      <c r="A43" s="9">
        <v>41</v>
      </c>
      <c r="B43" s="9">
        <v>520</v>
      </c>
      <c r="C43" s="9">
        <v>3</v>
      </c>
      <c r="D43" s="9">
        <v>267</v>
      </c>
      <c r="E43" s="9">
        <v>118</v>
      </c>
      <c r="F43" s="9">
        <v>1</v>
      </c>
      <c r="G43" s="9">
        <v>0</v>
      </c>
      <c r="H43" s="9">
        <v>0</v>
      </c>
      <c r="I43" s="9">
        <v>1</v>
      </c>
      <c r="J43" s="9">
        <v>0</v>
      </c>
      <c r="K43" s="9">
        <v>0</v>
      </c>
      <c r="L43" s="9">
        <v>1</v>
      </c>
      <c r="M43" s="9">
        <v>0</v>
      </c>
      <c r="N43" s="9">
        <v>0</v>
      </c>
      <c r="O43" s="9">
        <v>2</v>
      </c>
      <c r="P43" s="9">
        <v>2</v>
      </c>
      <c r="Q43" s="9">
        <v>915</v>
      </c>
      <c r="R43" s="9">
        <f t="shared" si="0"/>
        <v>915</v>
      </c>
      <c r="S43" s="9">
        <f t="shared" si="1"/>
        <v>0</v>
      </c>
      <c r="T43" s="9">
        <v>5</v>
      </c>
      <c r="U43" s="9">
        <v>920</v>
      </c>
      <c r="V43" s="9">
        <v>0</v>
      </c>
      <c r="W43" s="15" t="s">
        <v>84</v>
      </c>
      <c r="X43" s="15" t="s">
        <v>85</v>
      </c>
      <c r="Y43" s="15">
        <v>1235</v>
      </c>
      <c r="Z43" s="15">
        <v>684</v>
      </c>
      <c r="AA43" s="10">
        <v>551</v>
      </c>
      <c r="AB43" s="10">
        <f t="shared" si="2"/>
        <v>253</v>
      </c>
      <c r="AC43" s="16">
        <f t="shared" si="3"/>
        <v>74.493927125506076</v>
      </c>
    </row>
    <row r="44" spans="1:29" ht="37.5" customHeight="1">
      <c r="A44" s="9">
        <v>42</v>
      </c>
      <c r="B44" s="9">
        <v>269</v>
      </c>
      <c r="C44" s="9">
        <v>13</v>
      </c>
      <c r="D44" s="9">
        <v>54</v>
      </c>
      <c r="E44" s="9">
        <v>32</v>
      </c>
      <c r="F44" s="9">
        <v>0</v>
      </c>
      <c r="G44" s="9">
        <v>1</v>
      </c>
      <c r="H44" s="9">
        <v>0</v>
      </c>
      <c r="I44" s="9">
        <v>1</v>
      </c>
      <c r="J44" s="9">
        <v>2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</v>
      </c>
      <c r="Q44" s="9">
        <v>373</v>
      </c>
      <c r="R44" s="9">
        <f t="shared" si="0"/>
        <v>373</v>
      </c>
      <c r="S44" s="9">
        <f t="shared" si="1"/>
        <v>0</v>
      </c>
      <c r="T44" s="9">
        <v>4</v>
      </c>
      <c r="U44" s="9">
        <v>377</v>
      </c>
      <c r="V44" s="9">
        <v>0</v>
      </c>
      <c r="W44" s="15" t="s">
        <v>82</v>
      </c>
      <c r="X44" s="15" t="s">
        <v>86</v>
      </c>
      <c r="Y44" s="15">
        <v>537</v>
      </c>
      <c r="Z44" s="15">
        <v>274</v>
      </c>
      <c r="AA44" s="10">
        <v>263</v>
      </c>
      <c r="AB44" s="10">
        <f t="shared" si="2"/>
        <v>215</v>
      </c>
      <c r="AC44" s="16">
        <f t="shared" si="3"/>
        <v>70.204841713221597</v>
      </c>
    </row>
    <row r="45" spans="1:29" ht="37.5" customHeight="1">
      <c r="A45" s="11">
        <v>43</v>
      </c>
      <c r="B45" s="11">
        <v>219</v>
      </c>
      <c r="C45" s="11">
        <v>1</v>
      </c>
      <c r="D45" s="11">
        <v>232</v>
      </c>
      <c r="E45" s="11">
        <v>47</v>
      </c>
      <c r="F45" s="11">
        <v>0</v>
      </c>
      <c r="G45" s="11">
        <v>1</v>
      </c>
      <c r="H45" s="11">
        <v>0</v>
      </c>
      <c r="I45" s="11">
        <v>1</v>
      </c>
      <c r="J45" s="11">
        <v>1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1</v>
      </c>
      <c r="Q45" s="11">
        <v>503</v>
      </c>
      <c r="R45" s="11">
        <f t="shared" si="0"/>
        <v>503</v>
      </c>
      <c r="S45" s="11">
        <f t="shared" si="1"/>
        <v>0</v>
      </c>
      <c r="T45" s="11">
        <v>2</v>
      </c>
      <c r="U45" s="11">
        <v>505</v>
      </c>
      <c r="V45" s="11">
        <v>0</v>
      </c>
      <c r="W45" s="12" t="s">
        <v>87</v>
      </c>
      <c r="X45" s="12" t="s">
        <v>76</v>
      </c>
      <c r="Y45" s="12">
        <v>856</v>
      </c>
      <c r="Z45" s="12">
        <v>445</v>
      </c>
      <c r="AA45" s="13">
        <v>405</v>
      </c>
      <c r="AB45" s="13">
        <f t="shared" si="2"/>
        <v>13</v>
      </c>
      <c r="AC45" s="14">
        <f t="shared" si="3"/>
        <v>58.995327102803742</v>
      </c>
    </row>
    <row r="46" spans="1:29" ht="37.5" customHeight="1">
      <c r="A46" s="9">
        <v>44</v>
      </c>
      <c r="B46" s="9">
        <v>149</v>
      </c>
      <c r="C46" s="9">
        <v>1</v>
      </c>
      <c r="D46" s="9">
        <v>78</v>
      </c>
      <c r="E46" s="9">
        <v>72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301</v>
      </c>
      <c r="R46" s="9">
        <f t="shared" si="0"/>
        <v>301</v>
      </c>
      <c r="S46" s="9">
        <f t="shared" si="1"/>
        <v>0</v>
      </c>
      <c r="T46" s="9">
        <v>2</v>
      </c>
      <c r="U46" s="9">
        <v>303</v>
      </c>
      <c r="V46" s="9">
        <v>0</v>
      </c>
      <c r="W46" s="15" t="s">
        <v>87</v>
      </c>
      <c r="X46" s="15" t="s">
        <v>88</v>
      </c>
      <c r="Y46" s="15">
        <v>509</v>
      </c>
      <c r="Z46" s="15">
        <v>276</v>
      </c>
      <c r="AA46" s="10">
        <v>225</v>
      </c>
      <c r="AB46" s="10">
        <f t="shared" si="2"/>
        <v>71</v>
      </c>
      <c r="AC46" s="16">
        <f t="shared" si="3"/>
        <v>59.528487229862471</v>
      </c>
    </row>
    <row r="47" spans="1:29" ht="37.5" customHeight="1">
      <c r="A47" s="9">
        <v>45</v>
      </c>
      <c r="B47" s="9">
        <v>429</v>
      </c>
      <c r="C47" s="9">
        <v>0</v>
      </c>
      <c r="D47" s="9">
        <v>243</v>
      </c>
      <c r="E47" s="9">
        <v>1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0</v>
      </c>
      <c r="O47" s="9">
        <v>1</v>
      </c>
      <c r="P47" s="9">
        <v>0</v>
      </c>
      <c r="Q47" s="9">
        <v>676</v>
      </c>
      <c r="R47" s="9">
        <f t="shared" si="0"/>
        <v>676</v>
      </c>
      <c r="S47" s="9">
        <f t="shared" si="1"/>
        <v>0</v>
      </c>
      <c r="T47" s="9">
        <v>2</v>
      </c>
      <c r="U47" s="9">
        <v>678</v>
      </c>
      <c r="V47" s="9">
        <v>0</v>
      </c>
      <c r="W47" s="15" t="s">
        <v>89</v>
      </c>
      <c r="X47" s="15" t="s">
        <v>90</v>
      </c>
      <c r="Y47" s="15">
        <v>864</v>
      </c>
      <c r="Z47" s="15">
        <v>470</v>
      </c>
      <c r="AA47" s="10">
        <v>394</v>
      </c>
      <c r="AB47" s="10">
        <f t="shared" si="2"/>
        <v>186</v>
      </c>
      <c r="AC47" s="16">
        <f t="shared" si="3"/>
        <v>78.472222222222214</v>
      </c>
    </row>
    <row r="48" spans="1:29" ht="37.5" customHeight="1">
      <c r="A48" s="9">
        <v>46</v>
      </c>
      <c r="B48" s="9">
        <v>377</v>
      </c>
      <c r="C48" s="9">
        <v>3</v>
      </c>
      <c r="D48" s="9">
        <v>343</v>
      </c>
      <c r="E48" s="9">
        <v>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1</v>
      </c>
      <c r="N48" s="9">
        <v>0</v>
      </c>
      <c r="O48" s="9">
        <v>3</v>
      </c>
      <c r="P48" s="9">
        <v>1</v>
      </c>
      <c r="Q48" s="9">
        <v>730</v>
      </c>
      <c r="R48" s="9">
        <f t="shared" si="0"/>
        <v>730</v>
      </c>
      <c r="S48" s="9">
        <f t="shared" si="1"/>
        <v>0</v>
      </c>
      <c r="T48" s="9">
        <v>4</v>
      </c>
      <c r="U48" s="9">
        <v>734</v>
      </c>
      <c r="V48" s="9">
        <v>0</v>
      </c>
      <c r="W48" s="15" t="s">
        <v>91</v>
      </c>
      <c r="X48" s="15" t="s">
        <v>76</v>
      </c>
      <c r="Y48" s="15">
        <v>1042</v>
      </c>
      <c r="Z48" s="15">
        <v>564</v>
      </c>
      <c r="AA48" s="10">
        <v>477</v>
      </c>
      <c r="AB48" s="10">
        <f t="shared" si="2"/>
        <v>34</v>
      </c>
      <c r="AC48" s="16">
        <f t="shared" si="3"/>
        <v>70.44145873320538</v>
      </c>
    </row>
    <row r="49" spans="1:29" ht="37.5" customHeight="1">
      <c r="A49" s="9">
        <v>47</v>
      </c>
      <c r="B49" s="9">
        <v>440</v>
      </c>
      <c r="C49" s="9">
        <v>3</v>
      </c>
      <c r="D49" s="9">
        <v>139</v>
      </c>
      <c r="E49" s="9">
        <v>12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</v>
      </c>
      <c r="P49" s="9">
        <v>0</v>
      </c>
      <c r="Q49" s="9">
        <v>595</v>
      </c>
      <c r="R49" s="9">
        <f t="shared" si="0"/>
        <v>595</v>
      </c>
      <c r="S49" s="9">
        <f t="shared" si="1"/>
        <v>0</v>
      </c>
      <c r="T49" s="9">
        <v>1</v>
      </c>
      <c r="U49" s="9">
        <v>596</v>
      </c>
      <c r="V49" s="9">
        <v>0</v>
      </c>
      <c r="W49" s="15" t="s">
        <v>91</v>
      </c>
      <c r="X49" s="15" t="s">
        <v>92</v>
      </c>
      <c r="Y49" s="15">
        <v>885</v>
      </c>
      <c r="Z49" s="15">
        <v>481</v>
      </c>
      <c r="AA49" s="10">
        <v>401</v>
      </c>
      <c r="AB49" s="10">
        <f t="shared" si="2"/>
        <v>301</v>
      </c>
      <c r="AC49" s="16">
        <f t="shared" si="3"/>
        <v>67.344632768361578</v>
      </c>
    </row>
    <row r="50" spans="1:29" ht="37.5" customHeight="1">
      <c r="A50" s="11">
        <v>48</v>
      </c>
      <c r="B50" s="11">
        <v>59</v>
      </c>
      <c r="C50" s="11">
        <v>0</v>
      </c>
      <c r="D50" s="11">
        <v>316</v>
      </c>
      <c r="E50" s="11">
        <v>1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1</v>
      </c>
      <c r="M50" s="11">
        <v>0</v>
      </c>
      <c r="N50" s="11">
        <v>0</v>
      </c>
      <c r="O50" s="11">
        <v>0</v>
      </c>
      <c r="P50" s="11">
        <v>0</v>
      </c>
      <c r="Q50" s="11">
        <v>377</v>
      </c>
      <c r="R50" s="11">
        <f t="shared" si="0"/>
        <v>377</v>
      </c>
      <c r="S50" s="11">
        <f t="shared" si="1"/>
        <v>0</v>
      </c>
      <c r="T50" s="11">
        <v>0</v>
      </c>
      <c r="U50" s="11">
        <v>377</v>
      </c>
      <c r="V50" s="11">
        <v>0</v>
      </c>
      <c r="W50" s="12" t="s">
        <v>93</v>
      </c>
      <c r="X50" s="12" t="s">
        <v>76</v>
      </c>
      <c r="Y50" s="12">
        <v>615</v>
      </c>
      <c r="Z50" s="12">
        <v>328</v>
      </c>
      <c r="AA50" s="13">
        <v>286</v>
      </c>
      <c r="AB50" s="13">
        <f t="shared" si="2"/>
        <v>257</v>
      </c>
      <c r="AC50" s="14">
        <f t="shared" si="3"/>
        <v>61.300813008130085</v>
      </c>
    </row>
    <row r="51" spans="1:29" ht="37.5" customHeight="1">
      <c r="A51" s="11">
        <v>49</v>
      </c>
      <c r="B51" s="11">
        <v>68</v>
      </c>
      <c r="C51" s="11">
        <v>0</v>
      </c>
      <c r="D51" s="11">
        <v>441</v>
      </c>
      <c r="E51" s="11">
        <v>1</v>
      </c>
      <c r="F51" s="11">
        <v>0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511</v>
      </c>
      <c r="R51" s="11">
        <f t="shared" si="0"/>
        <v>511</v>
      </c>
      <c r="S51" s="11">
        <f t="shared" si="1"/>
        <v>0</v>
      </c>
      <c r="T51" s="11">
        <v>1</v>
      </c>
      <c r="U51" s="11">
        <v>512</v>
      </c>
      <c r="V51" s="11">
        <v>0</v>
      </c>
      <c r="W51" s="12" t="s">
        <v>93</v>
      </c>
      <c r="X51" s="12" t="s">
        <v>76</v>
      </c>
      <c r="Y51" s="12">
        <v>960</v>
      </c>
      <c r="Z51" s="12">
        <v>532</v>
      </c>
      <c r="AA51" s="13">
        <v>428</v>
      </c>
      <c r="AB51" s="13">
        <f t="shared" si="2"/>
        <v>373</v>
      </c>
      <c r="AC51" s="14">
        <f t="shared" si="3"/>
        <v>53.333333333333336</v>
      </c>
    </row>
    <row r="52" spans="1:29" ht="37.5" customHeight="1">
      <c r="A52" s="9">
        <v>50</v>
      </c>
      <c r="B52" s="9">
        <v>330</v>
      </c>
      <c r="C52" s="9">
        <v>4</v>
      </c>
      <c r="D52" s="9">
        <v>194</v>
      </c>
      <c r="E52" s="9">
        <v>2</v>
      </c>
      <c r="F52" s="9">
        <v>0</v>
      </c>
      <c r="G52" s="9">
        <v>3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534</v>
      </c>
      <c r="R52" s="9">
        <f t="shared" si="0"/>
        <v>534</v>
      </c>
      <c r="S52" s="9">
        <f t="shared" si="1"/>
        <v>0</v>
      </c>
      <c r="T52" s="9">
        <v>5</v>
      </c>
      <c r="U52" s="9">
        <v>539</v>
      </c>
      <c r="V52" s="9">
        <v>0</v>
      </c>
      <c r="W52" s="15" t="s">
        <v>93</v>
      </c>
      <c r="X52" s="15" t="s">
        <v>94</v>
      </c>
      <c r="Y52" s="15">
        <v>905</v>
      </c>
      <c r="Z52" s="15">
        <v>476</v>
      </c>
      <c r="AA52" s="10">
        <v>408</v>
      </c>
      <c r="AB52" s="10">
        <f t="shared" si="2"/>
        <v>136</v>
      </c>
      <c r="AC52" s="16">
        <f t="shared" si="3"/>
        <v>59.55801104972376</v>
      </c>
    </row>
    <row r="53" spans="1:29" ht="37.5" customHeight="1">
      <c r="A53" s="11">
        <v>51</v>
      </c>
      <c r="B53" s="11">
        <v>141</v>
      </c>
      <c r="C53" s="11">
        <v>0</v>
      </c>
      <c r="D53" s="11">
        <v>337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1</v>
      </c>
      <c r="P53" s="11">
        <v>1</v>
      </c>
      <c r="Q53" s="11">
        <v>480</v>
      </c>
      <c r="R53" s="11">
        <f t="shared" si="0"/>
        <v>480</v>
      </c>
      <c r="S53" s="11">
        <f t="shared" si="1"/>
        <v>0</v>
      </c>
      <c r="T53" s="11">
        <v>3</v>
      </c>
      <c r="U53" s="11">
        <v>483</v>
      </c>
      <c r="V53" s="11">
        <v>0</v>
      </c>
      <c r="W53" s="12" t="s">
        <v>95</v>
      </c>
      <c r="X53" s="12" t="s">
        <v>96</v>
      </c>
      <c r="Y53" s="12">
        <v>714</v>
      </c>
      <c r="Z53" s="12">
        <v>361</v>
      </c>
      <c r="AA53" s="13">
        <v>336</v>
      </c>
      <c r="AB53" s="13">
        <f t="shared" si="2"/>
        <v>196</v>
      </c>
      <c r="AC53" s="14">
        <f t="shared" si="3"/>
        <v>67.64705882352942</v>
      </c>
    </row>
    <row r="54" spans="1:29" ht="37.5" customHeight="1">
      <c r="A54" s="11">
        <v>52</v>
      </c>
      <c r="B54" s="11">
        <v>186</v>
      </c>
      <c r="C54" s="11">
        <v>2</v>
      </c>
      <c r="D54" s="11">
        <v>284</v>
      </c>
      <c r="E54" s="11">
        <v>21</v>
      </c>
      <c r="F54" s="11">
        <v>0</v>
      </c>
      <c r="G54" s="11">
        <v>9</v>
      </c>
      <c r="H54" s="11">
        <v>1</v>
      </c>
      <c r="I54" s="11">
        <v>0</v>
      </c>
      <c r="J54" s="11">
        <v>0</v>
      </c>
      <c r="K54" s="11">
        <v>2</v>
      </c>
      <c r="L54" s="11">
        <v>1</v>
      </c>
      <c r="M54" s="11">
        <v>0</v>
      </c>
      <c r="N54" s="11">
        <v>0</v>
      </c>
      <c r="O54" s="11">
        <v>3</v>
      </c>
      <c r="P54" s="11">
        <v>0</v>
      </c>
      <c r="Q54" s="11">
        <v>509</v>
      </c>
      <c r="R54" s="11">
        <f t="shared" si="0"/>
        <v>509</v>
      </c>
      <c r="S54" s="11">
        <f t="shared" si="1"/>
        <v>0</v>
      </c>
      <c r="T54" s="11">
        <v>5</v>
      </c>
      <c r="U54" s="11">
        <v>514</v>
      </c>
      <c r="V54" s="11">
        <v>0</v>
      </c>
      <c r="W54" s="12" t="s">
        <v>97</v>
      </c>
      <c r="X54" s="12" t="s">
        <v>98</v>
      </c>
      <c r="Y54" s="12">
        <v>771</v>
      </c>
      <c r="Z54" s="12">
        <v>421</v>
      </c>
      <c r="AA54" s="13">
        <v>348</v>
      </c>
      <c r="AB54" s="13">
        <f t="shared" si="2"/>
        <v>98</v>
      </c>
      <c r="AC54" s="14">
        <f t="shared" si="3"/>
        <v>66.666666666666657</v>
      </c>
    </row>
    <row r="55" spans="1:29" ht="37.5" customHeight="1">
      <c r="A55" s="11">
        <v>53</v>
      </c>
      <c r="B55" s="11">
        <v>148</v>
      </c>
      <c r="C55" s="11">
        <v>4</v>
      </c>
      <c r="D55" s="11">
        <v>530</v>
      </c>
      <c r="E55" s="11">
        <v>15</v>
      </c>
      <c r="F55" s="11">
        <v>3</v>
      </c>
      <c r="G55" s="11">
        <v>0</v>
      </c>
      <c r="H55" s="11">
        <v>0</v>
      </c>
      <c r="I55" s="11">
        <v>1</v>
      </c>
      <c r="J55" s="11">
        <v>2</v>
      </c>
      <c r="K55" s="11">
        <v>2</v>
      </c>
      <c r="L55" s="11">
        <v>1</v>
      </c>
      <c r="M55" s="11">
        <v>1</v>
      </c>
      <c r="N55" s="11">
        <v>3</v>
      </c>
      <c r="O55" s="11">
        <v>9</v>
      </c>
      <c r="P55" s="11">
        <v>1</v>
      </c>
      <c r="Q55" s="11">
        <v>720</v>
      </c>
      <c r="R55" s="11">
        <f t="shared" si="0"/>
        <v>720</v>
      </c>
      <c r="S55" s="11">
        <f t="shared" si="1"/>
        <v>0</v>
      </c>
      <c r="T55" s="11">
        <v>8</v>
      </c>
      <c r="U55" s="11">
        <v>728</v>
      </c>
      <c r="V55" s="11">
        <v>0</v>
      </c>
      <c r="W55" s="12" t="s">
        <v>99</v>
      </c>
      <c r="X55" s="12" t="s">
        <v>100</v>
      </c>
      <c r="Y55" s="12">
        <v>1177</v>
      </c>
      <c r="Z55" s="12">
        <v>611</v>
      </c>
      <c r="AA55" s="13">
        <v>565</v>
      </c>
      <c r="AB55" s="13">
        <f t="shared" si="2"/>
        <v>382</v>
      </c>
      <c r="AC55" s="14">
        <f t="shared" si="3"/>
        <v>61.852166525063723</v>
      </c>
    </row>
    <row r="56" spans="1:29" ht="37.5" customHeight="1">
      <c r="A56" s="9">
        <v>54</v>
      </c>
      <c r="B56" s="9">
        <v>413</v>
      </c>
      <c r="C56" s="9">
        <v>3</v>
      </c>
      <c r="D56" s="9">
        <v>411</v>
      </c>
      <c r="E56" s="9">
        <v>49</v>
      </c>
      <c r="F56" s="9">
        <v>1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</v>
      </c>
      <c r="M56" s="9">
        <v>0</v>
      </c>
      <c r="N56" s="9">
        <v>4</v>
      </c>
      <c r="O56" s="9">
        <v>1</v>
      </c>
      <c r="P56" s="9">
        <v>1</v>
      </c>
      <c r="Q56" s="9">
        <v>884</v>
      </c>
      <c r="R56" s="9">
        <f t="shared" si="0"/>
        <v>884</v>
      </c>
      <c r="S56" s="9">
        <f t="shared" si="1"/>
        <v>0</v>
      </c>
      <c r="T56" s="9">
        <v>0</v>
      </c>
      <c r="U56" s="9">
        <v>884</v>
      </c>
      <c r="V56" s="9">
        <v>0</v>
      </c>
      <c r="W56" s="15" t="s">
        <v>101</v>
      </c>
      <c r="X56" s="15" t="s">
        <v>102</v>
      </c>
      <c r="Y56" s="15">
        <v>1311</v>
      </c>
      <c r="Z56" s="15">
        <v>697</v>
      </c>
      <c r="AA56" s="10">
        <v>610</v>
      </c>
      <c r="AB56" s="10">
        <f t="shared" si="2"/>
        <v>2</v>
      </c>
      <c r="AC56" s="16">
        <f t="shared" si="3"/>
        <v>67.429443173150275</v>
      </c>
    </row>
    <row r="57" spans="1:29" ht="37.5" customHeight="1">
      <c r="A57" s="9">
        <v>55</v>
      </c>
      <c r="B57" s="9">
        <v>580</v>
      </c>
      <c r="C57" s="9">
        <v>6</v>
      </c>
      <c r="D57" s="9">
        <v>247</v>
      </c>
      <c r="E57" s="9">
        <v>12</v>
      </c>
      <c r="F57" s="9">
        <v>0</v>
      </c>
      <c r="G57" s="9">
        <v>2</v>
      </c>
      <c r="H57" s="9">
        <v>0</v>
      </c>
      <c r="I57" s="9">
        <v>0</v>
      </c>
      <c r="J57" s="9">
        <v>1</v>
      </c>
      <c r="K57" s="9">
        <v>0</v>
      </c>
      <c r="L57" s="9">
        <v>0</v>
      </c>
      <c r="M57" s="9">
        <v>0</v>
      </c>
      <c r="N57" s="9">
        <v>3</v>
      </c>
      <c r="O57" s="9">
        <v>4</v>
      </c>
      <c r="P57" s="9">
        <v>4</v>
      </c>
      <c r="Q57" s="9">
        <v>859</v>
      </c>
      <c r="R57" s="9">
        <f t="shared" si="0"/>
        <v>859</v>
      </c>
      <c r="S57" s="9">
        <f t="shared" si="1"/>
        <v>0</v>
      </c>
      <c r="T57" s="9">
        <v>7</v>
      </c>
      <c r="U57" s="9">
        <v>866</v>
      </c>
      <c r="V57" s="9">
        <v>0</v>
      </c>
      <c r="W57" s="15" t="s">
        <v>103</v>
      </c>
      <c r="X57" s="15" t="s">
        <v>104</v>
      </c>
      <c r="Y57" s="15">
        <v>1384</v>
      </c>
      <c r="Z57" s="15">
        <v>725</v>
      </c>
      <c r="AA57" s="10">
        <v>654</v>
      </c>
      <c r="AB57" s="10">
        <f t="shared" si="2"/>
        <v>333</v>
      </c>
      <c r="AC57" s="16">
        <f t="shared" si="3"/>
        <v>62.572254335260112</v>
      </c>
    </row>
    <row r="58" spans="1:29" ht="37.5" customHeight="1">
      <c r="A58" s="11">
        <v>56</v>
      </c>
      <c r="B58" s="11">
        <v>302</v>
      </c>
      <c r="C58" s="11">
        <v>3</v>
      </c>
      <c r="D58" s="11">
        <v>468</v>
      </c>
      <c r="E58" s="11">
        <v>4</v>
      </c>
      <c r="F58" s="11">
        <v>0</v>
      </c>
      <c r="G58" s="11">
        <v>0</v>
      </c>
      <c r="H58" s="11">
        <v>0</v>
      </c>
      <c r="I58" s="11">
        <v>1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2</v>
      </c>
      <c r="P58" s="11">
        <v>1</v>
      </c>
      <c r="Q58" s="11">
        <v>781</v>
      </c>
      <c r="R58" s="11">
        <f t="shared" si="0"/>
        <v>781</v>
      </c>
      <c r="S58" s="11">
        <f t="shared" si="1"/>
        <v>0</v>
      </c>
      <c r="T58" s="11">
        <v>10</v>
      </c>
      <c r="U58" s="11">
        <v>791</v>
      </c>
      <c r="V58" s="11">
        <v>0</v>
      </c>
      <c r="W58" s="12" t="s">
        <v>105</v>
      </c>
      <c r="X58" s="12" t="s">
        <v>106</v>
      </c>
      <c r="Y58" s="12">
        <v>1237</v>
      </c>
      <c r="Z58" s="12">
        <v>637</v>
      </c>
      <c r="AA58" s="13">
        <v>592</v>
      </c>
      <c r="AB58" s="13">
        <f t="shared" si="2"/>
        <v>166</v>
      </c>
      <c r="AC58" s="14">
        <f t="shared" si="3"/>
        <v>63.945028294260311</v>
      </c>
    </row>
    <row r="59" spans="1:29" ht="37.5" customHeight="1">
      <c r="A59" s="11">
        <v>57</v>
      </c>
      <c r="B59" s="11">
        <v>82</v>
      </c>
      <c r="C59" s="11">
        <v>0</v>
      </c>
      <c r="D59" s="11">
        <v>125</v>
      </c>
      <c r="E59" s="11">
        <v>3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1</v>
      </c>
      <c r="P59" s="11">
        <v>0</v>
      </c>
      <c r="Q59" s="11">
        <v>211</v>
      </c>
      <c r="R59" s="11">
        <f t="shared" si="0"/>
        <v>211</v>
      </c>
      <c r="S59" s="11">
        <f t="shared" si="1"/>
        <v>0</v>
      </c>
      <c r="T59" s="11">
        <v>3</v>
      </c>
      <c r="U59" s="11">
        <v>214</v>
      </c>
      <c r="V59" s="11">
        <v>0</v>
      </c>
      <c r="W59" s="12" t="s">
        <v>105</v>
      </c>
      <c r="X59" s="12" t="s">
        <v>107</v>
      </c>
      <c r="Y59" s="12">
        <v>352</v>
      </c>
      <c r="Z59" s="12">
        <v>185</v>
      </c>
      <c r="AA59" s="13">
        <v>164</v>
      </c>
      <c r="AB59" s="13">
        <f t="shared" si="2"/>
        <v>43</v>
      </c>
      <c r="AC59" s="14">
        <f t="shared" si="3"/>
        <v>60.79545454545454</v>
      </c>
    </row>
    <row r="60" spans="1:29" ht="37.5" customHeight="1">
      <c r="A60" s="11">
        <v>58</v>
      </c>
      <c r="B60" s="11">
        <v>58</v>
      </c>
      <c r="C60" s="11">
        <v>1</v>
      </c>
      <c r="D60" s="11">
        <v>406</v>
      </c>
      <c r="E60" s="11">
        <v>1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466</v>
      </c>
      <c r="R60" s="11">
        <f t="shared" si="0"/>
        <v>466</v>
      </c>
      <c r="S60" s="11">
        <f t="shared" si="1"/>
        <v>0</v>
      </c>
      <c r="T60" s="11">
        <v>1</v>
      </c>
      <c r="U60" s="11">
        <v>467</v>
      </c>
      <c r="V60" s="11">
        <v>0</v>
      </c>
      <c r="W60" s="12" t="s">
        <v>108</v>
      </c>
      <c r="X60" s="12" t="s">
        <v>109</v>
      </c>
      <c r="Y60" s="12">
        <v>889</v>
      </c>
      <c r="Z60" s="12">
        <v>473</v>
      </c>
      <c r="AA60" s="13">
        <v>412</v>
      </c>
      <c r="AB60" s="13">
        <f t="shared" si="2"/>
        <v>348</v>
      </c>
      <c r="AC60" s="14">
        <f t="shared" si="3"/>
        <v>52.530933633295838</v>
      </c>
    </row>
    <row r="61" spans="1:29" ht="37.5" customHeight="1">
      <c r="A61" s="11">
        <v>59</v>
      </c>
      <c r="B61" s="11">
        <v>71</v>
      </c>
      <c r="C61" s="11">
        <v>0</v>
      </c>
      <c r="D61" s="11">
        <v>294</v>
      </c>
      <c r="E61" s="11">
        <v>3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368</v>
      </c>
      <c r="R61" s="11">
        <f t="shared" si="0"/>
        <v>368</v>
      </c>
      <c r="S61" s="11">
        <f t="shared" si="1"/>
        <v>0</v>
      </c>
      <c r="T61" s="11">
        <v>0</v>
      </c>
      <c r="U61" s="11">
        <v>368</v>
      </c>
      <c r="V61" s="11">
        <v>0</v>
      </c>
      <c r="W61" s="12" t="s">
        <v>108</v>
      </c>
      <c r="X61" s="12" t="s">
        <v>110</v>
      </c>
      <c r="Y61" s="12">
        <v>591</v>
      </c>
      <c r="Z61" s="12">
        <v>332</v>
      </c>
      <c r="AA61" s="13">
        <v>259</v>
      </c>
      <c r="AB61" s="13">
        <f t="shared" si="2"/>
        <v>223</v>
      </c>
      <c r="AC61" s="14">
        <f t="shared" si="3"/>
        <v>62.267343485617602</v>
      </c>
    </row>
    <row r="62" spans="1:29" ht="37.5" customHeight="1">
      <c r="A62" s="11">
        <v>60</v>
      </c>
      <c r="B62" s="11">
        <v>218</v>
      </c>
      <c r="C62" s="11">
        <v>4</v>
      </c>
      <c r="D62" s="11">
        <v>258</v>
      </c>
      <c r="E62" s="11">
        <v>204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4</v>
      </c>
      <c r="O62" s="11">
        <v>1</v>
      </c>
      <c r="P62" s="11">
        <v>2</v>
      </c>
      <c r="Q62" s="11">
        <v>691</v>
      </c>
      <c r="R62" s="11">
        <f t="shared" si="0"/>
        <v>691</v>
      </c>
      <c r="S62" s="11">
        <f t="shared" si="1"/>
        <v>0</v>
      </c>
      <c r="T62" s="11">
        <v>1</v>
      </c>
      <c r="U62" s="11">
        <v>692</v>
      </c>
      <c r="V62" s="11">
        <v>0</v>
      </c>
      <c r="W62" s="12" t="s">
        <v>108</v>
      </c>
      <c r="X62" s="12" t="s">
        <v>111</v>
      </c>
      <c r="Y62" s="12">
        <v>1185</v>
      </c>
      <c r="Z62" s="12">
        <v>644</v>
      </c>
      <c r="AA62" s="13">
        <v>541</v>
      </c>
      <c r="AB62" s="13">
        <f t="shared" si="2"/>
        <v>40</v>
      </c>
      <c r="AC62" s="14">
        <f t="shared" si="3"/>
        <v>58.396624472573841</v>
      </c>
    </row>
    <row r="63" spans="1:29" ht="37.5" customHeight="1">
      <c r="A63" s="11">
        <v>61</v>
      </c>
      <c r="B63" s="11">
        <v>203</v>
      </c>
      <c r="C63" s="11">
        <v>0</v>
      </c>
      <c r="D63" s="11">
        <v>632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1</v>
      </c>
      <c r="O63" s="11">
        <v>1</v>
      </c>
      <c r="P63" s="11">
        <v>0</v>
      </c>
      <c r="Q63" s="11">
        <v>837</v>
      </c>
      <c r="R63" s="11">
        <f t="shared" si="0"/>
        <v>837</v>
      </c>
      <c r="S63" s="11">
        <f t="shared" si="1"/>
        <v>0</v>
      </c>
      <c r="T63" s="11">
        <v>3</v>
      </c>
      <c r="U63" s="11">
        <v>840</v>
      </c>
      <c r="V63" s="11">
        <v>0</v>
      </c>
      <c r="W63" s="12" t="s">
        <v>112</v>
      </c>
      <c r="X63" s="12" t="s">
        <v>113</v>
      </c>
      <c r="Y63" s="12">
        <v>1310</v>
      </c>
      <c r="Z63" s="12">
        <v>665</v>
      </c>
      <c r="AA63" s="13">
        <v>643</v>
      </c>
      <c r="AB63" s="13">
        <f t="shared" si="2"/>
        <v>429</v>
      </c>
      <c r="AC63" s="14">
        <f t="shared" si="3"/>
        <v>64.122137404580144</v>
      </c>
    </row>
    <row r="64" spans="1:29" ht="37.5" customHeight="1">
      <c r="A64" s="11">
        <v>62</v>
      </c>
      <c r="B64" s="11">
        <v>196</v>
      </c>
      <c r="C64" s="11">
        <v>2</v>
      </c>
      <c r="D64" s="11">
        <v>210</v>
      </c>
      <c r="E64" s="11">
        <v>2</v>
      </c>
      <c r="F64" s="11">
        <v>0</v>
      </c>
      <c r="G64" s="11">
        <v>1</v>
      </c>
      <c r="H64" s="11">
        <v>0</v>
      </c>
      <c r="I64" s="11">
        <v>0</v>
      </c>
      <c r="J64" s="11">
        <v>0</v>
      </c>
      <c r="K64" s="11">
        <v>0</v>
      </c>
      <c r="L64" s="11">
        <v>1</v>
      </c>
      <c r="M64" s="11">
        <v>1</v>
      </c>
      <c r="N64" s="11">
        <v>0</v>
      </c>
      <c r="O64" s="11">
        <v>0</v>
      </c>
      <c r="P64" s="11">
        <v>0</v>
      </c>
      <c r="Q64" s="11">
        <v>413</v>
      </c>
      <c r="R64" s="11">
        <f t="shared" si="0"/>
        <v>413</v>
      </c>
      <c r="S64" s="11">
        <f t="shared" si="1"/>
        <v>0</v>
      </c>
      <c r="T64" s="11">
        <v>2</v>
      </c>
      <c r="U64" s="11">
        <v>415</v>
      </c>
      <c r="V64" s="11">
        <v>0</v>
      </c>
      <c r="W64" s="12" t="s">
        <v>114</v>
      </c>
      <c r="X64" s="12" t="s">
        <v>115</v>
      </c>
      <c r="Y64" s="12">
        <v>700</v>
      </c>
      <c r="Z64" s="12">
        <v>382</v>
      </c>
      <c r="AA64" s="13">
        <v>316</v>
      </c>
      <c r="AB64" s="13">
        <f t="shared" si="2"/>
        <v>14</v>
      </c>
      <c r="AC64" s="14">
        <f t="shared" si="3"/>
        <v>59.285714285714285</v>
      </c>
    </row>
    <row r="65" spans="1:29" ht="37.5" customHeight="1">
      <c r="A65" s="11">
        <v>63</v>
      </c>
      <c r="B65" s="11">
        <v>125</v>
      </c>
      <c r="C65" s="11">
        <v>2</v>
      </c>
      <c r="D65" s="11">
        <v>315</v>
      </c>
      <c r="E65" s="11">
        <v>3</v>
      </c>
      <c r="F65" s="11">
        <v>1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  <c r="O65" s="11">
        <v>0</v>
      </c>
      <c r="P65" s="11">
        <v>0</v>
      </c>
      <c r="Q65" s="11">
        <v>447</v>
      </c>
      <c r="R65" s="11">
        <f t="shared" si="0"/>
        <v>447</v>
      </c>
      <c r="S65" s="11">
        <f t="shared" si="1"/>
        <v>0</v>
      </c>
      <c r="T65" s="11">
        <v>5</v>
      </c>
      <c r="U65" s="11">
        <v>452</v>
      </c>
      <c r="V65" s="11">
        <v>0</v>
      </c>
      <c r="W65" s="12" t="s">
        <v>114</v>
      </c>
      <c r="X65" s="12" t="s">
        <v>116</v>
      </c>
      <c r="Y65" s="12">
        <v>853</v>
      </c>
      <c r="Z65" s="12">
        <v>462</v>
      </c>
      <c r="AA65" s="13">
        <v>382</v>
      </c>
      <c r="AB65" s="13">
        <f t="shared" si="2"/>
        <v>190</v>
      </c>
      <c r="AC65" s="14">
        <f t="shared" si="3"/>
        <v>52.989449003516995</v>
      </c>
    </row>
    <row r="66" spans="1:29" ht="37.5" customHeight="1">
      <c r="A66" s="11">
        <v>64</v>
      </c>
      <c r="B66" s="11">
        <v>316</v>
      </c>
      <c r="C66" s="11">
        <v>0</v>
      </c>
      <c r="D66" s="11">
        <v>385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1</v>
      </c>
      <c r="P66" s="11">
        <v>0</v>
      </c>
      <c r="Q66" s="11">
        <v>703</v>
      </c>
      <c r="R66" s="11">
        <f t="shared" si="0"/>
        <v>703</v>
      </c>
      <c r="S66" s="11">
        <f t="shared" si="1"/>
        <v>0</v>
      </c>
      <c r="T66" s="11">
        <v>0</v>
      </c>
      <c r="U66" s="11">
        <v>703</v>
      </c>
      <c r="V66" s="11">
        <v>0</v>
      </c>
      <c r="W66" s="12" t="s">
        <v>117</v>
      </c>
      <c r="X66" s="12" t="s">
        <v>118</v>
      </c>
      <c r="Y66" s="12">
        <v>1239</v>
      </c>
      <c r="Z66" s="12">
        <v>613</v>
      </c>
      <c r="AA66" s="13">
        <v>551</v>
      </c>
      <c r="AB66" s="13">
        <f t="shared" si="2"/>
        <v>69</v>
      </c>
      <c r="AC66" s="14">
        <f t="shared" si="3"/>
        <v>56.739305891848268</v>
      </c>
    </row>
    <row r="67" spans="1:29" ht="37.5" customHeight="1">
      <c r="A67" s="11">
        <v>65</v>
      </c>
      <c r="B67" s="11">
        <v>188</v>
      </c>
      <c r="C67" s="11">
        <v>0</v>
      </c>
      <c r="D67" s="11">
        <v>318</v>
      </c>
      <c r="E67" s="11">
        <v>3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1</v>
      </c>
      <c r="O67" s="11">
        <v>1</v>
      </c>
      <c r="P67" s="11">
        <v>0</v>
      </c>
      <c r="Q67" s="11">
        <v>511</v>
      </c>
      <c r="R67" s="11">
        <f t="shared" si="0"/>
        <v>511</v>
      </c>
      <c r="S67" s="11">
        <f t="shared" si="1"/>
        <v>0</v>
      </c>
      <c r="T67" s="11">
        <v>1</v>
      </c>
      <c r="U67" s="11">
        <v>512</v>
      </c>
      <c r="V67" s="11">
        <v>0</v>
      </c>
      <c r="W67" s="12" t="s">
        <v>114</v>
      </c>
      <c r="X67" s="12" t="s">
        <v>119</v>
      </c>
      <c r="Y67" s="12">
        <v>730</v>
      </c>
      <c r="Z67" s="12">
        <v>374</v>
      </c>
      <c r="AA67" s="13">
        <v>345</v>
      </c>
      <c r="AB67" s="13">
        <f t="shared" si="2"/>
        <v>130</v>
      </c>
      <c r="AC67" s="14">
        <f t="shared" si="3"/>
        <v>70.136986301369859</v>
      </c>
    </row>
    <row r="68" spans="1:29" ht="37.5" customHeight="1">
      <c r="A68" s="11">
        <v>66</v>
      </c>
      <c r="B68" s="11">
        <v>101</v>
      </c>
      <c r="C68" s="11">
        <v>0</v>
      </c>
      <c r="D68" s="11">
        <v>184</v>
      </c>
      <c r="E68" s="11">
        <v>313</v>
      </c>
      <c r="F68" s="11">
        <v>2</v>
      </c>
      <c r="G68" s="11">
        <v>0</v>
      </c>
      <c r="H68" s="11">
        <v>0</v>
      </c>
      <c r="I68" s="11">
        <v>0</v>
      </c>
      <c r="J68" s="11">
        <v>0</v>
      </c>
      <c r="K68" s="11">
        <v>1</v>
      </c>
      <c r="L68" s="11">
        <v>0</v>
      </c>
      <c r="M68" s="11">
        <v>0</v>
      </c>
      <c r="N68" s="11">
        <v>1</v>
      </c>
      <c r="O68" s="11">
        <v>0</v>
      </c>
      <c r="P68" s="11">
        <v>0</v>
      </c>
      <c r="Q68" s="11">
        <v>602</v>
      </c>
      <c r="R68" s="11">
        <f t="shared" si="0"/>
        <v>602</v>
      </c>
      <c r="S68" s="11">
        <f t="shared" si="1"/>
        <v>0</v>
      </c>
      <c r="T68" s="11">
        <v>5</v>
      </c>
      <c r="U68" s="11">
        <v>607</v>
      </c>
      <c r="V68" s="11">
        <v>0</v>
      </c>
      <c r="W68" s="12" t="s">
        <v>120</v>
      </c>
      <c r="X68" s="12" t="s">
        <v>121</v>
      </c>
      <c r="Y68" s="12">
        <v>954</v>
      </c>
      <c r="Z68" s="12">
        <v>511</v>
      </c>
      <c r="AA68" s="13">
        <v>430</v>
      </c>
      <c r="AB68" s="13">
        <f t="shared" ref="AB68:AB131" si="4">MAX(B68,D68)-MIN(B68,D68)</f>
        <v>83</v>
      </c>
      <c r="AC68" s="14">
        <f t="shared" ref="AC68:AC131" si="5">(U68/Y68)*100</f>
        <v>63.626834381551369</v>
      </c>
    </row>
    <row r="69" spans="1:29" ht="37.5" customHeight="1">
      <c r="A69" s="9">
        <v>67</v>
      </c>
      <c r="B69" s="9">
        <v>201</v>
      </c>
      <c r="C69" s="9">
        <v>1</v>
      </c>
      <c r="D69" s="9">
        <v>147</v>
      </c>
      <c r="E69" s="9">
        <v>98</v>
      </c>
      <c r="F69" s="9">
        <v>0</v>
      </c>
      <c r="G69" s="9">
        <v>0</v>
      </c>
      <c r="H69" s="9">
        <v>0</v>
      </c>
      <c r="I69" s="9">
        <v>2</v>
      </c>
      <c r="J69" s="9">
        <v>0</v>
      </c>
      <c r="K69" s="9">
        <v>1</v>
      </c>
      <c r="L69" s="9">
        <v>0</v>
      </c>
      <c r="M69" s="9">
        <v>0</v>
      </c>
      <c r="N69" s="9">
        <v>1</v>
      </c>
      <c r="O69" s="9">
        <v>0</v>
      </c>
      <c r="P69" s="9">
        <v>0</v>
      </c>
      <c r="Q69" s="9">
        <v>451</v>
      </c>
      <c r="R69" s="9">
        <f t="shared" si="0"/>
        <v>451</v>
      </c>
      <c r="S69" s="9">
        <f t="shared" si="1"/>
        <v>0</v>
      </c>
      <c r="T69" s="9">
        <v>1</v>
      </c>
      <c r="U69" s="9">
        <v>452</v>
      </c>
      <c r="V69" s="9">
        <v>0</v>
      </c>
      <c r="W69" s="15" t="s">
        <v>122</v>
      </c>
      <c r="X69" s="15" t="s">
        <v>123</v>
      </c>
      <c r="Y69" s="15">
        <v>721</v>
      </c>
      <c r="Z69" s="15">
        <v>410</v>
      </c>
      <c r="AA69" s="10">
        <v>311</v>
      </c>
      <c r="AB69" s="10">
        <f t="shared" si="4"/>
        <v>54</v>
      </c>
      <c r="AC69" s="16">
        <f t="shared" si="5"/>
        <v>62.690707350901533</v>
      </c>
    </row>
    <row r="70" spans="1:29" ht="37.5" customHeight="1">
      <c r="A70" s="11">
        <v>68</v>
      </c>
      <c r="B70" s="11">
        <v>171</v>
      </c>
      <c r="C70" s="11">
        <v>1</v>
      </c>
      <c r="D70" s="11">
        <v>194</v>
      </c>
      <c r="E70" s="11">
        <v>11</v>
      </c>
      <c r="F70" s="11">
        <v>0</v>
      </c>
      <c r="G70" s="11">
        <v>0</v>
      </c>
      <c r="H70" s="11">
        <v>0</v>
      </c>
      <c r="I70" s="11">
        <v>1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</v>
      </c>
      <c r="P70" s="11">
        <v>0</v>
      </c>
      <c r="Q70" s="11">
        <v>379</v>
      </c>
      <c r="R70" s="11">
        <f t="shared" si="0"/>
        <v>379</v>
      </c>
      <c r="S70" s="11">
        <f t="shared" si="1"/>
        <v>0</v>
      </c>
      <c r="T70" s="11">
        <v>2</v>
      </c>
      <c r="U70" s="11">
        <v>381</v>
      </c>
      <c r="V70" s="11">
        <v>0</v>
      </c>
      <c r="W70" s="12" t="s">
        <v>122</v>
      </c>
      <c r="X70" s="12" t="s">
        <v>124</v>
      </c>
      <c r="Y70" s="12">
        <v>642</v>
      </c>
      <c r="Z70" s="12">
        <v>331</v>
      </c>
      <c r="AA70" s="13">
        <v>310</v>
      </c>
      <c r="AB70" s="13">
        <f t="shared" si="4"/>
        <v>23</v>
      </c>
      <c r="AC70" s="14">
        <f t="shared" si="5"/>
        <v>59.345794392523366</v>
      </c>
    </row>
    <row r="71" spans="1:29" ht="37.5" customHeight="1">
      <c r="A71" s="9">
        <v>69</v>
      </c>
      <c r="B71" s="9">
        <v>21</v>
      </c>
      <c r="C71" s="9">
        <v>1</v>
      </c>
      <c r="D71" s="9">
        <v>13</v>
      </c>
      <c r="E71" s="9">
        <v>165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1</v>
      </c>
      <c r="Q71" s="9">
        <v>201</v>
      </c>
      <c r="R71" s="9">
        <f t="shared" si="0"/>
        <v>201</v>
      </c>
      <c r="S71" s="9">
        <f t="shared" si="1"/>
        <v>0</v>
      </c>
      <c r="T71" s="9">
        <v>1</v>
      </c>
      <c r="U71" s="9">
        <v>202</v>
      </c>
      <c r="V71" s="9">
        <v>0</v>
      </c>
      <c r="W71" s="15" t="s">
        <v>122</v>
      </c>
      <c r="X71" s="15" t="s">
        <v>125</v>
      </c>
      <c r="Y71" s="15">
        <v>298</v>
      </c>
      <c r="Z71" s="15">
        <v>161</v>
      </c>
      <c r="AA71" s="10">
        <v>137</v>
      </c>
      <c r="AB71" s="10">
        <f t="shared" si="4"/>
        <v>8</v>
      </c>
      <c r="AC71" s="16">
        <f t="shared" si="5"/>
        <v>67.785234899328856</v>
      </c>
    </row>
    <row r="72" spans="1:29" ht="37.5" customHeight="1">
      <c r="A72" s="11">
        <v>70</v>
      </c>
      <c r="B72" s="11">
        <v>327</v>
      </c>
      <c r="C72" s="11">
        <v>3</v>
      </c>
      <c r="D72" s="11">
        <v>383</v>
      </c>
      <c r="E72" s="11">
        <v>12</v>
      </c>
      <c r="F72" s="11">
        <v>0</v>
      </c>
      <c r="G72" s="11">
        <v>0</v>
      </c>
      <c r="H72" s="11">
        <v>0</v>
      </c>
      <c r="I72" s="11">
        <v>1</v>
      </c>
      <c r="J72" s="11">
        <v>1</v>
      </c>
      <c r="K72" s="11">
        <v>0</v>
      </c>
      <c r="L72" s="11">
        <v>0</v>
      </c>
      <c r="M72" s="11">
        <v>1</v>
      </c>
      <c r="N72" s="11">
        <v>3</v>
      </c>
      <c r="O72" s="11">
        <v>2</v>
      </c>
      <c r="P72" s="11">
        <v>3</v>
      </c>
      <c r="Q72" s="11">
        <v>736</v>
      </c>
      <c r="R72" s="11">
        <f t="shared" si="0"/>
        <v>736</v>
      </c>
      <c r="S72" s="11">
        <f t="shared" si="1"/>
        <v>0</v>
      </c>
      <c r="T72" s="11">
        <v>3</v>
      </c>
      <c r="U72" s="11">
        <v>739</v>
      </c>
      <c r="V72" s="11">
        <v>0</v>
      </c>
      <c r="W72" s="12" t="s">
        <v>126</v>
      </c>
      <c r="X72" s="12" t="s">
        <v>127</v>
      </c>
      <c r="Y72" s="12">
        <v>1154</v>
      </c>
      <c r="Z72" s="12">
        <v>626</v>
      </c>
      <c r="AA72" s="13">
        <v>523</v>
      </c>
      <c r="AB72" s="13">
        <f t="shared" si="4"/>
        <v>56</v>
      </c>
      <c r="AC72" s="14">
        <f t="shared" si="5"/>
        <v>64.038128249566725</v>
      </c>
    </row>
    <row r="73" spans="1:29" ht="37.5" customHeight="1">
      <c r="A73" s="11">
        <v>71</v>
      </c>
      <c r="B73" s="11">
        <v>101</v>
      </c>
      <c r="C73" s="11">
        <v>0</v>
      </c>
      <c r="D73" s="11">
        <v>173</v>
      </c>
      <c r="E73" s="11">
        <v>24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2</v>
      </c>
      <c r="P73" s="11">
        <v>0</v>
      </c>
      <c r="Q73" s="11">
        <v>300</v>
      </c>
      <c r="R73" s="11">
        <f t="shared" si="0"/>
        <v>300</v>
      </c>
      <c r="S73" s="11">
        <f t="shared" si="1"/>
        <v>0</v>
      </c>
      <c r="T73" s="11">
        <v>1</v>
      </c>
      <c r="U73" s="11">
        <v>301</v>
      </c>
      <c r="V73" s="11">
        <v>0</v>
      </c>
      <c r="W73" s="12" t="s">
        <v>126</v>
      </c>
      <c r="X73" s="12" t="s">
        <v>128</v>
      </c>
      <c r="Y73" s="12">
        <v>386</v>
      </c>
      <c r="Z73" s="12">
        <v>189</v>
      </c>
      <c r="AA73" s="13">
        <v>187</v>
      </c>
      <c r="AB73" s="13">
        <f t="shared" si="4"/>
        <v>72</v>
      </c>
      <c r="AC73" s="14">
        <f t="shared" si="5"/>
        <v>77.979274611398964</v>
      </c>
    </row>
    <row r="74" spans="1:29" ht="37.5" customHeight="1">
      <c r="A74" s="11">
        <v>72</v>
      </c>
      <c r="B74" s="11">
        <v>196</v>
      </c>
      <c r="C74" s="11">
        <v>1</v>
      </c>
      <c r="D74" s="11">
        <v>199</v>
      </c>
      <c r="E74" s="11">
        <v>20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1</v>
      </c>
      <c r="P74" s="11">
        <v>0</v>
      </c>
      <c r="Q74" s="11">
        <v>417</v>
      </c>
      <c r="R74" s="11">
        <f t="shared" si="0"/>
        <v>417</v>
      </c>
      <c r="S74" s="11">
        <f t="shared" si="1"/>
        <v>0</v>
      </c>
      <c r="T74" s="11">
        <v>0</v>
      </c>
      <c r="U74" s="11">
        <v>417</v>
      </c>
      <c r="V74" s="11">
        <v>0</v>
      </c>
      <c r="W74" s="12" t="s">
        <v>129</v>
      </c>
      <c r="X74" s="12" t="s">
        <v>130</v>
      </c>
      <c r="Y74" s="12">
        <v>843</v>
      </c>
      <c r="Z74" s="12">
        <v>442</v>
      </c>
      <c r="AA74" s="13">
        <v>393</v>
      </c>
      <c r="AB74" s="13">
        <f t="shared" si="4"/>
        <v>3</v>
      </c>
      <c r="AC74" s="14">
        <f t="shared" si="5"/>
        <v>49.466192170818509</v>
      </c>
    </row>
    <row r="75" spans="1:29" ht="37.5" customHeight="1">
      <c r="A75" s="11">
        <v>73</v>
      </c>
      <c r="B75" s="11">
        <v>41</v>
      </c>
      <c r="C75" s="11">
        <v>4</v>
      </c>
      <c r="D75" s="11">
        <v>189</v>
      </c>
      <c r="E75" s="11">
        <v>277</v>
      </c>
      <c r="F75" s="11">
        <v>1</v>
      </c>
      <c r="G75" s="11">
        <v>0</v>
      </c>
      <c r="H75" s="11">
        <v>0</v>
      </c>
      <c r="I75" s="11">
        <v>1</v>
      </c>
      <c r="J75" s="11">
        <v>0</v>
      </c>
      <c r="K75" s="11">
        <v>0</v>
      </c>
      <c r="L75" s="11">
        <v>1</v>
      </c>
      <c r="M75" s="11">
        <v>2</v>
      </c>
      <c r="N75" s="11">
        <v>0</v>
      </c>
      <c r="O75" s="11">
        <v>1</v>
      </c>
      <c r="P75" s="11">
        <v>0</v>
      </c>
      <c r="Q75" s="11">
        <v>517</v>
      </c>
      <c r="R75" s="11">
        <f t="shared" si="0"/>
        <v>517</v>
      </c>
      <c r="S75" s="11">
        <f t="shared" si="1"/>
        <v>0</v>
      </c>
      <c r="T75" s="11">
        <v>3</v>
      </c>
      <c r="U75" s="11">
        <v>520</v>
      </c>
      <c r="V75" s="11">
        <v>0</v>
      </c>
      <c r="W75" s="12" t="s">
        <v>120</v>
      </c>
      <c r="X75" s="12" t="s">
        <v>131</v>
      </c>
      <c r="Y75" s="12">
        <v>700</v>
      </c>
      <c r="Z75" s="12">
        <v>376</v>
      </c>
      <c r="AA75" s="13">
        <v>323</v>
      </c>
      <c r="AB75" s="13">
        <f t="shared" si="4"/>
        <v>148</v>
      </c>
      <c r="AC75" s="14">
        <f t="shared" si="5"/>
        <v>74.285714285714292</v>
      </c>
    </row>
    <row r="76" spans="1:29" ht="37.5" customHeight="1">
      <c r="A76" s="9">
        <v>74</v>
      </c>
      <c r="B76" s="9">
        <v>28</v>
      </c>
      <c r="C76" s="9">
        <v>1</v>
      </c>
      <c r="D76" s="9">
        <v>4</v>
      </c>
      <c r="E76" s="9">
        <v>616</v>
      </c>
      <c r="F76" s="9">
        <v>2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1</v>
      </c>
      <c r="N76" s="9">
        <v>6</v>
      </c>
      <c r="O76" s="9">
        <v>0</v>
      </c>
      <c r="P76" s="9">
        <v>0</v>
      </c>
      <c r="Q76" s="9">
        <v>658</v>
      </c>
      <c r="R76" s="9">
        <f t="shared" si="0"/>
        <v>658</v>
      </c>
      <c r="S76" s="9">
        <f t="shared" si="1"/>
        <v>0</v>
      </c>
      <c r="T76" s="9">
        <v>0</v>
      </c>
      <c r="U76" s="9">
        <v>658</v>
      </c>
      <c r="V76" s="9">
        <v>0</v>
      </c>
      <c r="W76" s="15" t="s">
        <v>120</v>
      </c>
      <c r="X76" s="15" t="s">
        <v>131</v>
      </c>
      <c r="Y76" s="15">
        <v>776</v>
      </c>
      <c r="Z76" s="15">
        <v>403</v>
      </c>
      <c r="AA76" s="10">
        <v>362</v>
      </c>
      <c r="AB76" s="10">
        <f t="shared" si="4"/>
        <v>24</v>
      </c>
      <c r="AC76" s="16">
        <f t="shared" si="5"/>
        <v>84.793814432989691</v>
      </c>
    </row>
    <row r="77" spans="1:29" ht="37.5" customHeight="1">
      <c r="A77" s="9">
        <v>75</v>
      </c>
      <c r="B77" s="9">
        <v>18</v>
      </c>
      <c r="C77" s="9">
        <v>0</v>
      </c>
      <c r="D77" s="9">
        <v>10</v>
      </c>
      <c r="E77" s="9">
        <v>682</v>
      </c>
      <c r="F77" s="9">
        <v>1</v>
      </c>
      <c r="G77" s="9">
        <v>0</v>
      </c>
      <c r="H77" s="9">
        <v>2</v>
      </c>
      <c r="I77" s="9">
        <v>0</v>
      </c>
      <c r="J77" s="9">
        <v>2</v>
      </c>
      <c r="K77" s="9">
        <v>1</v>
      </c>
      <c r="L77" s="9">
        <v>0</v>
      </c>
      <c r="M77" s="9">
        <v>1</v>
      </c>
      <c r="N77" s="9">
        <v>0</v>
      </c>
      <c r="O77" s="9">
        <v>0</v>
      </c>
      <c r="P77" s="9">
        <v>0</v>
      </c>
      <c r="Q77" s="9">
        <v>717</v>
      </c>
      <c r="R77" s="9">
        <f t="shared" si="0"/>
        <v>717</v>
      </c>
      <c r="S77" s="9">
        <f t="shared" si="1"/>
        <v>0</v>
      </c>
      <c r="T77" s="9">
        <v>0</v>
      </c>
      <c r="U77" s="9">
        <v>717</v>
      </c>
      <c r="V77" s="9">
        <v>0</v>
      </c>
      <c r="W77" s="15" t="s">
        <v>120</v>
      </c>
      <c r="X77" s="15" t="s">
        <v>125</v>
      </c>
      <c r="Y77" s="15">
        <v>790</v>
      </c>
      <c r="Z77" s="15">
        <v>377</v>
      </c>
      <c r="AA77" s="10">
        <v>312</v>
      </c>
      <c r="AB77" s="10">
        <f t="shared" si="4"/>
        <v>8</v>
      </c>
      <c r="AC77" s="16">
        <f t="shared" si="5"/>
        <v>90.759493670886073</v>
      </c>
    </row>
    <row r="78" spans="1:29" ht="37.5" customHeight="1">
      <c r="A78" s="9">
        <v>76</v>
      </c>
      <c r="B78" s="9">
        <v>116</v>
      </c>
      <c r="C78" s="9">
        <v>1</v>
      </c>
      <c r="D78" s="9">
        <v>8</v>
      </c>
      <c r="E78" s="9">
        <v>461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</v>
      </c>
      <c r="N78" s="9">
        <v>3</v>
      </c>
      <c r="O78" s="9">
        <v>2</v>
      </c>
      <c r="P78" s="9">
        <v>0</v>
      </c>
      <c r="Q78" s="9">
        <v>592</v>
      </c>
      <c r="R78" s="9">
        <f t="shared" si="0"/>
        <v>592</v>
      </c>
      <c r="S78" s="9">
        <f t="shared" si="1"/>
        <v>0</v>
      </c>
      <c r="T78" s="9">
        <v>3</v>
      </c>
      <c r="U78" s="9">
        <v>595</v>
      </c>
      <c r="V78" s="9">
        <v>0</v>
      </c>
      <c r="W78" s="15" t="s">
        <v>132</v>
      </c>
      <c r="X78" s="15" t="s">
        <v>133</v>
      </c>
      <c r="Y78" s="15">
        <v>1331</v>
      </c>
      <c r="Z78" s="15">
        <v>716</v>
      </c>
      <c r="AA78" s="10">
        <v>604</v>
      </c>
      <c r="AB78" s="10">
        <f t="shared" si="4"/>
        <v>108</v>
      </c>
      <c r="AC78" s="16">
        <f t="shared" si="5"/>
        <v>44.703230653643878</v>
      </c>
    </row>
    <row r="79" spans="1:29" ht="37.5" customHeight="1">
      <c r="A79" s="9">
        <v>77</v>
      </c>
      <c r="B79" s="9">
        <v>582</v>
      </c>
      <c r="C79" s="9">
        <v>3</v>
      </c>
      <c r="D79" s="9">
        <v>253</v>
      </c>
      <c r="E79" s="9">
        <v>31</v>
      </c>
      <c r="F79" s="9">
        <v>1</v>
      </c>
      <c r="G79" s="9">
        <v>0</v>
      </c>
      <c r="H79" s="9">
        <v>0</v>
      </c>
      <c r="I79" s="9">
        <v>2</v>
      </c>
      <c r="J79" s="9">
        <v>19</v>
      </c>
      <c r="K79" s="9">
        <v>0</v>
      </c>
      <c r="L79" s="9">
        <v>0</v>
      </c>
      <c r="M79" s="9">
        <v>0</v>
      </c>
      <c r="N79" s="9">
        <v>0</v>
      </c>
      <c r="O79" s="9">
        <v>1</v>
      </c>
      <c r="P79" s="9">
        <v>1</v>
      </c>
      <c r="Q79" s="9">
        <v>893</v>
      </c>
      <c r="R79" s="9">
        <f t="shared" si="0"/>
        <v>893</v>
      </c>
      <c r="S79" s="9">
        <f t="shared" si="1"/>
        <v>0</v>
      </c>
      <c r="T79" s="9">
        <v>6</v>
      </c>
      <c r="U79" s="9">
        <v>899</v>
      </c>
      <c r="V79" s="9">
        <v>0</v>
      </c>
      <c r="W79" s="15" t="s">
        <v>134</v>
      </c>
      <c r="X79" s="15" t="s">
        <v>135</v>
      </c>
      <c r="Y79" s="10">
        <v>1150</v>
      </c>
      <c r="Z79" s="10"/>
      <c r="AA79" s="10"/>
      <c r="AB79" s="10">
        <f t="shared" si="4"/>
        <v>329</v>
      </c>
      <c r="AC79" s="16">
        <f t="shared" si="5"/>
        <v>78.173913043478265</v>
      </c>
    </row>
    <row r="80" spans="1:29" ht="37.5" customHeight="1">
      <c r="A80" s="9">
        <v>78</v>
      </c>
      <c r="B80" s="9">
        <v>362</v>
      </c>
      <c r="C80" s="9">
        <v>2</v>
      </c>
      <c r="D80" s="9">
        <v>170</v>
      </c>
      <c r="E80" s="9">
        <v>9</v>
      </c>
      <c r="F80" s="9">
        <v>0</v>
      </c>
      <c r="G80" s="9">
        <v>0</v>
      </c>
      <c r="H80" s="9">
        <v>1</v>
      </c>
      <c r="I80" s="9">
        <v>0</v>
      </c>
      <c r="J80" s="9">
        <v>1</v>
      </c>
      <c r="K80" s="9">
        <v>0</v>
      </c>
      <c r="L80" s="9">
        <v>1</v>
      </c>
      <c r="M80" s="9">
        <v>0</v>
      </c>
      <c r="N80" s="9">
        <v>0</v>
      </c>
      <c r="O80" s="9">
        <v>1</v>
      </c>
      <c r="P80" s="9">
        <v>0</v>
      </c>
      <c r="Q80" s="9">
        <v>547</v>
      </c>
      <c r="R80" s="9">
        <f t="shared" si="0"/>
        <v>547</v>
      </c>
      <c r="S80" s="9">
        <f t="shared" si="1"/>
        <v>0</v>
      </c>
      <c r="T80" s="9">
        <v>7</v>
      </c>
      <c r="U80" s="9">
        <v>554</v>
      </c>
      <c r="V80" s="9">
        <v>0</v>
      </c>
      <c r="W80" s="15" t="s">
        <v>136</v>
      </c>
      <c r="X80" s="15" t="s">
        <v>137</v>
      </c>
      <c r="Y80" s="15">
        <v>635</v>
      </c>
      <c r="Z80" s="15">
        <v>352</v>
      </c>
      <c r="AA80" s="10">
        <v>283</v>
      </c>
      <c r="AB80" s="10">
        <f t="shared" si="4"/>
        <v>192</v>
      </c>
      <c r="AC80" s="16">
        <f t="shared" si="5"/>
        <v>87.244094488188978</v>
      </c>
    </row>
    <row r="81" spans="1:29" ht="37.5" customHeight="1">
      <c r="A81" s="11">
        <v>79</v>
      </c>
      <c r="B81" s="11">
        <v>205</v>
      </c>
      <c r="C81" s="11">
        <v>2</v>
      </c>
      <c r="D81" s="11">
        <v>257</v>
      </c>
      <c r="E81" s="11">
        <v>2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466</v>
      </c>
      <c r="R81" s="11">
        <f t="shared" si="0"/>
        <v>466</v>
      </c>
      <c r="S81" s="11">
        <f t="shared" si="1"/>
        <v>0</v>
      </c>
      <c r="T81" s="11">
        <v>0</v>
      </c>
      <c r="U81" s="11">
        <v>466</v>
      </c>
      <c r="V81" s="11">
        <v>0</v>
      </c>
      <c r="W81" s="12" t="s">
        <v>136</v>
      </c>
      <c r="X81" s="12" t="s">
        <v>138</v>
      </c>
      <c r="Y81" s="12">
        <v>984</v>
      </c>
      <c r="Z81" s="12">
        <v>532</v>
      </c>
      <c r="AA81" s="13">
        <v>452</v>
      </c>
      <c r="AB81" s="13">
        <f t="shared" si="4"/>
        <v>52</v>
      </c>
      <c r="AC81" s="14">
        <f t="shared" si="5"/>
        <v>47.357723577235774</v>
      </c>
    </row>
    <row r="82" spans="1:29" ht="37.5" customHeight="1">
      <c r="A82" s="9">
        <v>80</v>
      </c>
      <c r="B82" s="9">
        <v>137</v>
      </c>
      <c r="C82" s="9">
        <v>1</v>
      </c>
      <c r="D82" s="9">
        <v>116</v>
      </c>
      <c r="E82" s="9">
        <v>412</v>
      </c>
      <c r="F82" s="9">
        <v>3</v>
      </c>
      <c r="G82" s="9">
        <v>0</v>
      </c>
      <c r="H82" s="9">
        <v>2</v>
      </c>
      <c r="I82" s="9">
        <v>0</v>
      </c>
      <c r="J82" s="9">
        <v>0</v>
      </c>
      <c r="K82" s="9">
        <v>1</v>
      </c>
      <c r="L82" s="9">
        <v>3</v>
      </c>
      <c r="M82" s="9">
        <v>1</v>
      </c>
      <c r="N82" s="9">
        <v>0</v>
      </c>
      <c r="O82" s="9">
        <v>1</v>
      </c>
      <c r="P82" s="9">
        <v>1</v>
      </c>
      <c r="Q82" s="9">
        <v>678</v>
      </c>
      <c r="R82" s="9">
        <f t="shared" si="0"/>
        <v>678</v>
      </c>
      <c r="S82" s="9">
        <f t="shared" si="1"/>
        <v>0</v>
      </c>
      <c r="T82" s="9">
        <v>4</v>
      </c>
      <c r="U82" s="9">
        <v>682</v>
      </c>
      <c r="V82" s="9">
        <v>0</v>
      </c>
      <c r="W82" s="15" t="s">
        <v>139</v>
      </c>
      <c r="X82" s="15" t="s">
        <v>140</v>
      </c>
      <c r="Y82" s="10">
        <v>850</v>
      </c>
      <c r="Z82" s="10"/>
      <c r="AA82" s="10"/>
      <c r="AB82" s="10">
        <f t="shared" si="4"/>
        <v>21</v>
      </c>
      <c r="AC82" s="16">
        <f t="shared" si="5"/>
        <v>80.235294117647058</v>
      </c>
    </row>
    <row r="83" spans="1:29" ht="37.5" customHeight="1">
      <c r="A83" s="9">
        <v>81</v>
      </c>
      <c r="B83" s="9">
        <v>188</v>
      </c>
      <c r="C83" s="9">
        <v>3</v>
      </c>
      <c r="D83" s="9">
        <v>139</v>
      </c>
      <c r="E83" s="9">
        <v>157</v>
      </c>
      <c r="F83" s="9">
        <v>0</v>
      </c>
      <c r="G83" s="9">
        <v>1</v>
      </c>
      <c r="H83" s="9">
        <v>0</v>
      </c>
      <c r="I83" s="9">
        <v>4</v>
      </c>
      <c r="J83" s="9">
        <v>1</v>
      </c>
      <c r="K83" s="9">
        <v>0</v>
      </c>
      <c r="L83" s="9">
        <v>1</v>
      </c>
      <c r="M83" s="9">
        <v>0</v>
      </c>
      <c r="N83" s="9">
        <v>4</v>
      </c>
      <c r="O83" s="9">
        <v>1</v>
      </c>
      <c r="P83" s="9">
        <v>0</v>
      </c>
      <c r="Q83" s="9">
        <v>499</v>
      </c>
      <c r="R83" s="9">
        <f t="shared" si="0"/>
        <v>499</v>
      </c>
      <c r="S83" s="9">
        <f t="shared" si="1"/>
        <v>0</v>
      </c>
      <c r="T83" s="9">
        <v>0</v>
      </c>
      <c r="U83" s="9">
        <v>499</v>
      </c>
      <c r="V83" s="9">
        <v>0</v>
      </c>
      <c r="W83" s="15" t="s">
        <v>141</v>
      </c>
      <c r="X83" s="15" t="s">
        <v>142</v>
      </c>
      <c r="Y83" s="15">
        <v>802</v>
      </c>
      <c r="Z83" s="15">
        <v>414</v>
      </c>
      <c r="AA83" s="10">
        <v>385</v>
      </c>
      <c r="AB83" s="10">
        <f t="shared" si="4"/>
        <v>49</v>
      </c>
      <c r="AC83" s="16">
        <f t="shared" si="5"/>
        <v>62.219451371571076</v>
      </c>
    </row>
    <row r="84" spans="1:29" ht="37.5" customHeight="1">
      <c r="A84" s="9">
        <v>82</v>
      </c>
      <c r="B84" s="9">
        <v>191</v>
      </c>
      <c r="C84" s="9">
        <v>0</v>
      </c>
      <c r="D84" s="9">
        <v>109</v>
      </c>
      <c r="E84" s="9">
        <v>234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</v>
      </c>
      <c r="N84" s="9">
        <v>0</v>
      </c>
      <c r="O84" s="9">
        <v>0</v>
      </c>
      <c r="P84" s="9">
        <v>0</v>
      </c>
      <c r="Q84" s="9">
        <v>535</v>
      </c>
      <c r="R84" s="9">
        <f t="shared" si="0"/>
        <v>535</v>
      </c>
      <c r="S84" s="9">
        <f t="shared" si="1"/>
        <v>0</v>
      </c>
      <c r="T84" s="9">
        <v>1</v>
      </c>
      <c r="U84" s="9">
        <v>536</v>
      </c>
      <c r="V84" s="9">
        <v>0</v>
      </c>
      <c r="W84" s="15" t="s">
        <v>141</v>
      </c>
      <c r="X84" s="15" t="s">
        <v>143</v>
      </c>
      <c r="Y84" s="15">
        <v>715</v>
      </c>
      <c r="Z84" s="15">
        <v>404</v>
      </c>
      <c r="AA84" s="10">
        <v>307</v>
      </c>
      <c r="AB84" s="10">
        <f t="shared" si="4"/>
        <v>82</v>
      </c>
      <c r="AC84" s="16">
        <f t="shared" si="5"/>
        <v>74.96503496503496</v>
      </c>
    </row>
    <row r="85" spans="1:29" ht="37.5" customHeight="1">
      <c r="A85" s="9">
        <v>83</v>
      </c>
      <c r="B85" s="9">
        <v>304</v>
      </c>
      <c r="C85" s="9">
        <v>0</v>
      </c>
      <c r="D85" s="9">
        <v>264</v>
      </c>
      <c r="E85" s="9">
        <v>47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1</v>
      </c>
      <c r="P85" s="9">
        <v>0</v>
      </c>
      <c r="Q85" s="9">
        <v>616</v>
      </c>
      <c r="R85" s="9">
        <f t="shared" si="0"/>
        <v>616</v>
      </c>
      <c r="S85" s="9">
        <f t="shared" si="1"/>
        <v>0</v>
      </c>
      <c r="T85" s="9">
        <v>1</v>
      </c>
      <c r="U85" s="9">
        <v>617</v>
      </c>
      <c r="V85" s="9">
        <v>0</v>
      </c>
      <c r="W85" s="15" t="s">
        <v>144</v>
      </c>
      <c r="X85" s="15" t="s">
        <v>76</v>
      </c>
      <c r="Y85" s="15">
        <v>825</v>
      </c>
      <c r="Z85" s="15">
        <v>449</v>
      </c>
      <c r="AA85" s="10">
        <v>374</v>
      </c>
      <c r="AB85" s="10">
        <f t="shared" si="4"/>
        <v>40</v>
      </c>
      <c r="AC85" s="16">
        <f t="shared" si="5"/>
        <v>74.787878787878796</v>
      </c>
    </row>
    <row r="86" spans="1:29" ht="37.5" customHeight="1">
      <c r="A86" s="9">
        <v>84</v>
      </c>
      <c r="B86" s="9">
        <v>385</v>
      </c>
      <c r="C86" s="9">
        <v>2</v>
      </c>
      <c r="D86" s="9">
        <v>240</v>
      </c>
      <c r="E86" s="9">
        <v>119</v>
      </c>
      <c r="F86" s="9">
        <v>1</v>
      </c>
      <c r="G86" s="9">
        <v>0</v>
      </c>
      <c r="H86" s="9">
        <v>1</v>
      </c>
      <c r="I86" s="9">
        <v>1</v>
      </c>
      <c r="J86" s="9">
        <v>1</v>
      </c>
      <c r="K86" s="9">
        <v>0</v>
      </c>
      <c r="L86" s="9">
        <v>1</v>
      </c>
      <c r="M86" s="9">
        <v>1</v>
      </c>
      <c r="N86" s="9">
        <v>5</v>
      </c>
      <c r="O86" s="9">
        <v>1</v>
      </c>
      <c r="P86" s="9">
        <v>5</v>
      </c>
      <c r="Q86" s="9">
        <v>763</v>
      </c>
      <c r="R86" s="9">
        <f t="shared" si="0"/>
        <v>763</v>
      </c>
      <c r="S86" s="9">
        <f t="shared" si="1"/>
        <v>0</v>
      </c>
      <c r="T86" s="9">
        <v>9</v>
      </c>
      <c r="U86" s="9">
        <v>772</v>
      </c>
      <c r="V86" s="9">
        <v>0</v>
      </c>
      <c r="W86" s="15" t="s">
        <v>145</v>
      </c>
      <c r="X86" s="15" t="s">
        <v>146</v>
      </c>
      <c r="Y86" s="15">
        <v>1325</v>
      </c>
      <c r="Z86" s="15">
        <v>723</v>
      </c>
      <c r="AA86" s="10">
        <v>602</v>
      </c>
      <c r="AB86" s="10">
        <f t="shared" si="4"/>
        <v>145</v>
      </c>
      <c r="AC86" s="16">
        <f t="shared" si="5"/>
        <v>58.264150943396231</v>
      </c>
    </row>
    <row r="87" spans="1:29" ht="37.5" customHeight="1">
      <c r="A87" s="9">
        <v>85</v>
      </c>
      <c r="B87" s="9">
        <v>364</v>
      </c>
      <c r="C87" s="9">
        <v>2</v>
      </c>
      <c r="D87" s="9">
        <v>289</v>
      </c>
      <c r="E87" s="9">
        <v>63</v>
      </c>
      <c r="F87" s="9">
        <v>0</v>
      </c>
      <c r="G87" s="9">
        <v>0</v>
      </c>
      <c r="H87" s="9">
        <v>0</v>
      </c>
      <c r="I87" s="9">
        <v>1</v>
      </c>
      <c r="J87" s="9">
        <v>0</v>
      </c>
      <c r="K87" s="9">
        <v>1</v>
      </c>
      <c r="L87" s="9">
        <v>1</v>
      </c>
      <c r="M87" s="9">
        <v>0</v>
      </c>
      <c r="N87" s="9">
        <v>0</v>
      </c>
      <c r="O87" s="9">
        <v>1</v>
      </c>
      <c r="P87" s="9">
        <v>1</v>
      </c>
      <c r="Q87" s="9">
        <v>723</v>
      </c>
      <c r="R87" s="9">
        <f t="shared" si="0"/>
        <v>723</v>
      </c>
      <c r="S87" s="9">
        <f t="shared" si="1"/>
        <v>0</v>
      </c>
      <c r="T87" s="9">
        <v>3</v>
      </c>
      <c r="U87" s="9">
        <v>726</v>
      </c>
      <c r="V87" s="9">
        <v>0</v>
      </c>
      <c r="W87" s="15" t="s">
        <v>147</v>
      </c>
      <c r="X87" s="15" t="s">
        <v>148</v>
      </c>
      <c r="Y87" s="15">
        <v>1043</v>
      </c>
      <c r="Z87" s="15">
        <v>580</v>
      </c>
      <c r="AA87" s="10">
        <v>458</v>
      </c>
      <c r="AB87" s="10">
        <f t="shared" si="4"/>
        <v>75</v>
      </c>
      <c r="AC87" s="16">
        <f t="shared" si="5"/>
        <v>69.606903163950136</v>
      </c>
    </row>
    <row r="88" spans="1:29" ht="37.5" customHeight="1">
      <c r="A88" s="9">
        <v>86</v>
      </c>
      <c r="B88" s="9">
        <v>411</v>
      </c>
      <c r="C88" s="9">
        <v>3</v>
      </c>
      <c r="D88" s="9">
        <v>103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2</v>
      </c>
      <c r="K88" s="9">
        <v>1</v>
      </c>
      <c r="L88" s="9">
        <v>0</v>
      </c>
      <c r="M88" s="9">
        <v>0</v>
      </c>
      <c r="N88" s="9">
        <v>0</v>
      </c>
      <c r="O88" s="9">
        <v>2</v>
      </c>
      <c r="P88" s="9">
        <v>1</v>
      </c>
      <c r="Q88" s="9">
        <v>523</v>
      </c>
      <c r="R88" s="9">
        <f t="shared" si="0"/>
        <v>523</v>
      </c>
      <c r="S88" s="9">
        <f t="shared" si="1"/>
        <v>0</v>
      </c>
      <c r="T88" s="9">
        <v>3</v>
      </c>
      <c r="U88" s="9">
        <v>526</v>
      </c>
      <c r="V88" s="9">
        <v>0</v>
      </c>
      <c r="W88" s="15" t="s">
        <v>149</v>
      </c>
      <c r="X88" s="15" t="s">
        <v>150</v>
      </c>
      <c r="Y88" s="15">
        <v>810</v>
      </c>
      <c r="Z88" s="15">
        <v>462</v>
      </c>
      <c r="AA88" s="10">
        <v>344</v>
      </c>
      <c r="AB88" s="10">
        <f t="shared" si="4"/>
        <v>308</v>
      </c>
      <c r="AC88" s="16">
        <f t="shared" si="5"/>
        <v>64.938271604938265</v>
      </c>
    </row>
    <row r="89" spans="1:29" ht="37.5" customHeight="1">
      <c r="A89" s="11">
        <v>87</v>
      </c>
      <c r="B89" s="11">
        <v>143</v>
      </c>
      <c r="C89" s="11">
        <v>3</v>
      </c>
      <c r="D89" s="11">
        <v>346</v>
      </c>
      <c r="E89" s="11">
        <v>90</v>
      </c>
      <c r="F89" s="11">
        <v>1</v>
      </c>
      <c r="G89" s="11">
        <v>0</v>
      </c>
      <c r="H89" s="11">
        <v>0</v>
      </c>
      <c r="I89" s="11">
        <v>2</v>
      </c>
      <c r="J89" s="11">
        <v>1</v>
      </c>
      <c r="K89" s="11">
        <v>1</v>
      </c>
      <c r="L89" s="11">
        <v>0</v>
      </c>
      <c r="M89" s="11">
        <v>1</v>
      </c>
      <c r="N89" s="11">
        <v>3</v>
      </c>
      <c r="O89" s="11">
        <v>0</v>
      </c>
      <c r="P89" s="11">
        <v>1</v>
      </c>
      <c r="Q89" s="11">
        <v>592</v>
      </c>
      <c r="R89" s="11">
        <f t="shared" si="0"/>
        <v>592</v>
      </c>
      <c r="S89" s="11">
        <f t="shared" si="1"/>
        <v>0</v>
      </c>
      <c r="T89" s="11">
        <v>3</v>
      </c>
      <c r="U89" s="11">
        <v>595</v>
      </c>
      <c r="V89" s="11">
        <v>0</v>
      </c>
      <c r="W89" s="12" t="s">
        <v>151</v>
      </c>
      <c r="X89" s="12" t="s">
        <v>152</v>
      </c>
      <c r="Y89" s="12">
        <v>1071</v>
      </c>
      <c r="Z89" s="12">
        <v>562</v>
      </c>
      <c r="AA89" s="13">
        <v>504</v>
      </c>
      <c r="AB89" s="13">
        <f t="shared" si="4"/>
        <v>203</v>
      </c>
      <c r="AC89" s="14">
        <f t="shared" si="5"/>
        <v>55.555555555555557</v>
      </c>
    </row>
    <row r="90" spans="1:29" ht="37.5" customHeight="1">
      <c r="A90" s="11">
        <v>88</v>
      </c>
      <c r="B90" s="11">
        <v>133</v>
      </c>
      <c r="C90" s="11">
        <v>0</v>
      </c>
      <c r="D90" s="11">
        <v>254</v>
      </c>
      <c r="E90" s="11">
        <v>159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2</v>
      </c>
      <c r="P90" s="11">
        <v>0</v>
      </c>
      <c r="Q90" s="11">
        <v>548</v>
      </c>
      <c r="R90" s="11">
        <f t="shared" si="0"/>
        <v>548</v>
      </c>
      <c r="S90" s="11">
        <f t="shared" si="1"/>
        <v>0</v>
      </c>
      <c r="T90" s="11">
        <v>1</v>
      </c>
      <c r="U90" s="11">
        <v>549</v>
      </c>
      <c r="V90" s="11">
        <v>0</v>
      </c>
      <c r="W90" s="12" t="s">
        <v>153</v>
      </c>
      <c r="X90" s="12" t="s">
        <v>154</v>
      </c>
      <c r="Y90" s="13">
        <v>650</v>
      </c>
      <c r="Z90" s="13">
        <v>330</v>
      </c>
      <c r="AA90" s="13">
        <v>320</v>
      </c>
      <c r="AB90" s="13">
        <f t="shared" si="4"/>
        <v>121</v>
      </c>
      <c r="AC90" s="14">
        <f t="shared" si="5"/>
        <v>84.461538461538467</v>
      </c>
    </row>
    <row r="91" spans="1:29" ht="37.5" customHeight="1">
      <c r="A91" s="9">
        <v>89</v>
      </c>
      <c r="B91" s="9">
        <v>251</v>
      </c>
      <c r="C91" s="9">
        <v>1</v>
      </c>
      <c r="D91" s="9">
        <v>127</v>
      </c>
      <c r="E91" s="9">
        <v>1</v>
      </c>
      <c r="F91" s="9">
        <v>0</v>
      </c>
      <c r="G91" s="9">
        <v>0</v>
      </c>
      <c r="H91" s="9">
        <v>0</v>
      </c>
      <c r="I91" s="9">
        <v>0</v>
      </c>
      <c r="J91" s="9">
        <v>2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1</v>
      </c>
      <c r="Q91" s="9">
        <v>384</v>
      </c>
      <c r="R91" s="9">
        <f t="shared" si="0"/>
        <v>384</v>
      </c>
      <c r="S91" s="9">
        <f t="shared" si="1"/>
        <v>0</v>
      </c>
      <c r="T91" s="9">
        <v>0</v>
      </c>
      <c r="U91" s="9">
        <v>384</v>
      </c>
      <c r="V91" s="9">
        <v>0</v>
      </c>
      <c r="W91" s="15" t="s">
        <v>155</v>
      </c>
      <c r="X91" s="15" t="s">
        <v>156</v>
      </c>
      <c r="Y91" s="15">
        <v>480</v>
      </c>
      <c r="Z91" s="15">
        <v>265</v>
      </c>
      <c r="AA91" s="10">
        <v>211</v>
      </c>
      <c r="AB91" s="10">
        <f t="shared" si="4"/>
        <v>124</v>
      </c>
      <c r="AC91" s="16">
        <f t="shared" si="5"/>
        <v>80</v>
      </c>
    </row>
    <row r="92" spans="1:29" ht="37.5" customHeight="1">
      <c r="A92" s="9">
        <v>90</v>
      </c>
      <c r="B92" s="9">
        <v>268</v>
      </c>
      <c r="C92" s="9">
        <v>0</v>
      </c>
      <c r="D92" s="9">
        <v>191</v>
      </c>
      <c r="E92" s="9">
        <v>261</v>
      </c>
      <c r="F92" s="9">
        <v>2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1</v>
      </c>
      <c r="P92" s="9">
        <v>1</v>
      </c>
      <c r="Q92" s="9">
        <v>724</v>
      </c>
      <c r="R92" s="9">
        <f t="shared" si="0"/>
        <v>724</v>
      </c>
      <c r="S92" s="9">
        <f t="shared" si="1"/>
        <v>0</v>
      </c>
      <c r="T92" s="9">
        <v>1</v>
      </c>
      <c r="U92" s="9">
        <v>725</v>
      </c>
      <c r="V92" s="9">
        <v>0</v>
      </c>
      <c r="W92" s="15" t="s">
        <v>155</v>
      </c>
      <c r="X92" s="15" t="s">
        <v>157</v>
      </c>
      <c r="Y92" s="15">
        <v>932</v>
      </c>
      <c r="Z92" s="15">
        <v>508</v>
      </c>
      <c r="AA92" s="10">
        <v>424</v>
      </c>
      <c r="AB92" s="10">
        <f t="shared" si="4"/>
        <v>77</v>
      </c>
      <c r="AC92" s="16">
        <f t="shared" si="5"/>
        <v>77.789699570815458</v>
      </c>
    </row>
    <row r="93" spans="1:29" ht="37.5" customHeight="1">
      <c r="A93" s="9">
        <v>91</v>
      </c>
      <c r="B93" s="9">
        <v>224</v>
      </c>
      <c r="C93" s="9">
        <v>0</v>
      </c>
      <c r="D93" s="9">
        <v>174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1</v>
      </c>
      <c r="O93" s="9">
        <v>2</v>
      </c>
      <c r="P93" s="9">
        <v>0</v>
      </c>
      <c r="Q93" s="9">
        <v>401</v>
      </c>
      <c r="R93" s="9">
        <f t="shared" si="0"/>
        <v>401</v>
      </c>
      <c r="S93" s="9">
        <f t="shared" si="1"/>
        <v>0</v>
      </c>
      <c r="T93" s="9">
        <v>4</v>
      </c>
      <c r="U93" s="9">
        <v>405</v>
      </c>
      <c r="V93" s="9">
        <v>0</v>
      </c>
      <c r="W93" s="15" t="s">
        <v>158</v>
      </c>
      <c r="X93" s="15" t="s">
        <v>159</v>
      </c>
      <c r="Y93" s="15">
        <v>575</v>
      </c>
      <c r="Z93" s="15">
        <v>322</v>
      </c>
      <c r="AA93" s="10">
        <v>252</v>
      </c>
      <c r="AB93" s="10">
        <f t="shared" si="4"/>
        <v>50</v>
      </c>
      <c r="AC93" s="16">
        <f t="shared" si="5"/>
        <v>70.434782608695656</v>
      </c>
    </row>
    <row r="94" spans="1:29" ht="37.5" customHeight="1">
      <c r="A94" s="9">
        <v>92</v>
      </c>
      <c r="B94" s="9">
        <v>446</v>
      </c>
      <c r="C94" s="9">
        <v>4</v>
      </c>
      <c r="D94" s="9">
        <v>150</v>
      </c>
      <c r="E94" s="9">
        <v>24</v>
      </c>
      <c r="F94" s="9">
        <v>0</v>
      </c>
      <c r="G94" s="9">
        <v>0</v>
      </c>
      <c r="H94" s="9">
        <v>1</v>
      </c>
      <c r="I94" s="9">
        <v>6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631</v>
      </c>
      <c r="R94" s="9">
        <f t="shared" si="0"/>
        <v>631</v>
      </c>
      <c r="S94" s="9">
        <f t="shared" si="1"/>
        <v>0</v>
      </c>
      <c r="T94" s="9">
        <v>5</v>
      </c>
      <c r="U94" s="9">
        <v>636</v>
      </c>
      <c r="V94" s="9">
        <v>0</v>
      </c>
      <c r="W94" s="15" t="s">
        <v>158</v>
      </c>
      <c r="X94" s="15" t="s">
        <v>160</v>
      </c>
      <c r="Y94" s="15">
        <v>892</v>
      </c>
      <c r="Z94" s="15">
        <v>465</v>
      </c>
      <c r="AA94" s="10">
        <v>417</v>
      </c>
      <c r="AB94" s="10">
        <f t="shared" si="4"/>
        <v>296</v>
      </c>
      <c r="AC94" s="16">
        <f t="shared" si="5"/>
        <v>71.300448430493262</v>
      </c>
    </row>
    <row r="95" spans="1:29" ht="37.5" customHeight="1">
      <c r="A95" s="9">
        <v>93</v>
      </c>
      <c r="B95" s="9">
        <v>365</v>
      </c>
      <c r="C95" s="9">
        <v>5</v>
      </c>
      <c r="D95" s="9">
        <v>305</v>
      </c>
      <c r="E95" s="9">
        <v>18</v>
      </c>
      <c r="F95" s="9">
        <v>1</v>
      </c>
      <c r="G95" s="9">
        <v>1</v>
      </c>
      <c r="H95" s="9">
        <v>0</v>
      </c>
      <c r="I95" s="9">
        <v>0</v>
      </c>
      <c r="J95" s="9">
        <v>2</v>
      </c>
      <c r="K95" s="9">
        <v>0</v>
      </c>
      <c r="L95" s="9">
        <v>0</v>
      </c>
      <c r="M95" s="9">
        <v>2</v>
      </c>
      <c r="N95" s="9">
        <v>1</v>
      </c>
      <c r="O95" s="9">
        <v>0</v>
      </c>
      <c r="P95" s="9">
        <v>1</v>
      </c>
      <c r="Q95" s="9">
        <v>701</v>
      </c>
      <c r="R95" s="9">
        <f t="shared" si="0"/>
        <v>701</v>
      </c>
      <c r="S95" s="9">
        <f t="shared" si="1"/>
        <v>0</v>
      </c>
      <c r="T95" s="9">
        <v>2</v>
      </c>
      <c r="U95" s="9">
        <v>703</v>
      </c>
      <c r="V95" s="9">
        <v>0</v>
      </c>
      <c r="W95" s="15" t="s">
        <v>161</v>
      </c>
      <c r="X95" s="15" t="s">
        <v>162</v>
      </c>
      <c r="Y95" s="10">
        <v>850</v>
      </c>
      <c r="Z95" s="10"/>
      <c r="AA95" s="10"/>
      <c r="AB95" s="10">
        <f t="shared" si="4"/>
        <v>60</v>
      </c>
      <c r="AC95" s="16">
        <f t="shared" si="5"/>
        <v>82.705882352941174</v>
      </c>
    </row>
    <row r="96" spans="1:29" ht="37.5" customHeight="1">
      <c r="A96" s="9">
        <v>94</v>
      </c>
      <c r="B96" s="9">
        <v>534</v>
      </c>
      <c r="C96" s="9">
        <v>0</v>
      </c>
      <c r="D96" s="9">
        <v>235</v>
      </c>
      <c r="E96" s="9">
        <v>232</v>
      </c>
      <c r="F96" s="9">
        <v>1</v>
      </c>
      <c r="G96" s="9">
        <v>1</v>
      </c>
      <c r="H96" s="9">
        <v>2</v>
      </c>
      <c r="I96" s="9">
        <v>1</v>
      </c>
      <c r="J96" s="9">
        <v>1</v>
      </c>
      <c r="K96" s="9">
        <v>1</v>
      </c>
      <c r="L96" s="9">
        <v>0</v>
      </c>
      <c r="M96" s="9">
        <v>0</v>
      </c>
      <c r="N96" s="9">
        <v>1</v>
      </c>
      <c r="O96" s="9">
        <v>4</v>
      </c>
      <c r="P96" s="9">
        <v>0</v>
      </c>
      <c r="Q96" s="9">
        <v>1013</v>
      </c>
      <c r="R96" s="9">
        <f t="shared" si="0"/>
        <v>1013</v>
      </c>
      <c r="S96" s="9">
        <f t="shared" si="1"/>
        <v>0</v>
      </c>
      <c r="T96" s="9">
        <v>2</v>
      </c>
      <c r="U96" s="9">
        <v>1015</v>
      </c>
      <c r="V96" s="9">
        <v>0</v>
      </c>
      <c r="W96" s="15" t="s">
        <v>163</v>
      </c>
      <c r="X96" s="15" t="s">
        <v>164</v>
      </c>
      <c r="Y96" s="15">
        <v>1163</v>
      </c>
      <c r="Z96" s="15">
        <v>630</v>
      </c>
      <c r="AA96" s="10">
        <v>526</v>
      </c>
      <c r="AB96" s="10">
        <f t="shared" si="4"/>
        <v>299</v>
      </c>
      <c r="AC96" s="16">
        <f t="shared" si="5"/>
        <v>87.274290627687009</v>
      </c>
    </row>
    <row r="97" spans="1:29" ht="37.5" customHeight="1">
      <c r="A97" s="11">
        <v>95</v>
      </c>
      <c r="B97" s="11">
        <v>12</v>
      </c>
      <c r="C97" s="11">
        <v>0</v>
      </c>
      <c r="D97" s="11">
        <v>45</v>
      </c>
      <c r="E97" s="11">
        <v>604</v>
      </c>
      <c r="F97" s="11">
        <v>1</v>
      </c>
      <c r="G97" s="11">
        <v>2</v>
      </c>
      <c r="H97" s="11">
        <v>0</v>
      </c>
      <c r="I97" s="11">
        <v>0</v>
      </c>
      <c r="J97" s="11">
        <v>0</v>
      </c>
      <c r="K97" s="11">
        <v>0</v>
      </c>
      <c r="L97" s="11">
        <v>1</v>
      </c>
      <c r="M97" s="11">
        <v>0</v>
      </c>
      <c r="N97" s="11">
        <v>0</v>
      </c>
      <c r="O97" s="11">
        <v>0</v>
      </c>
      <c r="P97" s="11">
        <v>0</v>
      </c>
      <c r="Q97" s="11">
        <v>665</v>
      </c>
      <c r="R97" s="11">
        <f t="shared" si="0"/>
        <v>665</v>
      </c>
      <c r="S97" s="11">
        <f t="shared" si="1"/>
        <v>0</v>
      </c>
      <c r="T97" s="11">
        <v>0</v>
      </c>
      <c r="U97" s="11">
        <v>665</v>
      </c>
      <c r="V97" s="11">
        <v>0</v>
      </c>
      <c r="W97" s="12" t="s">
        <v>163</v>
      </c>
      <c r="X97" s="12" t="s">
        <v>165</v>
      </c>
      <c r="Y97" s="13">
        <v>750</v>
      </c>
      <c r="Z97" s="13"/>
      <c r="AA97" s="13"/>
      <c r="AB97" s="13">
        <f t="shared" si="4"/>
        <v>33</v>
      </c>
      <c r="AC97" s="14">
        <f t="shared" si="5"/>
        <v>88.666666666666671</v>
      </c>
    </row>
    <row r="98" spans="1:29" ht="37.5" customHeight="1">
      <c r="A98" s="11">
        <v>96</v>
      </c>
      <c r="B98" s="11">
        <v>307</v>
      </c>
      <c r="C98" s="11">
        <v>2</v>
      </c>
      <c r="D98" s="11">
        <v>355</v>
      </c>
      <c r="E98" s="11">
        <v>98</v>
      </c>
      <c r="F98" s="11">
        <v>0</v>
      </c>
      <c r="G98" s="11">
        <v>0</v>
      </c>
      <c r="H98" s="11">
        <v>0</v>
      </c>
      <c r="I98" s="11">
        <v>0</v>
      </c>
      <c r="J98" s="11">
        <v>1</v>
      </c>
      <c r="K98" s="11">
        <v>0</v>
      </c>
      <c r="L98" s="11">
        <v>0</v>
      </c>
      <c r="M98" s="11">
        <v>1</v>
      </c>
      <c r="N98" s="11">
        <v>0</v>
      </c>
      <c r="O98" s="11">
        <v>1</v>
      </c>
      <c r="P98" s="11">
        <v>2</v>
      </c>
      <c r="Q98" s="11">
        <v>767</v>
      </c>
      <c r="R98" s="11">
        <f t="shared" si="0"/>
        <v>767</v>
      </c>
      <c r="S98" s="11">
        <f t="shared" si="1"/>
        <v>0</v>
      </c>
      <c r="T98" s="11">
        <v>6</v>
      </c>
      <c r="U98" s="11">
        <v>773</v>
      </c>
      <c r="V98" s="11">
        <v>0</v>
      </c>
      <c r="W98" s="12" t="s">
        <v>163</v>
      </c>
      <c r="X98" s="12" t="s">
        <v>166</v>
      </c>
      <c r="Y98" s="13">
        <v>850</v>
      </c>
      <c r="Z98" s="13"/>
      <c r="AA98" s="13"/>
      <c r="AB98" s="13">
        <f t="shared" si="4"/>
        <v>48</v>
      </c>
      <c r="AC98" s="14">
        <f t="shared" si="5"/>
        <v>90.941176470588232</v>
      </c>
    </row>
    <row r="99" spans="1:29" ht="37.5" customHeight="1">
      <c r="A99" s="9">
        <v>97</v>
      </c>
      <c r="B99" s="9">
        <v>245</v>
      </c>
      <c r="C99" s="9">
        <v>0</v>
      </c>
      <c r="D99" s="9">
        <v>142</v>
      </c>
      <c r="E99" s="9">
        <v>269</v>
      </c>
      <c r="F99" s="9">
        <v>0</v>
      </c>
      <c r="G99" s="9">
        <v>0</v>
      </c>
      <c r="H99" s="9">
        <v>1</v>
      </c>
      <c r="I99" s="9">
        <v>1</v>
      </c>
      <c r="J99" s="9">
        <v>0</v>
      </c>
      <c r="K99" s="9">
        <v>0</v>
      </c>
      <c r="L99" s="9">
        <v>1</v>
      </c>
      <c r="M99" s="9">
        <v>1</v>
      </c>
      <c r="N99" s="9">
        <v>2</v>
      </c>
      <c r="O99" s="9">
        <v>0</v>
      </c>
      <c r="P99" s="9">
        <v>2</v>
      </c>
      <c r="Q99" s="9">
        <v>664</v>
      </c>
      <c r="R99" s="9">
        <f t="shared" si="0"/>
        <v>664</v>
      </c>
      <c r="S99" s="9">
        <f t="shared" si="1"/>
        <v>0</v>
      </c>
      <c r="T99" s="9">
        <v>1</v>
      </c>
      <c r="U99" s="9">
        <v>665</v>
      </c>
      <c r="V99" s="9">
        <v>0</v>
      </c>
      <c r="W99" s="15" t="s">
        <v>167</v>
      </c>
      <c r="X99" s="15" t="s">
        <v>168</v>
      </c>
      <c r="Y99" s="15">
        <v>750</v>
      </c>
      <c r="Z99" s="10">
        <v>290</v>
      </c>
      <c r="AA99" s="10">
        <v>240</v>
      </c>
      <c r="AB99" s="10">
        <f t="shared" si="4"/>
        <v>103</v>
      </c>
      <c r="AC99" s="16">
        <f t="shared" si="5"/>
        <v>88.666666666666671</v>
      </c>
    </row>
    <row r="100" spans="1:29" ht="37.5" customHeight="1">
      <c r="A100" s="9">
        <v>98</v>
      </c>
      <c r="B100" s="9">
        <v>161</v>
      </c>
      <c r="C100" s="9">
        <v>0</v>
      </c>
      <c r="D100" s="9">
        <v>109</v>
      </c>
      <c r="E100" s="9">
        <v>83</v>
      </c>
      <c r="F100" s="9">
        <v>0</v>
      </c>
      <c r="G100" s="9">
        <v>0</v>
      </c>
      <c r="H100" s="9">
        <v>0</v>
      </c>
      <c r="I100" s="9">
        <v>1</v>
      </c>
      <c r="J100" s="9">
        <v>1</v>
      </c>
      <c r="K100" s="9">
        <v>1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356</v>
      </c>
      <c r="R100" s="9">
        <f t="shared" si="0"/>
        <v>356</v>
      </c>
      <c r="S100" s="9">
        <f t="shared" si="1"/>
        <v>0</v>
      </c>
      <c r="T100" s="9">
        <v>0</v>
      </c>
      <c r="U100" s="9">
        <v>356</v>
      </c>
      <c r="V100" s="9">
        <v>0</v>
      </c>
      <c r="W100" s="15" t="s">
        <v>169</v>
      </c>
      <c r="X100" s="15" t="s">
        <v>170</v>
      </c>
      <c r="Y100" s="10">
        <v>450</v>
      </c>
      <c r="Z100" s="10"/>
      <c r="AA100" s="10"/>
      <c r="AB100" s="10">
        <f t="shared" si="4"/>
        <v>52</v>
      </c>
      <c r="AC100" s="16">
        <f t="shared" si="5"/>
        <v>79.111111111111114</v>
      </c>
    </row>
    <row r="101" spans="1:29" ht="37.5" customHeight="1">
      <c r="A101" s="9">
        <v>99</v>
      </c>
      <c r="B101" s="9">
        <v>182</v>
      </c>
      <c r="C101" s="9">
        <v>1</v>
      </c>
      <c r="D101" s="9">
        <v>21</v>
      </c>
      <c r="E101" s="9">
        <v>382</v>
      </c>
      <c r="F101" s="9">
        <v>2</v>
      </c>
      <c r="G101" s="9">
        <v>0</v>
      </c>
      <c r="H101" s="9">
        <v>3</v>
      </c>
      <c r="I101" s="9">
        <v>0</v>
      </c>
      <c r="J101" s="9">
        <v>0</v>
      </c>
      <c r="K101" s="9">
        <v>3</v>
      </c>
      <c r="L101" s="9">
        <v>1</v>
      </c>
      <c r="M101" s="9">
        <v>3</v>
      </c>
      <c r="N101" s="9">
        <v>1</v>
      </c>
      <c r="O101" s="9">
        <v>0</v>
      </c>
      <c r="P101" s="9">
        <v>1</v>
      </c>
      <c r="Q101" s="9">
        <v>600</v>
      </c>
      <c r="R101" s="9">
        <f t="shared" si="0"/>
        <v>600</v>
      </c>
      <c r="S101" s="9">
        <f t="shared" si="1"/>
        <v>0</v>
      </c>
      <c r="T101" s="9">
        <v>1</v>
      </c>
      <c r="U101" s="9">
        <v>601</v>
      </c>
      <c r="V101" s="9">
        <v>0</v>
      </c>
      <c r="W101" s="15" t="s">
        <v>171</v>
      </c>
      <c r="X101" s="15" t="s">
        <v>172</v>
      </c>
      <c r="Y101" s="15">
        <v>831</v>
      </c>
      <c r="Z101" s="15">
        <v>435</v>
      </c>
      <c r="AA101" s="10">
        <v>396</v>
      </c>
      <c r="AB101" s="10">
        <f t="shared" si="4"/>
        <v>161</v>
      </c>
      <c r="AC101" s="16">
        <f t="shared" si="5"/>
        <v>72.322503008423595</v>
      </c>
    </row>
    <row r="102" spans="1:29" ht="37.5" customHeight="1">
      <c r="A102" s="9">
        <v>100</v>
      </c>
      <c r="B102" s="9">
        <v>433</v>
      </c>
      <c r="C102" s="9">
        <v>1</v>
      </c>
      <c r="D102" s="9">
        <v>205</v>
      </c>
      <c r="E102" s="9">
        <v>12</v>
      </c>
      <c r="F102" s="9">
        <v>0</v>
      </c>
      <c r="G102" s="9">
        <v>0</v>
      </c>
      <c r="H102" s="9">
        <v>0</v>
      </c>
      <c r="I102" s="9">
        <v>2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1</v>
      </c>
      <c r="P102" s="9">
        <v>0</v>
      </c>
      <c r="Q102" s="9">
        <v>654</v>
      </c>
      <c r="R102" s="9">
        <f t="shared" si="0"/>
        <v>654</v>
      </c>
      <c r="S102" s="9">
        <f t="shared" si="1"/>
        <v>0</v>
      </c>
      <c r="T102" s="9">
        <v>1</v>
      </c>
      <c r="U102" s="9">
        <v>655</v>
      </c>
      <c r="V102" s="9">
        <v>0</v>
      </c>
      <c r="W102" s="15" t="s">
        <v>173</v>
      </c>
      <c r="X102" s="15" t="s">
        <v>174</v>
      </c>
      <c r="Y102" s="15">
        <v>828</v>
      </c>
      <c r="Z102" s="10">
        <v>455</v>
      </c>
      <c r="AA102" s="10">
        <v>368</v>
      </c>
      <c r="AB102" s="10">
        <f t="shared" si="4"/>
        <v>228</v>
      </c>
      <c r="AC102" s="16">
        <f t="shared" si="5"/>
        <v>79.106280193236714</v>
      </c>
    </row>
    <row r="103" spans="1:29" ht="37.5" customHeight="1">
      <c r="A103" s="9">
        <v>101</v>
      </c>
      <c r="B103" s="9">
        <v>305</v>
      </c>
      <c r="C103" s="9">
        <v>3</v>
      </c>
      <c r="D103" s="9">
        <v>239</v>
      </c>
      <c r="E103" s="9">
        <v>6</v>
      </c>
      <c r="F103" s="9">
        <v>0</v>
      </c>
      <c r="G103" s="9">
        <v>0</v>
      </c>
      <c r="H103" s="9">
        <v>0</v>
      </c>
      <c r="I103" s="9">
        <v>1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1</v>
      </c>
      <c r="P103" s="9">
        <v>1</v>
      </c>
      <c r="Q103" s="9">
        <v>556</v>
      </c>
      <c r="R103" s="9">
        <f t="shared" si="0"/>
        <v>556</v>
      </c>
      <c r="S103" s="9">
        <f t="shared" si="1"/>
        <v>0</v>
      </c>
      <c r="T103" s="9">
        <v>4</v>
      </c>
      <c r="U103" s="9">
        <v>560</v>
      </c>
      <c r="V103" s="9">
        <v>0</v>
      </c>
      <c r="W103" s="15" t="s">
        <v>173</v>
      </c>
      <c r="X103" s="15" t="s">
        <v>76</v>
      </c>
      <c r="Y103" s="15">
        <v>796</v>
      </c>
      <c r="Z103" s="15">
        <v>428</v>
      </c>
      <c r="AA103" s="10">
        <v>363</v>
      </c>
      <c r="AB103" s="10">
        <f t="shared" si="4"/>
        <v>66</v>
      </c>
      <c r="AC103" s="16">
        <f t="shared" si="5"/>
        <v>70.35175879396985</v>
      </c>
    </row>
    <row r="104" spans="1:29" ht="37.5" customHeight="1">
      <c r="A104" s="9">
        <v>102</v>
      </c>
      <c r="B104" s="9">
        <v>311</v>
      </c>
      <c r="C104" s="9">
        <v>3</v>
      </c>
      <c r="D104" s="9">
        <v>220</v>
      </c>
      <c r="E104" s="9">
        <v>376</v>
      </c>
      <c r="F104" s="9">
        <v>2</v>
      </c>
      <c r="G104" s="9">
        <v>0</v>
      </c>
      <c r="H104" s="9">
        <v>0</v>
      </c>
      <c r="I104" s="9">
        <v>0</v>
      </c>
      <c r="J104" s="9">
        <v>0</v>
      </c>
      <c r="K104" s="9">
        <v>2</v>
      </c>
      <c r="L104" s="9">
        <v>0</v>
      </c>
      <c r="M104" s="9">
        <v>0</v>
      </c>
      <c r="N104" s="9">
        <v>3</v>
      </c>
      <c r="O104" s="9">
        <v>0</v>
      </c>
      <c r="P104" s="9">
        <v>1</v>
      </c>
      <c r="Q104" s="9">
        <v>918</v>
      </c>
      <c r="R104" s="9">
        <f t="shared" si="0"/>
        <v>918</v>
      </c>
      <c r="S104" s="9">
        <f t="shared" si="1"/>
        <v>0</v>
      </c>
      <c r="T104" s="9">
        <v>4</v>
      </c>
      <c r="U104" s="9">
        <v>922</v>
      </c>
      <c r="V104" s="9">
        <v>0</v>
      </c>
      <c r="W104" s="15" t="s">
        <v>175</v>
      </c>
      <c r="X104" s="15" t="s">
        <v>176</v>
      </c>
      <c r="Y104" s="15">
        <v>1240</v>
      </c>
      <c r="Z104" s="10">
        <v>647</v>
      </c>
      <c r="AA104" s="10">
        <v>577</v>
      </c>
      <c r="AB104" s="10">
        <f t="shared" si="4"/>
        <v>91</v>
      </c>
      <c r="AC104" s="16">
        <f t="shared" si="5"/>
        <v>74.354838709677423</v>
      </c>
    </row>
    <row r="105" spans="1:29" ht="37.5" customHeight="1">
      <c r="A105" s="9">
        <v>103</v>
      </c>
      <c r="B105" s="9">
        <v>324</v>
      </c>
      <c r="C105" s="9">
        <v>5</v>
      </c>
      <c r="D105" s="9">
        <v>258</v>
      </c>
      <c r="E105" s="9">
        <v>86</v>
      </c>
      <c r="F105" s="9">
        <v>0</v>
      </c>
      <c r="G105" s="9">
        <v>1</v>
      </c>
      <c r="H105" s="9">
        <v>0</v>
      </c>
      <c r="I105" s="9">
        <v>1</v>
      </c>
      <c r="J105" s="9">
        <v>4</v>
      </c>
      <c r="K105" s="9">
        <v>1</v>
      </c>
      <c r="L105" s="9">
        <v>0</v>
      </c>
      <c r="M105" s="9">
        <v>0</v>
      </c>
      <c r="N105" s="9">
        <v>1</v>
      </c>
      <c r="O105" s="9">
        <v>0</v>
      </c>
      <c r="P105" s="9">
        <v>1</v>
      </c>
      <c r="Q105" s="9">
        <v>682</v>
      </c>
      <c r="R105" s="9">
        <f t="shared" si="0"/>
        <v>682</v>
      </c>
      <c r="S105" s="9">
        <f t="shared" si="1"/>
        <v>0</v>
      </c>
      <c r="T105" s="9">
        <v>2</v>
      </c>
      <c r="U105" s="9">
        <v>684</v>
      </c>
      <c r="V105" s="9">
        <v>0</v>
      </c>
      <c r="W105" s="15" t="s">
        <v>177</v>
      </c>
      <c r="X105" s="15" t="s">
        <v>178</v>
      </c>
      <c r="Y105" s="15">
        <v>1028</v>
      </c>
      <c r="Z105" s="15">
        <v>550</v>
      </c>
      <c r="AA105" s="10">
        <v>472</v>
      </c>
      <c r="AB105" s="10">
        <f t="shared" si="4"/>
        <v>66</v>
      </c>
      <c r="AC105" s="16">
        <f t="shared" si="5"/>
        <v>66.536964980544738</v>
      </c>
    </row>
    <row r="106" spans="1:29" ht="37.5" customHeight="1">
      <c r="A106" s="9">
        <v>104</v>
      </c>
      <c r="B106" s="9">
        <v>369</v>
      </c>
      <c r="C106" s="9">
        <v>2</v>
      </c>
      <c r="D106" s="9">
        <v>65</v>
      </c>
      <c r="E106" s="9">
        <v>19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455</v>
      </c>
      <c r="R106" s="9">
        <f t="shared" si="0"/>
        <v>455</v>
      </c>
      <c r="S106" s="9">
        <f t="shared" si="1"/>
        <v>0</v>
      </c>
      <c r="T106" s="9">
        <v>1</v>
      </c>
      <c r="U106" s="9">
        <v>456</v>
      </c>
      <c r="V106" s="9">
        <v>0</v>
      </c>
      <c r="W106" s="15" t="s">
        <v>177</v>
      </c>
      <c r="X106" s="15" t="s">
        <v>179</v>
      </c>
      <c r="Y106" s="15">
        <v>595</v>
      </c>
      <c r="Z106" s="10">
        <v>311</v>
      </c>
      <c r="AA106" s="10">
        <v>279</v>
      </c>
      <c r="AB106" s="10">
        <f t="shared" si="4"/>
        <v>304</v>
      </c>
      <c r="AC106" s="16">
        <f t="shared" si="5"/>
        <v>76.638655462184886</v>
      </c>
    </row>
    <row r="107" spans="1:29" ht="37.5" customHeight="1">
      <c r="A107" s="9">
        <v>105</v>
      </c>
      <c r="B107" s="9">
        <v>377</v>
      </c>
      <c r="C107" s="9">
        <v>3</v>
      </c>
      <c r="D107" s="9">
        <v>280</v>
      </c>
      <c r="E107" s="9">
        <v>93</v>
      </c>
      <c r="F107" s="9">
        <v>2</v>
      </c>
      <c r="G107" s="9">
        <v>0</v>
      </c>
      <c r="H107" s="9">
        <v>0</v>
      </c>
      <c r="I107" s="9">
        <v>0</v>
      </c>
      <c r="J107" s="9">
        <v>7</v>
      </c>
      <c r="K107" s="9">
        <v>0</v>
      </c>
      <c r="L107" s="9">
        <v>1</v>
      </c>
      <c r="M107" s="9">
        <v>0</v>
      </c>
      <c r="N107" s="9">
        <v>1</v>
      </c>
      <c r="O107" s="9">
        <v>0</v>
      </c>
      <c r="P107" s="9">
        <v>0</v>
      </c>
      <c r="Q107" s="9">
        <v>764</v>
      </c>
      <c r="R107" s="9">
        <f t="shared" si="0"/>
        <v>764</v>
      </c>
      <c r="S107" s="9">
        <f t="shared" si="1"/>
        <v>0</v>
      </c>
      <c r="T107" s="9">
        <v>3</v>
      </c>
      <c r="U107" s="9">
        <v>767</v>
      </c>
      <c r="V107" s="9">
        <v>0</v>
      </c>
      <c r="W107" s="15" t="s">
        <v>180</v>
      </c>
      <c r="X107" s="15" t="s">
        <v>181</v>
      </c>
      <c r="Y107" s="15">
        <v>1139</v>
      </c>
      <c r="Z107" s="15">
        <v>592</v>
      </c>
      <c r="AA107" s="10">
        <v>534</v>
      </c>
      <c r="AB107" s="10">
        <f t="shared" si="4"/>
        <v>97</v>
      </c>
      <c r="AC107" s="16">
        <f t="shared" si="5"/>
        <v>67.339771729587355</v>
      </c>
    </row>
    <row r="108" spans="1:29" ht="37.5" customHeight="1">
      <c r="A108" s="9">
        <v>106</v>
      </c>
      <c r="B108" s="9">
        <v>326</v>
      </c>
      <c r="C108" s="9">
        <v>6</v>
      </c>
      <c r="D108" s="9">
        <v>264</v>
      </c>
      <c r="E108" s="9">
        <v>13</v>
      </c>
      <c r="F108" s="9">
        <v>0</v>
      </c>
      <c r="G108" s="9">
        <v>0</v>
      </c>
      <c r="H108" s="9">
        <v>0</v>
      </c>
      <c r="I108" s="9">
        <v>1</v>
      </c>
      <c r="J108" s="9">
        <v>1</v>
      </c>
      <c r="K108" s="9">
        <v>0</v>
      </c>
      <c r="L108" s="9">
        <v>0</v>
      </c>
      <c r="M108" s="9">
        <v>1</v>
      </c>
      <c r="N108" s="9">
        <v>2</v>
      </c>
      <c r="O108" s="9">
        <v>3</v>
      </c>
      <c r="P108" s="9">
        <v>0</v>
      </c>
      <c r="Q108" s="9">
        <v>617</v>
      </c>
      <c r="R108" s="9">
        <f t="shared" si="0"/>
        <v>617</v>
      </c>
      <c r="S108" s="9">
        <f t="shared" si="1"/>
        <v>0</v>
      </c>
      <c r="T108" s="9">
        <v>2</v>
      </c>
      <c r="U108" s="9">
        <v>619</v>
      </c>
      <c r="V108" s="9">
        <v>0</v>
      </c>
      <c r="W108" s="15" t="s">
        <v>180</v>
      </c>
      <c r="X108" s="15" t="s">
        <v>182</v>
      </c>
      <c r="Y108" s="15">
        <v>949</v>
      </c>
      <c r="Z108" s="10">
        <v>501</v>
      </c>
      <c r="AA108" s="10">
        <v>448</v>
      </c>
      <c r="AB108" s="10">
        <f t="shared" si="4"/>
        <v>62</v>
      </c>
      <c r="AC108" s="16">
        <f t="shared" si="5"/>
        <v>65.226554267650158</v>
      </c>
    </row>
    <row r="109" spans="1:29" ht="37.5" customHeight="1">
      <c r="A109" s="9">
        <v>107</v>
      </c>
      <c r="B109" s="9">
        <v>289</v>
      </c>
      <c r="C109" s="9">
        <v>1</v>
      </c>
      <c r="D109" s="9">
        <v>162</v>
      </c>
      <c r="E109" s="9">
        <v>22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1</v>
      </c>
      <c r="Q109" s="9">
        <v>475</v>
      </c>
      <c r="R109" s="9">
        <f t="shared" si="0"/>
        <v>475</v>
      </c>
      <c r="S109" s="9">
        <f t="shared" si="1"/>
        <v>0</v>
      </c>
      <c r="T109" s="9">
        <v>5</v>
      </c>
      <c r="U109" s="9">
        <v>480</v>
      </c>
      <c r="V109" s="9">
        <v>0</v>
      </c>
      <c r="W109" s="15" t="s">
        <v>180</v>
      </c>
      <c r="X109" s="15" t="s">
        <v>183</v>
      </c>
      <c r="Y109" s="15">
        <v>765</v>
      </c>
      <c r="Z109" s="15">
        <v>409</v>
      </c>
      <c r="AA109" s="10">
        <v>355</v>
      </c>
      <c r="AB109" s="10">
        <f t="shared" si="4"/>
        <v>127</v>
      </c>
      <c r="AC109" s="16">
        <f t="shared" si="5"/>
        <v>62.745098039215684</v>
      </c>
    </row>
    <row r="110" spans="1:29" ht="37.5" customHeight="1">
      <c r="A110" s="9">
        <v>108</v>
      </c>
      <c r="B110" s="9">
        <v>573</v>
      </c>
      <c r="C110" s="9">
        <v>4</v>
      </c>
      <c r="D110" s="9">
        <v>213</v>
      </c>
      <c r="E110" s="9">
        <v>240</v>
      </c>
      <c r="F110" s="9">
        <v>1</v>
      </c>
      <c r="G110" s="9">
        <v>0</v>
      </c>
      <c r="H110" s="9">
        <v>1</v>
      </c>
      <c r="I110" s="9">
        <v>0</v>
      </c>
      <c r="J110" s="9">
        <v>5</v>
      </c>
      <c r="K110" s="9">
        <v>0</v>
      </c>
      <c r="L110" s="9">
        <v>1</v>
      </c>
      <c r="M110" s="9">
        <v>0</v>
      </c>
      <c r="N110" s="9">
        <v>1</v>
      </c>
      <c r="O110" s="9">
        <v>0</v>
      </c>
      <c r="P110" s="9">
        <v>0</v>
      </c>
      <c r="Q110" s="9">
        <v>1039</v>
      </c>
      <c r="R110" s="9">
        <f t="shared" si="0"/>
        <v>1039</v>
      </c>
      <c r="S110" s="9">
        <f t="shared" si="1"/>
        <v>0</v>
      </c>
      <c r="T110" s="9">
        <v>5</v>
      </c>
      <c r="U110" s="9">
        <v>1044</v>
      </c>
      <c r="V110" s="9">
        <v>0</v>
      </c>
      <c r="W110" s="15" t="s">
        <v>180</v>
      </c>
      <c r="X110" s="15" t="s">
        <v>184</v>
      </c>
      <c r="Y110" s="15">
        <v>1250</v>
      </c>
      <c r="Z110" s="15">
        <v>393</v>
      </c>
      <c r="AA110" s="10">
        <v>339</v>
      </c>
      <c r="AB110" s="10">
        <f t="shared" si="4"/>
        <v>360</v>
      </c>
      <c r="AC110" s="16">
        <f t="shared" si="5"/>
        <v>83.52000000000001</v>
      </c>
    </row>
    <row r="111" spans="1:29" ht="37.5" customHeight="1">
      <c r="A111" s="9">
        <v>109</v>
      </c>
      <c r="B111" s="9">
        <v>274</v>
      </c>
      <c r="C111" s="9">
        <v>3</v>
      </c>
      <c r="D111" s="9">
        <v>132</v>
      </c>
      <c r="E111" s="9">
        <v>527</v>
      </c>
      <c r="F111" s="9">
        <v>2</v>
      </c>
      <c r="G111" s="9">
        <v>0</v>
      </c>
      <c r="H111" s="9">
        <v>0</v>
      </c>
      <c r="I111" s="9">
        <v>9</v>
      </c>
      <c r="J111" s="9">
        <v>1</v>
      </c>
      <c r="K111" s="9">
        <v>1</v>
      </c>
      <c r="L111" s="9">
        <v>0</v>
      </c>
      <c r="M111" s="9">
        <v>0</v>
      </c>
      <c r="N111" s="9">
        <v>2</v>
      </c>
      <c r="O111" s="9">
        <v>0</v>
      </c>
      <c r="P111" s="9">
        <v>0</v>
      </c>
      <c r="Q111" s="9">
        <v>951</v>
      </c>
      <c r="R111" s="9">
        <f t="shared" si="0"/>
        <v>951</v>
      </c>
      <c r="S111" s="9">
        <f t="shared" si="1"/>
        <v>0</v>
      </c>
      <c r="T111" s="9">
        <v>4</v>
      </c>
      <c r="U111" s="9">
        <v>955</v>
      </c>
      <c r="V111" s="9">
        <v>0</v>
      </c>
      <c r="W111" s="15" t="s">
        <v>180</v>
      </c>
      <c r="X111" s="15" t="s">
        <v>185</v>
      </c>
      <c r="Y111" s="15">
        <v>1150</v>
      </c>
      <c r="Z111" s="15">
        <v>426</v>
      </c>
      <c r="AA111" s="10">
        <v>359</v>
      </c>
      <c r="AB111" s="10">
        <f t="shared" si="4"/>
        <v>142</v>
      </c>
      <c r="AC111" s="16">
        <f t="shared" si="5"/>
        <v>83.043478260869563</v>
      </c>
    </row>
    <row r="112" spans="1:29" ht="37.5" customHeight="1">
      <c r="A112" s="9">
        <v>110</v>
      </c>
      <c r="B112" s="9">
        <v>432</v>
      </c>
      <c r="C112" s="9">
        <v>2</v>
      </c>
      <c r="D112" s="9">
        <v>273</v>
      </c>
      <c r="E112" s="9">
        <v>43</v>
      </c>
      <c r="F112" s="9">
        <v>0</v>
      </c>
      <c r="G112" s="9">
        <v>0</v>
      </c>
      <c r="H112" s="9">
        <v>1</v>
      </c>
      <c r="I112" s="9">
        <v>0</v>
      </c>
      <c r="J112" s="9">
        <v>16</v>
      </c>
      <c r="K112" s="9">
        <v>0</v>
      </c>
      <c r="L112" s="9">
        <v>0</v>
      </c>
      <c r="M112" s="9">
        <v>0</v>
      </c>
      <c r="N112" s="9">
        <v>0</v>
      </c>
      <c r="O112" s="9">
        <v>4</v>
      </c>
      <c r="P112" s="9">
        <v>0</v>
      </c>
      <c r="Q112" s="9">
        <v>771</v>
      </c>
      <c r="R112" s="9">
        <f t="shared" si="0"/>
        <v>771</v>
      </c>
      <c r="S112" s="9">
        <f t="shared" si="1"/>
        <v>0</v>
      </c>
      <c r="T112" s="9">
        <v>2</v>
      </c>
      <c r="U112" s="9">
        <v>773</v>
      </c>
      <c r="V112" s="9">
        <v>0</v>
      </c>
      <c r="W112" s="15" t="s">
        <v>180</v>
      </c>
      <c r="X112" s="15" t="s">
        <v>186</v>
      </c>
      <c r="Y112" s="10">
        <v>850</v>
      </c>
      <c r="Z112" s="10"/>
      <c r="AA112" s="10"/>
      <c r="AB112" s="10">
        <f t="shared" si="4"/>
        <v>159</v>
      </c>
      <c r="AC112" s="16">
        <f t="shared" si="5"/>
        <v>90.941176470588232</v>
      </c>
    </row>
    <row r="113" spans="1:29" ht="37.5" customHeight="1">
      <c r="A113" s="9">
        <v>111</v>
      </c>
      <c r="B113" s="9">
        <v>546</v>
      </c>
      <c r="C113" s="9">
        <v>4</v>
      </c>
      <c r="D113" s="9">
        <v>267</v>
      </c>
      <c r="E113" s="9">
        <v>72</v>
      </c>
      <c r="F113" s="9">
        <v>0</v>
      </c>
      <c r="G113" s="9">
        <v>0</v>
      </c>
      <c r="H113" s="9">
        <v>1</v>
      </c>
      <c r="I113" s="9">
        <v>6</v>
      </c>
      <c r="J113" s="9">
        <v>4</v>
      </c>
      <c r="K113" s="9">
        <v>0</v>
      </c>
      <c r="L113" s="9">
        <v>1</v>
      </c>
      <c r="M113" s="9">
        <v>0</v>
      </c>
      <c r="N113" s="9">
        <v>0</v>
      </c>
      <c r="O113" s="9">
        <v>3</v>
      </c>
      <c r="P113" s="9">
        <v>0</v>
      </c>
      <c r="Q113" s="9">
        <v>904</v>
      </c>
      <c r="R113" s="9">
        <f t="shared" si="0"/>
        <v>904</v>
      </c>
      <c r="S113" s="9">
        <f t="shared" si="1"/>
        <v>0</v>
      </c>
      <c r="T113" s="9">
        <v>4</v>
      </c>
      <c r="U113" s="9">
        <v>908</v>
      </c>
      <c r="V113" s="9">
        <v>0</v>
      </c>
      <c r="W113" s="15" t="s">
        <v>180</v>
      </c>
      <c r="X113" s="15" t="s">
        <v>187</v>
      </c>
      <c r="Y113" s="15">
        <v>1328</v>
      </c>
      <c r="Z113" s="15">
        <v>695</v>
      </c>
      <c r="AA113" s="10">
        <v>621</v>
      </c>
      <c r="AB113" s="10">
        <f t="shared" si="4"/>
        <v>279</v>
      </c>
      <c r="AC113" s="16">
        <f t="shared" si="5"/>
        <v>68.373493975903614</v>
      </c>
    </row>
    <row r="114" spans="1:29" ht="37.5" customHeight="1">
      <c r="A114" s="9">
        <v>112</v>
      </c>
      <c r="B114" s="9">
        <v>388</v>
      </c>
      <c r="C114" s="9">
        <v>1</v>
      </c>
      <c r="D114" s="9">
        <v>181</v>
      </c>
      <c r="E114" s="9">
        <v>27</v>
      </c>
      <c r="F114" s="9">
        <v>0</v>
      </c>
      <c r="G114" s="9">
        <v>0</v>
      </c>
      <c r="H114" s="9" t="s">
        <v>18</v>
      </c>
      <c r="I114" s="9"/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597</v>
      </c>
      <c r="R114" s="9">
        <f t="shared" si="0"/>
        <v>597</v>
      </c>
      <c r="S114" s="9">
        <f t="shared" si="1"/>
        <v>0</v>
      </c>
      <c r="T114" s="9">
        <v>3</v>
      </c>
      <c r="U114" s="9">
        <v>600</v>
      </c>
      <c r="V114" s="9">
        <v>0</v>
      </c>
      <c r="W114" s="15" t="s">
        <v>180</v>
      </c>
      <c r="X114" s="15" t="s">
        <v>188</v>
      </c>
      <c r="Y114" s="15">
        <v>1019</v>
      </c>
      <c r="Z114" s="15">
        <v>546</v>
      </c>
      <c r="AA114" s="10">
        <v>467</v>
      </c>
      <c r="AB114" s="10">
        <f t="shared" si="4"/>
        <v>207</v>
      </c>
      <c r="AC114" s="16">
        <f t="shared" si="5"/>
        <v>58.881256133464177</v>
      </c>
    </row>
    <row r="115" spans="1:29" ht="37.5" customHeight="1">
      <c r="A115" s="9" t="s">
        <v>19</v>
      </c>
      <c r="B115" s="9">
        <v>371</v>
      </c>
      <c r="C115" s="9">
        <v>2</v>
      </c>
      <c r="D115" s="9">
        <v>145</v>
      </c>
      <c r="E115" s="9">
        <v>52</v>
      </c>
      <c r="F115" s="9">
        <v>0</v>
      </c>
      <c r="G115" s="9">
        <v>0</v>
      </c>
      <c r="H115" s="9">
        <v>1</v>
      </c>
      <c r="I115" s="9">
        <v>0</v>
      </c>
      <c r="J115" s="9">
        <v>0</v>
      </c>
      <c r="K115" s="9">
        <v>0</v>
      </c>
      <c r="L115" s="9">
        <v>1</v>
      </c>
      <c r="M115" s="9">
        <v>0</v>
      </c>
      <c r="N115" s="9">
        <v>2</v>
      </c>
      <c r="O115" s="9">
        <v>0</v>
      </c>
      <c r="P115" s="9">
        <v>0</v>
      </c>
      <c r="Q115" s="9">
        <v>574</v>
      </c>
      <c r="R115" s="9">
        <f t="shared" si="0"/>
        <v>574</v>
      </c>
      <c r="S115" s="9">
        <f t="shared" si="1"/>
        <v>0</v>
      </c>
      <c r="T115" s="9">
        <v>5</v>
      </c>
      <c r="U115" s="9">
        <v>579</v>
      </c>
      <c r="V115" s="9">
        <v>0</v>
      </c>
      <c r="W115" s="15" t="s">
        <v>180</v>
      </c>
      <c r="X115" s="15" t="s">
        <v>189</v>
      </c>
      <c r="Y115" s="10">
        <v>650</v>
      </c>
      <c r="Z115" s="10"/>
      <c r="AA115" s="10"/>
      <c r="AB115" s="10">
        <f t="shared" si="4"/>
        <v>226</v>
      </c>
      <c r="AC115" s="16">
        <f t="shared" si="5"/>
        <v>89.07692307692308</v>
      </c>
    </row>
    <row r="116" spans="1:29" ht="37.5" customHeight="1">
      <c r="A116" s="9">
        <v>113</v>
      </c>
      <c r="B116" s="9">
        <v>521</v>
      </c>
      <c r="C116" s="9">
        <v>1</v>
      </c>
      <c r="D116" s="9">
        <v>204</v>
      </c>
      <c r="E116" s="9">
        <v>73</v>
      </c>
      <c r="F116" s="9">
        <v>0</v>
      </c>
      <c r="G116" s="9">
        <v>1</v>
      </c>
      <c r="H116" s="9">
        <v>1</v>
      </c>
      <c r="I116" s="9">
        <v>4</v>
      </c>
      <c r="J116" s="9">
        <v>0</v>
      </c>
      <c r="K116" s="9">
        <v>0</v>
      </c>
      <c r="L116" s="9">
        <v>0</v>
      </c>
      <c r="M116" s="9">
        <v>0</v>
      </c>
      <c r="N116" s="9">
        <v>1</v>
      </c>
      <c r="O116" s="9">
        <v>1</v>
      </c>
      <c r="P116" s="9">
        <v>0</v>
      </c>
      <c r="Q116" s="9">
        <v>807</v>
      </c>
      <c r="R116" s="9">
        <f t="shared" si="0"/>
        <v>807</v>
      </c>
      <c r="S116" s="9">
        <f t="shared" si="1"/>
        <v>0</v>
      </c>
      <c r="T116" s="9">
        <v>7</v>
      </c>
      <c r="U116" s="9">
        <v>814</v>
      </c>
      <c r="V116" s="9">
        <v>0</v>
      </c>
      <c r="W116" s="15" t="s">
        <v>180</v>
      </c>
      <c r="X116" s="15" t="s">
        <v>190</v>
      </c>
      <c r="Y116" s="10">
        <v>950</v>
      </c>
      <c r="Z116" s="10"/>
      <c r="AA116" s="10"/>
      <c r="AB116" s="10">
        <f t="shared" si="4"/>
        <v>317</v>
      </c>
      <c r="AC116" s="16">
        <f t="shared" si="5"/>
        <v>85.68421052631578</v>
      </c>
    </row>
    <row r="117" spans="1:29" ht="37.5" customHeight="1">
      <c r="A117" s="9">
        <v>114</v>
      </c>
      <c r="B117" s="9">
        <v>273</v>
      </c>
      <c r="C117" s="9">
        <v>0</v>
      </c>
      <c r="D117" s="9">
        <v>110</v>
      </c>
      <c r="E117" s="9">
        <v>137</v>
      </c>
      <c r="F117" s="9">
        <v>3</v>
      </c>
      <c r="G117" s="9">
        <v>1</v>
      </c>
      <c r="H117" s="9">
        <v>1</v>
      </c>
      <c r="I117" s="9">
        <v>1</v>
      </c>
      <c r="J117" s="9">
        <v>2</v>
      </c>
      <c r="K117" s="9">
        <v>1</v>
      </c>
      <c r="L117" s="9">
        <v>0</v>
      </c>
      <c r="M117" s="9">
        <v>2</v>
      </c>
      <c r="N117" s="9">
        <v>1</v>
      </c>
      <c r="O117" s="9">
        <v>1</v>
      </c>
      <c r="P117" s="9">
        <v>2</v>
      </c>
      <c r="Q117" s="9">
        <v>535</v>
      </c>
      <c r="R117" s="9">
        <f t="shared" si="0"/>
        <v>535</v>
      </c>
      <c r="S117" s="9">
        <f t="shared" si="1"/>
        <v>0</v>
      </c>
      <c r="T117" s="9">
        <v>7</v>
      </c>
      <c r="U117" s="9">
        <v>542</v>
      </c>
      <c r="V117" s="9">
        <v>0</v>
      </c>
      <c r="W117" s="15" t="s">
        <v>180</v>
      </c>
      <c r="X117" s="15" t="s">
        <v>191</v>
      </c>
      <c r="Y117" s="15">
        <v>622</v>
      </c>
      <c r="Z117" s="15">
        <v>324</v>
      </c>
      <c r="AA117" s="10">
        <v>292</v>
      </c>
      <c r="AB117" s="10">
        <f t="shared" si="4"/>
        <v>163</v>
      </c>
      <c r="AC117" s="16">
        <f t="shared" si="5"/>
        <v>87.138263665594849</v>
      </c>
    </row>
    <row r="118" spans="1:29" ht="37.5" customHeight="1">
      <c r="A118" s="9">
        <v>115</v>
      </c>
      <c r="B118" s="9">
        <v>299</v>
      </c>
      <c r="C118" s="9">
        <v>1</v>
      </c>
      <c r="D118" s="9">
        <v>167</v>
      </c>
      <c r="E118" s="9">
        <v>18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485</v>
      </c>
      <c r="R118" s="9">
        <f t="shared" si="0"/>
        <v>485</v>
      </c>
      <c r="S118" s="9">
        <f t="shared" si="1"/>
        <v>0</v>
      </c>
      <c r="T118" s="9">
        <v>4</v>
      </c>
      <c r="U118" s="9">
        <v>489</v>
      </c>
      <c r="V118" s="9">
        <v>0</v>
      </c>
      <c r="W118" s="15" t="s">
        <v>180</v>
      </c>
      <c r="X118" s="15" t="s">
        <v>192</v>
      </c>
      <c r="Y118" s="10">
        <v>600</v>
      </c>
      <c r="Z118" s="10"/>
      <c r="AA118" s="10"/>
      <c r="AB118" s="10">
        <f t="shared" si="4"/>
        <v>132</v>
      </c>
      <c r="AC118" s="16">
        <f t="shared" si="5"/>
        <v>81.5</v>
      </c>
    </row>
    <row r="119" spans="1:29" ht="37.5" customHeight="1">
      <c r="A119" s="9">
        <v>116</v>
      </c>
      <c r="B119" s="9">
        <v>237</v>
      </c>
      <c r="C119" s="9">
        <v>0</v>
      </c>
      <c r="D119" s="9">
        <v>105</v>
      </c>
      <c r="E119" s="9">
        <v>3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345</v>
      </c>
      <c r="R119" s="9">
        <f t="shared" si="0"/>
        <v>345</v>
      </c>
      <c r="S119" s="9">
        <f t="shared" si="1"/>
        <v>0</v>
      </c>
      <c r="T119" s="9">
        <v>0</v>
      </c>
      <c r="U119" s="9">
        <v>345</v>
      </c>
      <c r="V119" s="9">
        <v>0</v>
      </c>
      <c r="W119" s="15" t="s">
        <v>180</v>
      </c>
      <c r="X119" s="15" t="s">
        <v>193</v>
      </c>
      <c r="Y119" s="15">
        <v>718</v>
      </c>
      <c r="Z119" s="15">
        <v>381</v>
      </c>
      <c r="AA119" s="10">
        <v>325</v>
      </c>
      <c r="AB119" s="10">
        <f t="shared" si="4"/>
        <v>132</v>
      </c>
      <c r="AC119" s="16">
        <f t="shared" si="5"/>
        <v>48.050139275766021</v>
      </c>
    </row>
    <row r="120" spans="1:29" ht="37.5" customHeight="1">
      <c r="A120" s="9">
        <v>117</v>
      </c>
      <c r="B120" s="9">
        <v>304</v>
      </c>
      <c r="C120" s="9">
        <v>2</v>
      </c>
      <c r="D120" s="9">
        <v>109</v>
      </c>
      <c r="E120" s="9">
        <v>16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431</v>
      </c>
      <c r="R120" s="9">
        <f t="shared" si="0"/>
        <v>431</v>
      </c>
      <c r="S120" s="9">
        <f t="shared" si="1"/>
        <v>0</v>
      </c>
      <c r="T120" s="9">
        <v>0</v>
      </c>
      <c r="U120" s="9">
        <v>431</v>
      </c>
      <c r="V120" s="9">
        <v>0</v>
      </c>
      <c r="W120" s="15" t="s">
        <v>180</v>
      </c>
      <c r="X120" s="15" t="s">
        <v>194</v>
      </c>
      <c r="Y120" s="15">
        <v>840</v>
      </c>
      <c r="Z120" s="15">
        <v>448</v>
      </c>
      <c r="AA120" s="10">
        <v>383</v>
      </c>
      <c r="AB120" s="10">
        <f t="shared" si="4"/>
        <v>195</v>
      </c>
      <c r="AC120" s="16">
        <f t="shared" si="5"/>
        <v>51.309523809523803</v>
      </c>
    </row>
    <row r="121" spans="1:29" ht="37.5" customHeight="1">
      <c r="A121" s="9">
        <v>118</v>
      </c>
      <c r="B121" s="9">
        <v>350</v>
      </c>
      <c r="C121" s="9">
        <v>2</v>
      </c>
      <c r="D121" s="9">
        <v>229</v>
      </c>
      <c r="E121" s="9">
        <v>10</v>
      </c>
      <c r="F121" s="9">
        <v>0</v>
      </c>
      <c r="G121" s="9">
        <v>0</v>
      </c>
      <c r="H121" s="9">
        <v>0</v>
      </c>
      <c r="I121" s="9">
        <v>1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592</v>
      </c>
      <c r="R121" s="9">
        <f t="shared" si="0"/>
        <v>592</v>
      </c>
      <c r="S121" s="9">
        <f t="shared" si="1"/>
        <v>0</v>
      </c>
      <c r="T121" s="9">
        <v>2</v>
      </c>
      <c r="U121" s="9">
        <v>594</v>
      </c>
      <c r="V121" s="9">
        <v>0</v>
      </c>
      <c r="W121" s="15" t="s">
        <v>180</v>
      </c>
      <c r="X121" s="15" t="s">
        <v>195</v>
      </c>
      <c r="Y121" s="15">
        <v>700</v>
      </c>
      <c r="Z121" s="15">
        <v>243</v>
      </c>
      <c r="AA121" s="10">
        <v>210</v>
      </c>
      <c r="AB121" s="10">
        <f t="shared" si="4"/>
        <v>121</v>
      </c>
      <c r="AC121" s="16">
        <f t="shared" si="5"/>
        <v>84.857142857142847</v>
      </c>
    </row>
    <row r="122" spans="1:29" ht="37.5" customHeight="1">
      <c r="A122" s="9">
        <v>119</v>
      </c>
      <c r="B122" s="9">
        <v>239</v>
      </c>
      <c r="C122" s="9">
        <v>0</v>
      </c>
      <c r="D122" s="9">
        <v>89</v>
      </c>
      <c r="E122" s="9">
        <v>2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8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338</v>
      </c>
      <c r="R122" s="9">
        <f t="shared" si="0"/>
        <v>338</v>
      </c>
      <c r="S122" s="9">
        <f t="shared" si="1"/>
        <v>0</v>
      </c>
      <c r="T122" s="9">
        <v>0</v>
      </c>
      <c r="U122" s="9">
        <v>338</v>
      </c>
      <c r="V122" s="9">
        <v>0</v>
      </c>
      <c r="W122" s="15" t="s">
        <v>180</v>
      </c>
      <c r="X122" s="15" t="s">
        <v>196</v>
      </c>
      <c r="Y122" s="15">
        <v>902</v>
      </c>
      <c r="Z122" s="15">
        <v>473</v>
      </c>
      <c r="AA122" s="10">
        <v>428</v>
      </c>
      <c r="AB122" s="10">
        <f t="shared" si="4"/>
        <v>150</v>
      </c>
      <c r="AC122" s="16">
        <f t="shared" si="5"/>
        <v>37.472283813747225</v>
      </c>
    </row>
    <row r="123" spans="1:29" ht="37.5" customHeight="1">
      <c r="A123" s="9">
        <v>120</v>
      </c>
      <c r="B123" s="9">
        <v>275</v>
      </c>
      <c r="C123" s="9">
        <v>3</v>
      </c>
      <c r="D123" s="9">
        <v>232</v>
      </c>
      <c r="E123" s="9">
        <v>171</v>
      </c>
      <c r="F123" s="9">
        <v>0</v>
      </c>
      <c r="G123" s="9">
        <v>0</v>
      </c>
      <c r="H123" s="9">
        <v>1</v>
      </c>
      <c r="I123" s="9">
        <v>0</v>
      </c>
      <c r="J123" s="9">
        <v>1</v>
      </c>
      <c r="K123" s="9">
        <v>2</v>
      </c>
      <c r="L123" s="9">
        <v>0</v>
      </c>
      <c r="M123" s="9">
        <v>0</v>
      </c>
      <c r="N123" s="9">
        <v>2</v>
      </c>
      <c r="O123" s="9">
        <v>0</v>
      </c>
      <c r="P123" s="9">
        <v>0</v>
      </c>
      <c r="Q123" s="9">
        <v>687</v>
      </c>
      <c r="R123" s="9">
        <f t="shared" si="0"/>
        <v>687</v>
      </c>
      <c r="S123" s="9">
        <f t="shared" si="1"/>
        <v>0</v>
      </c>
      <c r="T123" s="9">
        <v>5</v>
      </c>
      <c r="U123" s="9">
        <v>692</v>
      </c>
      <c r="V123" s="9">
        <v>0</v>
      </c>
      <c r="W123" s="15" t="s">
        <v>180</v>
      </c>
      <c r="X123" s="15" t="s">
        <v>197</v>
      </c>
      <c r="Y123" s="15">
        <v>1042</v>
      </c>
      <c r="Z123" s="15">
        <v>531</v>
      </c>
      <c r="AA123" s="10">
        <v>501</v>
      </c>
      <c r="AB123" s="10">
        <f t="shared" si="4"/>
        <v>43</v>
      </c>
      <c r="AC123" s="16">
        <f t="shared" si="5"/>
        <v>66.410748560460647</v>
      </c>
    </row>
    <row r="124" spans="1:29" ht="37.5" customHeight="1">
      <c r="A124" s="9">
        <v>121</v>
      </c>
      <c r="B124" s="9">
        <v>433</v>
      </c>
      <c r="C124" s="9">
        <v>3</v>
      </c>
      <c r="D124" s="9">
        <v>155</v>
      </c>
      <c r="E124" s="9">
        <v>112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3</v>
      </c>
      <c r="P124" s="9">
        <v>4</v>
      </c>
      <c r="Q124" s="9">
        <v>710</v>
      </c>
      <c r="R124" s="9">
        <f t="shared" si="0"/>
        <v>710</v>
      </c>
      <c r="S124" s="9">
        <f t="shared" si="1"/>
        <v>0</v>
      </c>
      <c r="T124" s="9">
        <v>4</v>
      </c>
      <c r="U124" s="9">
        <v>714</v>
      </c>
      <c r="V124" s="9">
        <v>0</v>
      </c>
      <c r="W124" s="15" t="s">
        <v>180</v>
      </c>
      <c r="X124" s="15" t="s">
        <v>198</v>
      </c>
      <c r="Y124" s="15">
        <v>1132</v>
      </c>
      <c r="Z124" s="15">
        <v>586</v>
      </c>
      <c r="AA124" s="10">
        <v>538</v>
      </c>
      <c r="AB124" s="10">
        <f t="shared" si="4"/>
        <v>278</v>
      </c>
      <c r="AC124" s="16">
        <f t="shared" si="5"/>
        <v>63.074204946996474</v>
      </c>
    </row>
    <row r="125" spans="1:29" ht="37.5" customHeight="1">
      <c r="A125" s="9">
        <v>122</v>
      </c>
      <c r="B125" s="9">
        <v>481</v>
      </c>
      <c r="C125" s="9">
        <v>2</v>
      </c>
      <c r="D125" s="9">
        <v>315</v>
      </c>
      <c r="E125" s="9">
        <v>32</v>
      </c>
      <c r="F125" s="9">
        <v>0</v>
      </c>
      <c r="G125" s="9">
        <v>0</v>
      </c>
      <c r="H125" s="9">
        <v>1</v>
      </c>
      <c r="I125" s="9">
        <v>1</v>
      </c>
      <c r="J125" s="9">
        <v>2</v>
      </c>
      <c r="K125" s="9">
        <v>0</v>
      </c>
      <c r="L125" s="9">
        <v>0</v>
      </c>
      <c r="M125" s="9">
        <v>0</v>
      </c>
      <c r="N125" s="9">
        <v>1</v>
      </c>
      <c r="O125" s="9">
        <v>0</v>
      </c>
      <c r="P125" s="9">
        <v>0</v>
      </c>
      <c r="Q125" s="9">
        <v>835</v>
      </c>
      <c r="R125" s="9">
        <f t="shared" si="0"/>
        <v>835</v>
      </c>
      <c r="S125" s="9">
        <f t="shared" si="1"/>
        <v>0</v>
      </c>
      <c r="T125" s="9">
        <v>8</v>
      </c>
      <c r="U125" s="9">
        <v>843</v>
      </c>
      <c r="V125" s="9">
        <v>0</v>
      </c>
      <c r="W125" s="15" t="s">
        <v>180</v>
      </c>
      <c r="X125" s="15" t="s">
        <v>199</v>
      </c>
      <c r="Y125" s="15">
        <v>998</v>
      </c>
      <c r="Z125" s="15">
        <v>545</v>
      </c>
      <c r="AA125" s="10">
        <v>442</v>
      </c>
      <c r="AB125" s="10">
        <f t="shared" si="4"/>
        <v>166</v>
      </c>
      <c r="AC125" s="16">
        <f t="shared" si="5"/>
        <v>84.468937875751507</v>
      </c>
    </row>
    <row r="126" spans="1:29" ht="37.5" customHeight="1">
      <c r="A126" s="9">
        <v>123</v>
      </c>
      <c r="B126" s="9">
        <v>279</v>
      </c>
      <c r="C126" s="9">
        <v>2</v>
      </c>
      <c r="D126" s="9">
        <v>160</v>
      </c>
      <c r="E126" s="9">
        <v>283</v>
      </c>
      <c r="F126" s="9">
        <v>1</v>
      </c>
      <c r="G126" s="9">
        <v>1</v>
      </c>
      <c r="H126" s="9">
        <v>0</v>
      </c>
      <c r="I126" s="9">
        <v>1</v>
      </c>
      <c r="J126" s="9">
        <v>0</v>
      </c>
      <c r="K126" s="9">
        <v>3</v>
      </c>
      <c r="L126" s="9">
        <v>1</v>
      </c>
      <c r="M126" s="9">
        <v>5</v>
      </c>
      <c r="N126" s="9">
        <v>3</v>
      </c>
      <c r="O126" s="9">
        <v>1</v>
      </c>
      <c r="P126" s="9">
        <v>1</v>
      </c>
      <c r="Q126" s="9">
        <v>741</v>
      </c>
      <c r="R126" s="9">
        <f t="shared" si="0"/>
        <v>741</v>
      </c>
      <c r="S126" s="9">
        <f t="shared" si="1"/>
        <v>0</v>
      </c>
      <c r="T126" s="9">
        <v>9</v>
      </c>
      <c r="U126" s="9">
        <v>750</v>
      </c>
      <c r="V126" s="9">
        <v>0</v>
      </c>
      <c r="W126" s="15" t="s">
        <v>180</v>
      </c>
      <c r="X126" s="15" t="s">
        <v>200</v>
      </c>
      <c r="Y126" s="15">
        <v>850</v>
      </c>
      <c r="Z126" s="15">
        <v>417</v>
      </c>
      <c r="AA126" s="10">
        <v>403</v>
      </c>
      <c r="AB126" s="10">
        <f t="shared" si="4"/>
        <v>119</v>
      </c>
      <c r="AC126" s="16">
        <f t="shared" si="5"/>
        <v>88.235294117647058</v>
      </c>
    </row>
    <row r="127" spans="1:29" ht="37.5" customHeight="1">
      <c r="A127" s="9">
        <v>124</v>
      </c>
      <c r="B127" s="9">
        <v>322</v>
      </c>
      <c r="C127" s="9">
        <v>1</v>
      </c>
      <c r="D127" s="9">
        <v>128</v>
      </c>
      <c r="E127" s="9">
        <v>161</v>
      </c>
      <c r="F127" s="9">
        <v>1</v>
      </c>
      <c r="G127" s="9">
        <v>1</v>
      </c>
      <c r="H127" s="9">
        <v>2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616</v>
      </c>
      <c r="R127" s="9">
        <f t="shared" si="0"/>
        <v>616</v>
      </c>
      <c r="S127" s="9">
        <f t="shared" si="1"/>
        <v>0</v>
      </c>
      <c r="T127" s="9">
        <v>2</v>
      </c>
      <c r="U127" s="9">
        <v>618</v>
      </c>
      <c r="V127" s="9">
        <v>0</v>
      </c>
      <c r="W127" s="15" t="s">
        <v>180</v>
      </c>
      <c r="X127" s="15" t="s">
        <v>199</v>
      </c>
      <c r="Y127" s="15">
        <v>998</v>
      </c>
      <c r="Z127" s="15">
        <v>545</v>
      </c>
      <c r="AA127" s="10">
        <v>442</v>
      </c>
      <c r="AB127" s="10">
        <f t="shared" si="4"/>
        <v>194</v>
      </c>
      <c r="AC127" s="16">
        <f t="shared" si="5"/>
        <v>61.923847695390776</v>
      </c>
    </row>
    <row r="128" spans="1:29" ht="37.5" customHeight="1">
      <c r="A128" s="9">
        <v>125</v>
      </c>
      <c r="B128" s="9">
        <v>179</v>
      </c>
      <c r="C128" s="9">
        <v>3</v>
      </c>
      <c r="D128" s="9">
        <v>140</v>
      </c>
      <c r="E128" s="9">
        <v>27</v>
      </c>
      <c r="F128" s="9">
        <v>0</v>
      </c>
      <c r="G128" s="9">
        <v>0</v>
      </c>
      <c r="H128" s="9">
        <v>0</v>
      </c>
      <c r="I128" s="9">
        <v>0</v>
      </c>
      <c r="J128" s="9">
        <v>1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350</v>
      </c>
      <c r="R128" s="9">
        <f t="shared" si="0"/>
        <v>350</v>
      </c>
      <c r="S128" s="9">
        <f t="shared" si="1"/>
        <v>0</v>
      </c>
      <c r="T128" s="9">
        <v>1</v>
      </c>
      <c r="U128" s="9">
        <v>351</v>
      </c>
      <c r="V128" s="9">
        <v>0</v>
      </c>
      <c r="W128" s="15" t="s">
        <v>180</v>
      </c>
      <c r="X128" s="15" t="s">
        <v>201</v>
      </c>
      <c r="Y128" s="15">
        <v>822</v>
      </c>
      <c r="Z128" s="15">
        <v>417</v>
      </c>
      <c r="AA128" s="10">
        <v>403</v>
      </c>
      <c r="AB128" s="10">
        <f t="shared" si="4"/>
        <v>39</v>
      </c>
      <c r="AC128" s="16">
        <f t="shared" si="5"/>
        <v>42.700729927007295</v>
      </c>
    </row>
    <row r="129" spans="1:29" ht="37.5" customHeight="1">
      <c r="A129" s="9">
        <v>126</v>
      </c>
      <c r="B129" s="9">
        <v>237</v>
      </c>
      <c r="C129" s="9">
        <v>1</v>
      </c>
      <c r="D129" s="9">
        <v>122</v>
      </c>
      <c r="E129" s="9">
        <v>2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1</v>
      </c>
      <c r="O129" s="9">
        <v>0</v>
      </c>
      <c r="P129" s="9">
        <v>0</v>
      </c>
      <c r="Q129" s="9">
        <v>363</v>
      </c>
      <c r="R129" s="9">
        <f t="shared" si="0"/>
        <v>363</v>
      </c>
      <c r="S129" s="9">
        <f t="shared" si="1"/>
        <v>0</v>
      </c>
      <c r="T129" s="9">
        <v>7</v>
      </c>
      <c r="U129" s="9">
        <v>370</v>
      </c>
      <c r="V129" s="9">
        <v>0</v>
      </c>
      <c r="W129" s="15" t="s">
        <v>180</v>
      </c>
      <c r="X129" s="15" t="s">
        <v>202</v>
      </c>
      <c r="Y129" s="15">
        <v>499</v>
      </c>
      <c r="Z129" s="15">
        <v>249</v>
      </c>
      <c r="AA129" s="10">
        <v>249</v>
      </c>
      <c r="AB129" s="10">
        <f t="shared" si="4"/>
        <v>115</v>
      </c>
      <c r="AC129" s="16">
        <f t="shared" si="5"/>
        <v>74.148296593186373</v>
      </c>
    </row>
    <row r="130" spans="1:29" ht="37.5" customHeight="1">
      <c r="A130" s="9">
        <v>127</v>
      </c>
      <c r="B130" s="9">
        <v>344</v>
      </c>
      <c r="C130" s="9">
        <v>2</v>
      </c>
      <c r="D130" s="9">
        <v>113</v>
      </c>
      <c r="E130" s="9">
        <v>70</v>
      </c>
      <c r="F130" s="9">
        <v>0</v>
      </c>
      <c r="G130" s="9">
        <v>0</v>
      </c>
      <c r="H130" s="9">
        <v>0</v>
      </c>
      <c r="I130" s="9">
        <v>2</v>
      </c>
      <c r="J130" s="9">
        <v>0</v>
      </c>
      <c r="K130" s="9">
        <v>2</v>
      </c>
      <c r="L130" s="9">
        <v>0</v>
      </c>
      <c r="M130" s="9">
        <v>0</v>
      </c>
      <c r="N130" s="9">
        <v>1</v>
      </c>
      <c r="O130" s="9">
        <v>0</v>
      </c>
      <c r="P130" s="9">
        <v>1</v>
      </c>
      <c r="Q130" s="9">
        <v>535</v>
      </c>
      <c r="R130" s="9">
        <f t="shared" si="0"/>
        <v>535</v>
      </c>
      <c r="S130" s="9">
        <f t="shared" si="1"/>
        <v>0</v>
      </c>
      <c r="T130" s="9">
        <v>6</v>
      </c>
      <c r="U130" s="9">
        <v>541</v>
      </c>
      <c r="V130" s="9">
        <v>0</v>
      </c>
      <c r="W130" s="15" t="s">
        <v>180</v>
      </c>
      <c r="X130" s="15" t="s">
        <v>203</v>
      </c>
      <c r="Y130" s="10">
        <v>650</v>
      </c>
      <c r="Z130" s="10"/>
      <c r="AA130" s="10"/>
      <c r="AB130" s="10">
        <f t="shared" si="4"/>
        <v>231</v>
      </c>
      <c r="AC130" s="16">
        <f t="shared" si="5"/>
        <v>83.230769230769226</v>
      </c>
    </row>
    <row r="131" spans="1:29" ht="37.5" customHeight="1">
      <c r="A131" s="9">
        <v>128</v>
      </c>
      <c r="B131" s="9">
        <v>455</v>
      </c>
      <c r="C131" s="9">
        <v>2</v>
      </c>
      <c r="D131" s="9">
        <v>80</v>
      </c>
      <c r="E131" s="9">
        <v>8</v>
      </c>
      <c r="F131" s="9">
        <v>0</v>
      </c>
      <c r="G131" s="9">
        <v>0</v>
      </c>
      <c r="H131" s="9">
        <v>0</v>
      </c>
      <c r="I131" s="9">
        <v>0</v>
      </c>
      <c r="J131" s="9">
        <v>1</v>
      </c>
      <c r="K131" s="9">
        <v>0</v>
      </c>
      <c r="L131" s="9">
        <v>0</v>
      </c>
      <c r="M131" s="9">
        <v>1</v>
      </c>
      <c r="N131" s="9">
        <v>0</v>
      </c>
      <c r="O131" s="9">
        <v>0</v>
      </c>
      <c r="P131" s="9">
        <v>0</v>
      </c>
      <c r="Q131" s="9">
        <v>547</v>
      </c>
      <c r="R131" s="9">
        <f t="shared" si="0"/>
        <v>547</v>
      </c>
      <c r="S131" s="9">
        <f t="shared" si="1"/>
        <v>0</v>
      </c>
      <c r="T131" s="9">
        <v>0</v>
      </c>
      <c r="U131" s="9">
        <v>547</v>
      </c>
      <c r="V131" s="9">
        <v>0</v>
      </c>
      <c r="W131" s="15" t="s">
        <v>180</v>
      </c>
      <c r="X131" s="15" t="s">
        <v>204</v>
      </c>
      <c r="Y131" s="15">
        <v>650</v>
      </c>
      <c r="Z131" s="15">
        <v>275</v>
      </c>
      <c r="AA131" s="10">
        <v>245</v>
      </c>
      <c r="AB131" s="10">
        <f t="shared" si="4"/>
        <v>375</v>
      </c>
      <c r="AC131" s="16">
        <f t="shared" si="5"/>
        <v>84.15384615384616</v>
      </c>
    </row>
    <row r="132" spans="1:29" ht="37.5" customHeight="1">
      <c r="A132" s="9">
        <v>129</v>
      </c>
      <c r="B132" s="9">
        <v>434</v>
      </c>
      <c r="C132" s="9">
        <v>2</v>
      </c>
      <c r="D132" s="9">
        <v>78</v>
      </c>
      <c r="E132" s="9">
        <v>115</v>
      </c>
      <c r="F132" s="9">
        <v>1</v>
      </c>
      <c r="G132" s="9">
        <v>1</v>
      </c>
      <c r="H132" s="9">
        <v>1</v>
      </c>
      <c r="I132" s="9">
        <v>1</v>
      </c>
      <c r="J132" s="9">
        <v>4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637</v>
      </c>
      <c r="R132" s="9">
        <f t="shared" si="0"/>
        <v>637</v>
      </c>
      <c r="S132" s="9">
        <f t="shared" si="1"/>
        <v>0</v>
      </c>
      <c r="T132" s="9">
        <v>4</v>
      </c>
      <c r="U132" s="9">
        <v>641</v>
      </c>
      <c r="V132" s="9">
        <v>0</v>
      </c>
      <c r="W132" s="15" t="s">
        <v>180</v>
      </c>
      <c r="X132" s="15" t="s">
        <v>205</v>
      </c>
      <c r="Y132" s="15">
        <v>750</v>
      </c>
      <c r="Z132" s="15">
        <v>330</v>
      </c>
      <c r="AA132" s="10">
        <v>319</v>
      </c>
      <c r="AB132" s="10">
        <f t="shared" ref="AB132:AB195" si="6">MAX(B132,D132)-MIN(B132,D132)</f>
        <v>356</v>
      </c>
      <c r="AC132" s="16">
        <f t="shared" ref="AC132:AC195" si="7">(U132/Y132)*100</f>
        <v>85.466666666666669</v>
      </c>
    </row>
    <row r="133" spans="1:29" ht="37.5" customHeight="1">
      <c r="A133" s="11">
        <v>130</v>
      </c>
      <c r="B133" s="11">
        <v>202</v>
      </c>
      <c r="C133" s="11">
        <v>1</v>
      </c>
      <c r="D133" s="11">
        <v>203</v>
      </c>
      <c r="E133" s="11">
        <v>13</v>
      </c>
      <c r="F133" s="11">
        <v>0</v>
      </c>
      <c r="G133" s="11">
        <v>0</v>
      </c>
      <c r="H133" s="11">
        <v>0</v>
      </c>
      <c r="I133" s="11">
        <v>1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420</v>
      </c>
      <c r="R133" s="11">
        <f t="shared" si="0"/>
        <v>420</v>
      </c>
      <c r="S133" s="11">
        <f t="shared" si="1"/>
        <v>0</v>
      </c>
      <c r="T133" s="11">
        <v>2</v>
      </c>
      <c r="U133" s="11">
        <v>422</v>
      </c>
      <c r="V133" s="11">
        <v>0</v>
      </c>
      <c r="W133" s="12" t="s">
        <v>180</v>
      </c>
      <c r="X133" s="12" t="s">
        <v>206</v>
      </c>
      <c r="Y133" s="12">
        <v>515</v>
      </c>
      <c r="Z133" s="12">
        <v>259</v>
      </c>
      <c r="AA133" s="13">
        <v>254</v>
      </c>
      <c r="AB133" s="13">
        <f t="shared" si="6"/>
        <v>1</v>
      </c>
      <c r="AC133" s="14">
        <f t="shared" si="7"/>
        <v>81.941747572815544</v>
      </c>
    </row>
    <row r="134" spans="1:29" ht="37.5" customHeight="1">
      <c r="A134" s="9">
        <v>131</v>
      </c>
      <c r="B134" s="9">
        <v>207</v>
      </c>
      <c r="C134" s="9">
        <v>2</v>
      </c>
      <c r="D134" s="9">
        <v>114</v>
      </c>
      <c r="E134" s="9">
        <v>12</v>
      </c>
      <c r="F134" s="9">
        <v>0</v>
      </c>
      <c r="G134" s="9">
        <v>0</v>
      </c>
      <c r="H134" s="9">
        <v>1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336</v>
      </c>
      <c r="R134" s="9">
        <f t="shared" si="0"/>
        <v>336</v>
      </c>
      <c r="S134" s="9">
        <f t="shared" si="1"/>
        <v>0</v>
      </c>
      <c r="T134" s="9">
        <v>1</v>
      </c>
      <c r="U134" s="9">
        <v>337</v>
      </c>
      <c r="V134" s="9">
        <v>0</v>
      </c>
      <c r="W134" s="15" t="s">
        <v>180</v>
      </c>
      <c r="X134" s="15" t="s">
        <v>206</v>
      </c>
      <c r="Y134" s="15">
        <v>515</v>
      </c>
      <c r="Z134" s="15">
        <v>259</v>
      </c>
      <c r="AA134" s="10">
        <v>254</v>
      </c>
      <c r="AB134" s="10">
        <f t="shared" si="6"/>
        <v>93</v>
      </c>
      <c r="AC134" s="16">
        <f t="shared" si="7"/>
        <v>65.4368932038835</v>
      </c>
    </row>
    <row r="135" spans="1:29" ht="37.5" customHeight="1">
      <c r="A135" s="11">
        <v>132</v>
      </c>
      <c r="B135" s="11">
        <v>230</v>
      </c>
      <c r="C135" s="11">
        <v>2</v>
      </c>
      <c r="D135" s="11">
        <v>274</v>
      </c>
      <c r="E135" s="11">
        <v>51</v>
      </c>
      <c r="F135" s="11">
        <v>0</v>
      </c>
      <c r="G135" s="11">
        <v>1</v>
      </c>
      <c r="H135" s="11">
        <v>1</v>
      </c>
      <c r="I135" s="11">
        <v>0</v>
      </c>
      <c r="J135" s="11">
        <v>1</v>
      </c>
      <c r="K135" s="11">
        <v>2</v>
      </c>
      <c r="L135" s="11">
        <v>0</v>
      </c>
      <c r="M135" s="11">
        <v>1</v>
      </c>
      <c r="N135" s="11">
        <v>1</v>
      </c>
      <c r="O135" s="11">
        <v>0</v>
      </c>
      <c r="P135" s="11">
        <v>0</v>
      </c>
      <c r="Q135" s="11">
        <v>564</v>
      </c>
      <c r="R135" s="11">
        <f t="shared" si="0"/>
        <v>564</v>
      </c>
      <c r="S135" s="11">
        <f t="shared" si="1"/>
        <v>0</v>
      </c>
      <c r="T135" s="11">
        <v>4</v>
      </c>
      <c r="U135" s="11">
        <v>568</v>
      </c>
      <c r="V135" s="11">
        <v>0</v>
      </c>
      <c r="W135" s="12" t="s">
        <v>180</v>
      </c>
      <c r="X135" s="12" t="s">
        <v>207</v>
      </c>
      <c r="Y135" s="12">
        <v>1027</v>
      </c>
      <c r="Z135" s="12">
        <v>535</v>
      </c>
      <c r="AA135" s="13">
        <v>492</v>
      </c>
      <c r="AB135" s="13">
        <f t="shared" si="6"/>
        <v>44</v>
      </c>
      <c r="AC135" s="14">
        <f t="shared" si="7"/>
        <v>55.306718597857838</v>
      </c>
    </row>
    <row r="136" spans="1:29" ht="37.5" customHeight="1">
      <c r="A136" s="9">
        <v>133</v>
      </c>
      <c r="B136" s="9">
        <v>366</v>
      </c>
      <c r="C136" s="9">
        <v>1</v>
      </c>
      <c r="D136" s="9">
        <v>210</v>
      </c>
      <c r="E136" s="9">
        <v>19</v>
      </c>
      <c r="F136" s="9">
        <v>0</v>
      </c>
      <c r="G136" s="9">
        <v>1</v>
      </c>
      <c r="H136" s="9">
        <v>1</v>
      </c>
      <c r="I136" s="9">
        <v>0</v>
      </c>
      <c r="J136" s="9">
        <v>1</v>
      </c>
      <c r="K136" s="9">
        <v>0</v>
      </c>
      <c r="L136" s="9">
        <v>0</v>
      </c>
      <c r="M136" s="9">
        <v>0</v>
      </c>
      <c r="N136" s="9">
        <v>0</v>
      </c>
      <c r="O136" s="9">
        <v>1</v>
      </c>
      <c r="P136" s="9">
        <v>0</v>
      </c>
      <c r="Q136" s="9">
        <v>600</v>
      </c>
      <c r="R136" s="9">
        <f t="shared" si="0"/>
        <v>600</v>
      </c>
      <c r="S136" s="9">
        <f t="shared" si="1"/>
        <v>0</v>
      </c>
      <c r="T136" s="9">
        <v>2</v>
      </c>
      <c r="U136" s="9">
        <v>602</v>
      </c>
      <c r="V136" s="9">
        <v>0</v>
      </c>
      <c r="W136" s="15" t="s">
        <v>180</v>
      </c>
      <c r="X136" s="15" t="s">
        <v>208</v>
      </c>
      <c r="Y136" s="15">
        <v>1302</v>
      </c>
      <c r="Z136" s="15">
        <v>667</v>
      </c>
      <c r="AA136" s="10">
        <v>633</v>
      </c>
      <c r="AB136" s="10">
        <f t="shared" si="6"/>
        <v>156</v>
      </c>
      <c r="AC136" s="16">
        <f t="shared" si="7"/>
        <v>46.236559139784944</v>
      </c>
    </row>
    <row r="137" spans="1:29" ht="37.5" customHeight="1">
      <c r="A137" s="9">
        <v>134</v>
      </c>
      <c r="B137" s="9">
        <v>523</v>
      </c>
      <c r="C137" s="9">
        <v>6</v>
      </c>
      <c r="D137" s="9">
        <v>214</v>
      </c>
      <c r="E137" s="9">
        <v>18</v>
      </c>
      <c r="F137" s="9">
        <v>0</v>
      </c>
      <c r="G137" s="9">
        <v>0</v>
      </c>
      <c r="H137" s="9">
        <v>0</v>
      </c>
      <c r="I137" s="9">
        <v>0</v>
      </c>
      <c r="J137" s="9">
        <v>1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2</v>
      </c>
      <c r="Q137" s="9">
        <v>764</v>
      </c>
      <c r="R137" s="9">
        <f t="shared" si="0"/>
        <v>764</v>
      </c>
      <c r="S137" s="9">
        <f t="shared" si="1"/>
        <v>0</v>
      </c>
      <c r="T137" s="9">
        <v>1</v>
      </c>
      <c r="U137" s="9">
        <v>765</v>
      </c>
      <c r="V137" s="9">
        <v>0</v>
      </c>
      <c r="W137" s="15" t="s">
        <v>180</v>
      </c>
      <c r="X137" s="15" t="s">
        <v>209</v>
      </c>
      <c r="Y137" s="15">
        <v>860</v>
      </c>
      <c r="Z137" s="15">
        <v>441</v>
      </c>
      <c r="AA137" s="10">
        <v>404</v>
      </c>
      <c r="AB137" s="10">
        <f t="shared" si="6"/>
        <v>309</v>
      </c>
      <c r="AC137" s="16">
        <f t="shared" si="7"/>
        <v>88.95348837209302</v>
      </c>
    </row>
    <row r="138" spans="1:29" ht="37.5" customHeight="1">
      <c r="A138" s="9">
        <v>135</v>
      </c>
      <c r="B138" s="9">
        <v>355</v>
      </c>
      <c r="C138" s="9">
        <v>0</v>
      </c>
      <c r="D138" s="9">
        <v>175</v>
      </c>
      <c r="E138" s="9">
        <v>41</v>
      </c>
      <c r="F138" s="9">
        <v>1</v>
      </c>
      <c r="G138" s="9">
        <v>0</v>
      </c>
      <c r="H138" s="9">
        <v>1</v>
      </c>
      <c r="I138" s="9">
        <v>2</v>
      </c>
      <c r="J138" s="9">
        <v>3</v>
      </c>
      <c r="K138" s="9">
        <v>1</v>
      </c>
      <c r="L138" s="9">
        <v>0</v>
      </c>
      <c r="M138" s="9">
        <v>0</v>
      </c>
      <c r="N138" s="9">
        <v>0</v>
      </c>
      <c r="O138" s="9">
        <v>0</v>
      </c>
      <c r="P138" s="9">
        <v>1</v>
      </c>
      <c r="Q138" s="9">
        <v>580</v>
      </c>
      <c r="R138" s="9">
        <f t="shared" si="0"/>
        <v>580</v>
      </c>
      <c r="S138" s="9">
        <f t="shared" si="1"/>
        <v>0</v>
      </c>
      <c r="T138" s="9">
        <v>3</v>
      </c>
      <c r="U138" s="9">
        <v>583</v>
      </c>
      <c r="V138" s="9">
        <v>0</v>
      </c>
      <c r="W138" s="15" t="s">
        <v>180</v>
      </c>
      <c r="X138" s="15" t="s">
        <v>210</v>
      </c>
      <c r="Y138" s="15">
        <v>1161</v>
      </c>
      <c r="Z138" s="15">
        <v>623</v>
      </c>
      <c r="AA138" s="10">
        <v>535</v>
      </c>
      <c r="AB138" s="10">
        <f t="shared" si="6"/>
        <v>180</v>
      </c>
      <c r="AC138" s="16">
        <f t="shared" si="7"/>
        <v>50.215331610680444</v>
      </c>
    </row>
    <row r="139" spans="1:29" ht="37.5" customHeight="1">
      <c r="A139" s="9">
        <v>136</v>
      </c>
      <c r="B139" s="9">
        <v>487</v>
      </c>
      <c r="C139" s="9">
        <v>2</v>
      </c>
      <c r="D139" s="9">
        <v>166</v>
      </c>
      <c r="E139" s="9">
        <v>151</v>
      </c>
      <c r="F139" s="9">
        <v>0</v>
      </c>
      <c r="G139" s="9">
        <v>1</v>
      </c>
      <c r="H139" s="9">
        <v>2</v>
      </c>
      <c r="I139" s="9">
        <v>1</v>
      </c>
      <c r="J139" s="9">
        <v>0</v>
      </c>
      <c r="K139" s="9">
        <v>1</v>
      </c>
      <c r="L139" s="9">
        <v>1</v>
      </c>
      <c r="M139" s="9">
        <v>0</v>
      </c>
      <c r="N139" s="9">
        <v>1</v>
      </c>
      <c r="O139" s="9">
        <v>3</v>
      </c>
      <c r="P139" s="9">
        <v>0</v>
      </c>
      <c r="Q139" s="9">
        <v>816</v>
      </c>
      <c r="R139" s="9">
        <f t="shared" si="0"/>
        <v>816</v>
      </c>
      <c r="S139" s="9">
        <f t="shared" si="1"/>
        <v>0</v>
      </c>
      <c r="T139" s="9">
        <v>4</v>
      </c>
      <c r="U139" s="9">
        <v>820</v>
      </c>
      <c r="V139" s="9">
        <v>0</v>
      </c>
      <c r="W139" s="15" t="s">
        <v>211</v>
      </c>
      <c r="X139" s="15" t="s">
        <v>76</v>
      </c>
      <c r="Y139" s="15">
        <v>1132</v>
      </c>
      <c r="Z139" s="15">
        <v>598</v>
      </c>
      <c r="AA139" s="10">
        <v>534</v>
      </c>
      <c r="AB139" s="10">
        <f t="shared" si="6"/>
        <v>321</v>
      </c>
      <c r="AC139" s="16">
        <f t="shared" si="7"/>
        <v>72.438162544169614</v>
      </c>
    </row>
    <row r="140" spans="1:29" ht="37.5" customHeight="1">
      <c r="A140" s="9">
        <v>137</v>
      </c>
      <c r="B140" s="9">
        <v>659</v>
      </c>
      <c r="C140" s="9">
        <v>5</v>
      </c>
      <c r="D140" s="9">
        <v>80</v>
      </c>
      <c r="E140" s="9">
        <v>28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</v>
      </c>
      <c r="N140" s="9">
        <v>1</v>
      </c>
      <c r="O140" s="9">
        <v>0</v>
      </c>
      <c r="P140" s="9">
        <v>0</v>
      </c>
      <c r="Q140" s="9">
        <v>774</v>
      </c>
      <c r="R140" s="9">
        <f t="shared" si="0"/>
        <v>774</v>
      </c>
      <c r="S140" s="9">
        <f t="shared" si="1"/>
        <v>0</v>
      </c>
      <c r="T140" s="9">
        <v>1</v>
      </c>
      <c r="U140" s="9">
        <v>775</v>
      </c>
      <c r="V140" s="9">
        <v>0</v>
      </c>
      <c r="W140" s="15" t="s">
        <v>211</v>
      </c>
      <c r="X140" s="15" t="s">
        <v>212</v>
      </c>
      <c r="Y140" s="15">
        <v>1165</v>
      </c>
      <c r="Z140" s="15">
        <v>621</v>
      </c>
      <c r="AA140" s="10">
        <v>542</v>
      </c>
      <c r="AB140" s="10">
        <f t="shared" si="6"/>
        <v>579</v>
      </c>
      <c r="AC140" s="16">
        <f t="shared" si="7"/>
        <v>66.523605150214593</v>
      </c>
    </row>
    <row r="141" spans="1:29" ht="37.5" customHeight="1">
      <c r="A141" s="9">
        <v>138</v>
      </c>
      <c r="B141" s="9">
        <v>609</v>
      </c>
      <c r="C141" s="9">
        <v>4</v>
      </c>
      <c r="D141" s="9">
        <v>46</v>
      </c>
      <c r="E141" s="9">
        <v>22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</v>
      </c>
      <c r="L141" s="9">
        <v>0</v>
      </c>
      <c r="M141" s="9">
        <v>0</v>
      </c>
      <c r="N141" s="9">
        <v>1</v>
      </c>
      <c r="O141" s="9">
        <v>2</v>
      </c>
      <c r="P141" s="9">
        <v>2</v>
      </c>
      <c r="Q141" s="9">
        <v>687</v>
      </c>
      <c r="R141" s="9">
        <f t="shared" si="0"/>
        <v>687</v>
      </c>
      <c r="S141" s="9">
        <f t="shared" si="1"/>
        <v>0</v>
      </c>
      <c r="T141" s="9">
        <v>3</v>
      </c>
      <c r="U141" s="9">
        <v>690</v>
      </c>
      <c r="V141" s="9">
        <v>0</v>
      </c>
      <c r="W141" s="15" t="s">
        <v>211</v>
      </c>
      <c r="X141" s="15" t="s">
        <v>76</v>
      </c>
      <c r="Y141" s="15">
        <v>883</v>
      </c>
      <c r="Z141" s="15">
        <v>459</v>
      </c>
      <c r="AA141" s="10">
        <v>418</v>
      </c>
      <c r="AB141" s="10">
        <f t="shared" si="6"/>
        <v>563</v>
      </c>
      <c r="AC141" s="16">
        <f t="shared" si="7"/>
        <v>78.142695356738386</v>
      </c>
    </row>
    <row r="142" spans="1:29" ht="37.5" customHeight="1">
      <c r="A142" s="11">
        <v>139</v>
      </c>
      <c r="B142" s="11">
        <v>258</v>
      </c>
      <c r="C142" s="11">
        <v>39</v>
      </c>
      <c r="D142" s="11">
        <v>341</v>
      </c>
      <c r="E142" s="11">
        <v>90</v>
      </c>
      <c r="F142" s="11">
        <v>1</v>
      </c>
      <c r="G142" s="11">
        <v>4</v>
      </c>
      <c r="H142" s="11">
        <v>0</v>
      </c>
      <c r="I142" s="11">
        <v>1</v>
      </c>
      <c r="J142" s="11">
        <v>18</v>
      </c>
      <c r="K142" s="11">
        <v>0</v>
      </c>
      <c r="L142" s="11">
        <v>0</v>
      </c>
      <c r="M142" s="11">
        <v>0</v>
      </c>
      <c r="N142" s="11">
        <v>1</v>
      </c>
      <c r="O142" s="11">
        <v>1</v>
      </c>
      <c r="P142" s="11">
        <v>0</v>
      </c>
      <c r="Q142" s="11">
        <v>754</v>
      </c>
      <c r="R142" s="11">
        <f t="shared" si="0"/>
        <v>754</v>
      </c>
      <c r="S142" s="11">
        <f t="shared" si="1"/>
        <v>0</v>
      </c>
      <c r="T142" s="11">
        <v>2</v>
      </c>
      <c r="U142" s="11">
        <v>756</v>
      </c>
      <c r="V142" s="11">
        <v>0</v>
      </c>
      <c r="W142" s="12" t="s">
        <v>211</v>
      </c>
      <c r="X142" s="12" t="s">
        <v>76</v>
      </c>
      <c r="Y142" s="12">
        <v>850</v>
      </c>
      <c r="Z142" s="12">
        <v>347</v>
      </c>
      <c r="AA142" s="13">
        <v>320</v>
      </c>
      <c r="AB142" s="13">
        <f t="shared" si="6"/>
        <v>83</v>
      </c>
      <c r="AC142" s="14">
        <f t="shared" si="7"/>
        <v>88.941176470588232</v>
      </c>
    </row>
    <row r="143" spans="1:29" ht="37.5" customHeight="1">
      <c r="A143" s="9">
        <v>140</v>
      </c>
      <c r="B143" s="9">
        <v>337</v>
      </c>
      <c r="C143" s="9">
        <v>1</v>
      </c>
      <c r="D143" s="9">
        <v>211</v>
      </c>
      <c r="E143" s="9">
        <v>48</v>
      </c>
      <c r="F143" s="9">
        <v>0</v>
      </c>
      <c r="G143" s="9">
        <v>1</v>
      </c>
      <c r="H143" s="9">
        <v>0</v>
      </c>
      <c r="I143" s="9">
        <v>0</v>
      </c>
      <c r="J143" s="9">
        <v>12</v>
      </c>
      <c r="K143" s="9">
        <v>0</v>
      </c>
      <c r="L143" s="9">
        <v>0</v>
      </c>
      <c r="M143" s="9">
        <v>0</v>
      </c>
      <c r="N143" s="9">
        <v>0</v>
      </c>
      <c r="O143" s="9">
        <v>1</v>
      </c>
      <c r="P143" s="9">
        <v>0</v>
      </c>
      <c r="Q143" s="9">
        <v>611</v>
      </c>
      <c r="R143" s="9">
        <f t="shared" si="0"/>
        <v>611</v>
      </c>
      <c r="S143" s="9">
        <f t="shared" si="1"/>
        <v>0</v>
      </c>
      <c r="T143" s="9">
        <v>2</v>
      </c>
      <c r="U143" s="9">
        <v>613</v>
      </c>
      <c r="V143" s="9">
        <v>0</v>
      </c>
      <c r="W143" s="15" t="s">
        <v>211</v>
      </c>
      <c r="X143" s="15" t="s">
        <v>76</v>
      </c>
      <c r="Y143" s="10">
        <v>700</v>
      </c>
      <c r="Z143" s="10"/>
      <c r="AA143" s="10"/>
      <c r="AB143" s="10">
        <f t="shared" si="6"/>
        <v>126</v>
      </c>
      <c r="AC143" s="16">
        <f t="shared" si="7"/>
        <v>87.571428571428569</v>
      </c>
    </row>
    <row r="144" spans="1:29" ht="37.5" customHeight="1">
      <c r="A144" s="9">
        <v>141</v>
      </c>
      <c r="B144" s="9">
        <v>304</v>
      </c>
      <c r="C144" s="9">
        <v>2</v>
      </c>
      <c r="D144" s="9">
        <v>116</v>
      </c>
      <c r="E144" s="9">
        <v>8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430</v>
      </c>
      <c r="R144" s="9">
        <f t="shared" si="0"/>
        <v>430</v>
      </c>
      <c r="S144" s="9">
        <f t="shared" si="1"/>
        <v>0</v>
      </c>
      <c r="T144" s="9">
        <v>3</v>
      </c>
      <c r="U144" s="9">
        <v>433</v>
      </c>
      <c r="V144" s="9">
        <v>0</v>
      </c>
      <c r="W144" s="15" t="s">
        <v>211</v>
      </c>
      <c r="X144" s="15" t="s">
        <v>213</v>
      </c>
      <c r="Y144" s="15">
        <v>1235</v>
      </c>
      <c r="Z144" s="15">
        <v>665</v>
      </c>
      <c r="AA144" s="10">
        <v>562</v>
      </c>
      <c r="AB144" s="10">
        <f t="shared" si="6"/>
        <v>188</v>
      </c>
      <c r="AC144" s="16">
        <f t="shared" si="7"/>
        <v>35.060728744939276</v>
      </c>
    </row>
    <row r="145" spans="1:29" ht="37.5" customHeight="1">
      <c r="A145" s="9">
        <v>142</v>
      </c>
      <c r="B145" s="9">
        <v>659</v>
      </c>
      <c r="C145" s="9">
        <v>8</v>
      </c>
      <c r="D145" s="9">
        <v>145</v>
      </c>
      <c r="E145" s="9">
        <v>92</v>
      </c>
      <c r="F145" s="9">
        <v>3</v>
      </c>
      <c r="G145" s="9">
        <v>2</v>
      </c>
      <c r="H145" s="9">
        <v>1</v>
      </c>
      <c r="I145" s="9">
        <v>8</v>
      </c>
      <c r="J145" s="9">
        <v>3</v>
      </c>
      <c r="K145" s="9">
        <v>2</v>
      </c>
      <c r="L145" s="9">
        <v>0</v>
      </c>
      <c r="M145" s="9">
        <v>0</v>
      </c>
      <c r="N145" s="9">
        <v>0</v>
      </c>
      <c r="O145" s="9">
        <v>0</v>
      </c>
      <c r="P145" s="9">
        <v>2</v>
      </c>
      <c r="Q145" s="9">
        <v>925</v>
      </c>
      <c r="R145" s="9">
        <f t="shared" si="0"/>
        <v>925</v>
      </c>
      <c r="S145" s="9">
        <f t="shared" si="1"/>
        <v>0</v>
      </c>
      <c r="T145" s="9">
        <v>1</v>
      </c>
      <c r="U145" s="9">
        <v>926</v>
      </c>
      <c r="V145" s="9">
        <v>0</v>
      </c>
      <c r="W145" s="15" t="s">
        <v>211</v>
      </c>
      <c r="X145" s="15" t="s">
        <v>76</v>
      </c>
      <c r="Y145" s="15">
        <v>1133</v>
      </c>
      <c r="Z145" s="15">
        <v>619</v>
      </c>
      <c r="AA145" s="10">
        <v>514</v>
      </c>
      <c r="AB145" s="10">
        <f t="shared" si="6"/>
        <v>514</v>
      </c>
      <c r="AC145" s="16">
        <f t="shared" si="7"/>
        <v>81.729920564872018</v>
      </c>
    </row>
    <row r="146" spans="1:29" ht="37.5" customHeight="1">
      <c r="A146" s="9">
        <v>143</v>
      </c>
      <c r="B146" s="9">
        <v>532</v>
      </c>
      <c r="C146" s="9">
        <v>2</v>
      </c>
      <c r="D146" s="9">
        <v>88</v>
      </c>
      <c r="E146" s="9">
        <v>95</v>
      </c>
      <c r="F146" s="9">
        <v>0</v>
      </c>
      <c r="G146" s="9">
        <v>1</v>
      </c>
      <c r="H146" s="9">
        <v>1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719</v>
      </c>
      <c r="R146" s="9">
        <f t="shared" si="0"/>
        <v>719</v>
      </c>
      <c r="S146" s="9">
        <f t="shared" si="1"/>
        <v>0</v>
      </c>
      <c r="T146" s="9">
        <v>4</v>
      </c>
      <c r="U146" s="9">
        <v>723</v>
      </c>
      <c r="V146" s="9">
        <v>0</v>
      </c>
      <c r="W146" s="15" t="s">
        <v>211</v>
      </c>
      <c r="X146" s="15" t="s">
        <v>214</v>
      </c>
      <c r="Y146" s="15">
        <v>959</v>
      </c>
      <c r="Z146" s="15">
        <v>500</v>
      </c>
      <c r="AA146" s="10">
        <v>450</v>
      </c>
      <c r="AB146" s="10">
        <f t="shared" si="6"/>
        <v>444</v>
      </c>
      <c r="AC146" s="16">
        <f t="shared" si="7"/>
        <v>75.391032325338898</v>
      </c>
    </row>
    <row r="147" spans="1:29" ht="37.5" customHeight="1">
      <c r="A147" s="9">
        <v>144</v>
      </c>
      <c r="B147" s="9">
        <v>432</v>
      </c>
      <c r="C147" s="9">
        <v>2</v>
      </c>
      <c r="D147" s="9">
        <v>69</v>
      </c>
      <c r="E147" s="9">
        <v>58</v>
      </c>
      <c r="F147" s="9">
        <v>1</v>
      </c>
      <c r="G147" s="9">
        <v>0</v>
      </c>
      <c r="H147" s="9">
        <v>1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1</v>
      </c>
      <c r="Q147" s="9">
        <v>564</v>
      </c>
      <c r="R147" s="9">
        <f t="shared" si="0"/>
        <v>564</v>
      </c>
      <c r="S147" s="9">
        <f t="shared" si="1"/>
        <v>0</v>
      </c>
      <c r="T147" s="9">
        <v>2</v>
      </c>
      <c r="U147" s="9">
        <v>566</v>
      </c>
      <c r="V147" s="9">
        <v>0</v>
      </c>
      <c r="W147" s="15" t="s">
        <v>211</v>
      </c>
      <c r="X147" s="15" t="s">
        <v>215</v>
      </c>
      <c r="Y147" s="15">
        <v>750</v>
      </c>
      <c r="Z147" s="15">
        <v>134</v>
      </c>
      <c r="AA147" s="10">
        <v>123</v>
      </c>
      <c r="AB147" s="10">
        <f t="shared" si="6"/>
        <v>363</v>
      </c>
      <c r="AC147" s="16">
        <f t="shared" si="7"/>
        <v>75.466666666666669</v>
      </c>
    </row>
    <row r="148" spans="1:29" ht="37.5" customHeight="1">
      <c r="A148" s="9">
        <v>145</v>
      </c>
      <c r="B148" s="9">
        <v>130</v>
      </c>
      <c r="C148" s="9">
        <v>0</v>
      </c>
      <c r="D148" s="9">
        <v>31</v>
      </c>
      <c r="E148" s="9">
        <v>12</v>
      </c>
      <c r="F148" s="9">
        <v>0</v>
      </c>
      <c r="G148" s="9">
        <v>0</v>
      </c>
      <c r="H148" s="9">
        <v>1</v>
      </c>
      <c r="I148" s="9">
        <v>0</v>
      </c>
      <c r="J148" s="9">
        <v>0</v>
      </c>
      <c r="K148" s="9">
        <v>0</v>
      </c>
      <c r="L148" s="9">
        <v>0</v>
      </c>
      <c r="M148" s="9">
        <v>1</v>
      </c>
      <c r="N148" s="9">
        <v>0</v>
      </c>
      <c r="O148" s="9">
        <v>0</v>
      </c>
      <c r="P148" s="9">
        <v>0</v>
      </c>
      <c r="Q148" s="9">
        <v>175</v>
      </c>
      <c r="R148" s="9">
        <f t="shared" si="0"/>
        <v>175</v>
      </c>
      <c r="S148" s="9">
        <f t="shared" si="1"/>
        <v>0</v>
      </c>
      <c r="T148" s="9">
        <v>1</v>
      </c>
      <c r="U148" s="9">
        <v>176</v>
      </c>
      <c r="V148" s="9">
        <v>0</v>
      </c>
      <c r="W148" s="15" t="s">
        <v>211</v>
      </c>
      <c r="X148" s="15" t="s">
        <v>216</v>
      </c>
      <c r="Y148" s="15">
        <v>986</v>
      </c>
      <c r="Z148" s="15">
        <v>522</v>
      </c>
      <c r="AA148" s="10">
        <v>458</v>
      </c>
      <c r="AB148" s="10">
        <f t="shared" si="6"/>
        <v>99</v>
      </c>
      <c r="AC148" s="16">
        <f t="shared" si="7"/>
        <v>17.849898580121703</v>
      </c>
    </row>
    <row r="149" spans="1:29" ht="37.5" customHeight="1">
      <c r="A149" s="9">
        <v>146</v>
      </c>
      <c r="B149" s="9">
        <v>349</v>
      </c>
      <c r="C149" s="9">
        <v>0</v>
      </c>
      <c r="D149" s="9">
        <v>199</v>
      </c>
      <c r="E149" s="9">
        <v>96</v>
      </c>
      <c r="F149" s="9">
        <v>0</v>
      </c>
      <c r="G149" s="9">
        <v>1</v>
      </c>
      <c r="H149" s="9">
        <v>1</v>
      </c>
      <c r="I149" s="9">
        <v>2</v>
      </c>
      <c r="J149" s="9">
        <v>5</v>
      </c>
      <c r="K149" s="9">
        <v>1</v>
      </c>
      <c r="L149" s="9">
        <v>0</v>
      </c>
      <c r="M149" s="9">
        <v>1</v>
      </c>
      <c r="N149" s="9">
        <v>0</v>
      </c>
      <c r="O149" s="9">
        <v>1</v>
      </c>
      <c r="P149" s="9">
        <v>0</v>
      </c>
      <c r="Q149" s="9">
        <v>656</v>
      </c>
      <c r="R149" s="9">
        <f t="shared" si="0"/>
        <v>656</v>
      </c>
      <c r="S149" s="9">
        <f t="shared" si="1"/>
        <v>0</v>
      </c>
      <c r="T149" s="9">
        <v>5</v>
      </c>
      <c r="U149" s="9">
        <v>661</v>
      </c>
      <c r="V149" s="9">
        <v>0</v>
      </c>
      <c r="W149" s="15" t="s">
        <v>211</v>
      </c>
      <c r="X149" s="15" t="s">
        <v>217</v>
      </c>
      <c r="Y149" s="15">
        <v>700</v>
      </c>
      <c r="Z149" s="15">
        <v>290</v>
      </c>
      <c r="AA149" s="10">
        <v>255</v>
      </c>
      <c r="AB149" s="10">
        <f t="shared" si="6"/>
        <v>150</v>
      </c>
      <c r="AC149" s="16">
        <f t="shared" si="7"/>
        <v>94.428571428571431</v>
      </c>
    </row>
    <row r="150" spans="1:29" ht="37.5" customHeight="1">
      <c r="A150" s="9">
        <v>147</v>
      </c>
      <c r="B150" s="9">
        <v>259</v>
      </c>
      <c r="C150" s="9">
        <v>7</v>
      </c>
      <c r="D150" s="9">
        <v>89</v>
      </c>
      <c r="E150" s="9">
        <v>43</v>
      </c>
      <c r="F150" s="9">
        <v>1</v>
      </c>
      <c r="G150" s="9">
        <v>1</v>
      </c>
      <c r="H150" s="9">
        <v>0</v>
      </c>
      <c r="I150" s="9">
        <v>1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401</v>
      </c>
      <c r="R150" s="9">
        <f t="shared" si="0"/>
        <v>401</v>
      </c>
      <c r="S150" s="9">
        <f t="shared" si="1"/>
        <v>0</v>
      </c>
      <c r="T150" s="9">
        <v>0</v>
      </c>
      <c r="U150" s="9">
        <v>401</v>
      </c>
      <c r="V150" s="9">
        <v>0</v>
      </c>
      <c r="W150" s="15" t="s">
        <v>218</v>
      </c>
      <c r="X150" s="15" t="s">
        <v>219</v>
      </c>
      <c r="Y150" s="15">
        <v>904</v>
      </c>
      <c r="Z150" s="15">
        <v>487</v>
      </c>
      <c r="AA150" s="10">
        <v>416</v>
      </c>
      <c r="AB150" s="10">
        <f t="shared" si="6"/>
        <v>170</v>
      </c>
      <c r="AC150" s="16">
        <f t="shared" si="7"/>
        <v>44.358407079646014</v>
      </c>
    </row>
    <row r="151" spans="1:29" ht="37.5" customHeight="1">
      <c r="A151" s="9">
        <v>148</v>
      </c>
      <c r="B151" s="9">
        <v>521</v>
      </c>
      <c r="C151" s="9">
        <v>3</v>
      </c>
      <c r="D151" s="9">
        <v>121</v>
      </c>
      <c r="E151" s="9">
        <v>34</v>
      </c>
      <c r="F151" s="9">
        <v>0</v>
      </c>
      <c r="G151" s="9">
        <v>0</v>
      </c>
      <c r="H151" s="9">
        <v>0</v>
      </c>
      <c r="I151" s="9">
        <v>1</v>
      </c>
      <c r="J151" s="9">
        <v>1</v>
      </c>
      <c r="K151" s="9">
        <v>0</v>
      </c>
      <c r="L151" s="9">
        <v>0</v>
      </c>
      <c r="M151" s="9">
        <v>0</v>
      </c>
      <c r="N151" s="9">
        <v>0</v>
      </c>
      <c r="O151" s="9">
        <v>1</v>
      </c>
      <c r="P151" s="9">
        <v>0</v>
      </c>
      <c r="Q151" s="9">
        <v>682</v>
      </c>
      <c r="R151" s="9">
        <f t="shared" si="0"/>
        <v>682</v>
      </c>
      <c r="S151" s="9">
        <f t="shared" si="1"/>
        <v>0</v>
      </c>
      <c r="T151" s="9">
        <v>1</v>
      </c>
      <c r="U151" s="9">
        <v>683</v>
      </c>
      <c r="V151" s="9">
        <v>0</v>
      </c>
      <c r="W151" s="15" t="s">
        <v>218</v>
      </c>
      <c r="X151" s="15" t="s">
        <v>220</v>
      </c>
      <c r="Y151" s="15">
        <v>824</v>
      </c>
      <c r="Z151" s="15">
        <v>437</v>
      </c>
      <c r="AA151" s="10">
        <v>384</v>
      </c>
      <c r="AB151" s="10">
        <f t="shared" si="6"/>
        <v>400</v>
      </c>
      <c r="AC151" s="16">
        <f t="shared" si="7"/>
        <v>82.888349514563103</v>
      </c>
    </row>
    <row r="152" spans="1:29" ht="37.5" customHeight="1">
      <c r="A152" s="9">
        <v>149</v>
      </c>
      <c r="B152" s="9">
        <v>302</v>
      </c>
      <c r="C152" s="9">
        <v>2</v>
      </c>
      <c r="D152" s="9">
        <v>79</v>
      </c>
      <c r="E152" s="9">
        <v>279</v>
      </c>
      <c r="F152" s="9">
        <v>2</v>
      </c>
      <c r="G152" s="9">
        <v>0</v>
      </c>
      <c r="H152" s="9">
        <v>0</v>
      </c>
      <c r="I152" s="9">
        <v>2</v>
      </c>
      <c r="J152" s="9">
        <v>0</v>
      </c>
      <c r="K152" s="9">
        <v>1</v>
      </c>
      <c r="L152" s="9">
        <v>0</v>
      </c>
      <c r="M152" s="9">
        <v>2</v>
      </c>
      <c r="N152" s="9">
        <v>0</v>
      </c>
      <c r="O152" s="9">
        <v>1</v>
      </c>
      <c r="P152" s="9">
        <v>0</v>
      </c>
      <c r="Q152" s="9">
        <v>670</v>
      </c>
      <c r="R152" s="9">
        <f t="shared" si="0"/>
        <v>670</v>
      </c>
      <c r="S152" s="9">
        <f t="shared" si="1"/>
        <v>0</v>
      </c>
      <c r="T152" s="9">
        <v>2</v>
      </c>
      <c r="U152" s="9">
        <v>672</v>
      </c>
      <c r="V152" s="9">
        <v>0</v>
      </c>
      <c r="W152" s="15" t="s">
        <v>221</v>
      </c>
      <c r="X152" s="15" t="s">
        <v>222</v>
      </c>
      <c r="Y152" s="15">
        <v>957</v>
      </c>
      <c r="Z152" s="15">
        <v>496</v>
      </c>
      <c r="AA152" s="10">
        <v>456</v>
      </c>
      <c r="AB152" s="10">
        <f t="shared" si="6"/>
        <v>223</v>
      </c>
      <c r="AC152" s="16">
        <f t="shared" si="7"/>
        <v>70.219435736677113</v>
      </c>
    </row>
    <row r="153" spans="1:29" ht="37.5" customHeight="1">
      <c r="A153" s="9">
        <v>150</v>
      </c>
      <c r="B153" s="9">
        <v>209</v>
      </c>
      <c r="C153" s="9">
        <v>5</v>
      </c>
      <c r="D153" s="9">
        <v>68</v>
      </c>
      <c r="E153" s="9">
        <v>442</v>
      </c>
      <c r="F153" s="9">
        <v>0</v>
      </c>
      <c r="G153" s="9">
        <v>0</v>
      </c>
      <c r="H153" s="9">
        <v>0</v>
      </c>
      <c r="I153" s="9">
        <v>1</v>
      </c>
      <c r="J153" s="9">
        <v>0</v>
      </c>
      <c r="K153" s="9">
        <v>2</v>
      </c>
      <c r="L153" s="9">
        <v>0</v>
      </c>
      <c r="M153" s="9">
        <v>1</v>
      </c>
      <c r="N153" s="9">
        <v>3</v>
      </c>
      <c r="O153" s="9">
        <v>1</v>
      </c>
      <c r="P153" s="9">
        <v>0</v>
      </c>
      <c r="Q153" s="9">
        <v>732</v>
      </c>
      <c r="R153" s="9">
        <f t="shared" si="0"/>
        <v>732</v>
      </c>
      <c r="S153" s="9">
        <f t="shared" si="1"/>
        <v>0</v>
      </c>
      <c r="T153" s="9">
        <v>2</v>
      </c>
      <c r="U153" s="9">
        <v>734</v>
      </c>
      <c r="V153" s="9">
        <v>0</v>
      </c>
      <c r="W153" s="15" t="s">
        <v>221</v>
      </c>
      <c r="X153" s="15" t="s">
        <v>223</v>
      </c>
      <c r="Y153" s="15">
        <v>828</v>
      </c>
      <c r="Z153" s="15">
        <v>442</v>
      </c>
      <c r="AA153" s="10">
        <v>386</v>
      </c>
      <c r="AB153" s="10">
        <f t="shared" si="6"/>
        <v>141</v>
      </c>
      <c r="AC153" s="16">
        <f t="shared" si="7"/>
        <v>88.647342995169083</v>
      </c>
    </row>
    <row r="154" spans="1:29" ht="37.5" customHeight="1">
      <c r="A154" s="11">
        <v>151</v>
      </c>
      <c r="B154" s="11">
        <v>32</v>
      </c>
      <c r="C154" s="11">
        <v>0</v>
      </c>
      <c r="D154" s="11">
        <v>49</v>
      </c>
      <c r="E154" s="11">
        <v>605</v>
      </c>
      <c r="F154" s="11">
        <v>1</v>
      </c>
      <c r="G154" s="11">
        <v>1</v>
      </c>
      <c r="H154" s="11">
        <v>2</v>
      </c>
      <c r="I154" s="11">
        <v>0</v>
      </c>
      <c r="J154" s="11">
        <v>0</v>
      </c>
      <c r="K154" s="11">
        <v>0</v>
      </c>
      <c r="L154" s="11">
        <v>1</v>
      </c>
      <c r="M154" s="11">
        <v>1</v>
      </c>
      <c r="N154" s="11">
        <v>4</v>
      </c>
      <c r="O154" s="11">
        <v>0</v>
      </c>
      <c r="P154" s="11">
        <v>0</v>
      </c>
      <c r="Q154" s="11">
        <v>696</v>
      </c>
      <c r="R154" s="11">
        <f t="shared" si="0"/>
        <v>696</v>
      </c>
      <c r="S154" s="11">
        <f t="shared" si="1"/>
        <v>0</v>
      </c>
      <c r="T154" s="11">
        <v>1</v>
      </c>
      <c r="U154" s="11">
        <v>697</v>
      </c>
      <c r="V154" s="11">
        <v>0</v>
      </c>
      <c r="W154" s="12" t="s">
        <v>224</v>
      </c>
      <c r="X154" s="12" t="s">
        <v>225</v>
      </c>
      <c r="Y154" s="12">
        <v>1088</v>
      </c>
      <c r="Z154" s="12">
        <v>569</v>
      </c>
      <c r="AA154" s="13">
        <v>518</v>
      </c>
      <c r="AB154" s="13">
        <f t="shared" si="6"/>
        <v>17</v>
      </c>
      <c r="AC154" s="14">
        <f t="shared" si="7"/>
        <v>64.0625</v>
      </c>
    </row>
    <row r="155" spans="1:29" ht="37.5" customHeight="1">
      <c r="A155" s="9">
        <v>152</v>
      </c>
      <c r="B155" s="9">
        <v>401</v>
      </c>
      <c r="C155" s="9">
        <v>2</v>
      </c>
      <c r="D155" s="9">
        <v>108</v>
      </c>
      <c r="E155" s="9">
        <v>302</v>
      </c>
      <c r="F155" s="9">
        <v>0</v>
      </c>
      <c r="G155" s="9">
        <v>0</v>
      </c>
      <c r="H155" s="9">
        <v>1</v>
      </c>
      <c r="I155" s="9">
        <v>0</v>
      </c>
      <c r="J155" s="9">
        <v>1</v>
      </c>
      <c r="K155" s="9">
        <v>0</v>
      </c>
      <c r="L155" s="9">
        <v>0</v>
      </c>
      <c r="M155" s="9">
        <v>0</v>
      </c>
      <c r="N155" s="9">
        <v>0</v>
      </c>
      <c r="O155" s="9">
        <v>1</v>
      </c>
      <c r="P155" s="9">
        <v>2</v>
      </c>
      <c r="Q155" s="9">
        <v>818</v>
      </c>
      <c r="R155" s="9">
        <f t="shared" si="0"/>
        <v>818</v>
      </c>
      <c r="S155" s="9">
        <f t="shared" si="1"/>
        <v>0</v>
      </c>
      <c r="T155" s="9">
        <v>2</v>
      </c>
      <c r="U155" s="9">
        <v>820</v>
      </c>
      <c r="V155" s="9">
        <v>0</v>
      </c>
      <c r="W155" s="15" t="s">
        <v>224</v>
      </c>
      <c r="X155" s="15" t="s">
        <v>226</v>
      </c>
      <c r="Y155" s="15">
        <v>920</v>
      </c>
      <c r="Z155" s="15">
        <v>353</v>
      </c>
      <c r="AA155" s="10">
        <v>332</v>
      </c>
      <c r="AB155" s="10">
        <f t="shared" si="6"/>
        <v>293</v>
      </c>
      <c r="AC155" s="16">
        <f t="shared" si="7"/>
        <v>89.130434782608688</v>
      </c>
    </row>
    <row r="156" spans="1:29" ht="37.5" customHeight="1">
      <c r="A156" s="9">
        <v>153</v>
      </c>
      <c r="B156" s="9">
        <v>176</v>
      </c>
      <c r="C156" s="9">
        <v>0</v>
      </c>
      <c r="D156" s="9">
        <v>36</v>
      </c>
      <c r="E156" s="9">
        <v>251</v>
      </c>
      <c r="F156" s="9">
        <v>0</v>
      </c>
      <c r="G156" s="9">
        <v>0</v>
      </c>
      <c r="H156" s="9">
        <v>0</v>
      </c>
      <c r="I156" s="9">
        <v>0</v>
      </c>
      <c r="J156" s="9">
        <v>5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468</v>
      </c>
      <c r="R156" s="9">
        <f t="shared" si="0"/>
        <v>468</v>
      </c>
      <c r="S156" s="9">
        <f t="shared" si="1"/>
        <v>0</v>
      </c>
      <c r="T156" s="9">
        <v>1</v>
      </c>
      <c r="U156" s="9">
        <v>469</v>
      </c>
      <c r="V156" s="9">
        <v>0</v>
      </c>
      <c r="W156" s="15" t="s">
        <v>227</v>
      </c>
      <c r="X156" s="15" t="s">
        <v>228</v>
      </c>
      <c r="Y156" s="15">
        <v>1218</v>
      </c>
      <c r="Z156" s="15">
        <v>661</v>
      </c>
      <c r="AA156" s="10">
        <v>557</v>
      </c>
      <c r="AB156" s="10">
        <f t="shared" si="6"/>
        <v>140</v>
      </c>
      <c r="AC156" s="16">
        <f t="shared" si="7"/>
        <v>38.505747126436781</v>
      </c>
    </row>
    <row r="157" spans="1:29" ht="37.5" customHeight="1">
      <c r="A157" s="9">
        <v>154</v>
      </c>
      <c r="B157" s="9">
        <v>366</v>
      </c>
      <c r="C157" s="9">
        <v>6</v>
      </c>
      <c r="D157" s="9">
        <v>115</v>
      </c>
      <c r="E157" s="9">
        <v>450</v>
      </c>
      <c r="F157" s="9">
        <v>5</v>
      </c>
      <c r="G157" s="9">
        <v>4</v>
      </c>
      <c r="H157" s="9">
        <v>1</v>
      </c>
      <c r="I157" s="9">
        <v>3</v>
      </c>
      <c r="J157" s="9">
        <v>5</v>
      </c>
      <c r="K157" s="9">
        <v>1</v>
      </c>
      <c r="L157" s="9">
        <v>0</v>
      </c>
      <c r="M157" s="9">
        <v>2</v>
      </c>
      <c r="N157" s="9">
        <v>5</v>
      </c>
      <c r="O157" s="9">
        <v>0</v>
      </c>
      <c r="P157" s="9">
        <v>2</v>
      </c>
      <c r="Q157" s="9">
        <v>965</v>
      </c>
      <c r="R157" s="9">
        <f t="shared" si="0"/>
        <v>965</v>
      </c>
      <c r="S157" s="9">
        <f t="shared" si="1"/>
        <v>0</v>
      </c>
      <c r="T157" s="9">
        <v>4</v>
      </c>
      <c r="U157" s="9">
        <v>969</v>
      </c>
      <c r="V157" s="9">
        <v>0</v>
      </c>
      <c r="W157" s="15" t="s">
        <v>229</v>
      </c>
      <c r="X157" s="15" t="s">
        <v>230</v>
      </c>
      <c r="Y157" s="15">
        <v>1150</v>
      </c>
      <c r="Z157" s="15">
        <v>360</v>
      </c>
      <c r="AA157" s="10">
        <v>306</v>
      </c>
      <c r="AB157" s="10">
        <f t="shared" si="6"/>
        <v>251</v>
      </c>
      <c r="AC157" s="16">
        <f t="shared" si="7"/>
        <v>84.260869565217391</v>
      </c>
    </row>
    <row r="158" spans="1:29" ht="37.5" customHeight="1">
      <c r="A158" s="9">
        <v>155</v>
      </c>
      <c r="B158" s="9">
        <v>333</v>
      </c>
      <c r="C158" s="9">
        <v>1</v>
      </c>
      <c r="D158" s="9">
        <v>126</v>
      </c>
      <c r="E158" s="9">
        <v>74</v>
      </c>
      <c r="F158" s="9">
        <v>0</v>
      </c>
      <c r="G158" s="9">
        <v>0</v>
      </c>
      <c r="H158" s="9">
        <v>0</v>
      </c>
      <c r="I158" s="9">
        <v>1</v>
      </c>
      <c r="J158" s="9">
        <v>0</v>
      </c>
      <c r="K158" s="9">
        <v>2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537</v>
      </c>
      <c r="R158" s="9">
        <f t="shared" si="0"/>
        <v>537</v>
      </c>
      <c r="S158" s="9">
        <f t="shared" si="1"/>
        <v>0</v>
      </c>
      <c r="T158" s="9">
        <v>2</v>
      </c>
      <c r="U158" s="9">
        <v>539</v>
      </c>
      <c r="V158" s="9">
        <v>0</v>
      </c>
      <c r="W158" s="15" t="s">
        <v>229</v>
      </c>
      <c r="X158" s="15" t="s">
        <v>231</v>
      </c>
      <c r="Y158" s="15">
        <v>1077</v>
      </c>
      <c r="Z158" s="15">
        <v>566</v>
      </c>
      <c r="AA158" s="10">
        <v>496</v>
      </c>
      <c r="AB158" s="10">
        <f t="shared" si="6"/>
        <v>207</v>
      </c>
      <c r="AC158" s="16">
        <f t="shared" si="7"/>
        <v>50.046425255338903</v>
      </c>
    </row>
    <row r="159" spans="1:29" ht="37.5" customHeight="1">
      <c r="A159" s="9">
        <v>156</v>
      </c>
      <c r="B159" s="9">
        <v>339</v>
      </c>
      <c r="C159" s="9">
        <v>2</v>
      </c>
      <c r="D159" s="9">
        <v>251</v>
      </c>
      <c r="E159" s="9">
        <v>284</v>
      </c>
      <c r="F159" s="9">
        <v>1</v>
      </c>
      <c r="G159" s="9">
        <v>1</v>
      </c>
      <c r="H159" s="9">
        <v>0</v>
      </c>
      <c r="I159" s="9">
        <v>1</v>
      </c>
      <c r="J159" s="9">
        <v>1</v>
      </c>
      <c r="K159" s="9">
        <v>0</v>
      </c>
      <c r="L159" s="9">
        <v>0</v>
      </c>
      <c r="M159" s="9">
        <v>0</v>
      </c>
      <c r="N159" s="9">
        <v>1</v>
      </c>
      <c r="O159" s="9">
        <v>1</v>
      </c>
      <c r="P159" s="9">
        <v>2</v>
      </c>
      <c r="Q159" s="9">
        <v>884</v>
      </c>
      <c r="R159" s="9">
        <f t="shared" si="0"/>
        <v>884</v>
      </c>
      <c r="S159" s="9">
        <f t="shared" si="1"/>
        <v>0</v>
      </c>
      <c r="T159" s="9">
        <v>3</v>
      </c>
      <c r="U159" s="9">
        <v>887</v>
      </c>
      <c r="V159" s="9">
        <v>0</v>
      </c>
      <c r="W159" s="15" t="s">
        <v>232</v>
      </c>
      <c r="X159" s="15" t="s">
        <v>233</v>
      </c>
      <c r="Y159" s="15">
        <v>950</v>
      </c>
      <c r="Z159" s="15">
        <v>421</v>
      </c>
      <c r="AA159" s="10">
        <v>390</v>
      </c>
      <c r="AB159" s="10">
        <f t="shared" si="6"/>
        <v>88</v>
      </c>
      <c r="AC159" s="16">
        <f t="shared" si="7"/>
        <v>93.368421052631575</v>
      </c>
    </row>
    <row r="160" spans="1:29" ht="37.5" customHeight="1">
      <c r="A160" s="9">
        <v>157</v>
      </c>
      <c r="B160" s="9">
        <v>247</v>
      </c>
      <c r="C160" s="9">
        <v>2</v>
      </c>
      <c r="D160" s="9">
        <v>157</v>
      </c>
      <c r="E160" s="9">
        <v>186</v>
      </c>
      <c r="F160" s="9">
        <v>0</v>
      </c>
      <c r="G160" s="9">
        <v>0</v>
      </c>
      <c r="H160" s="9">
        <v>0</v>
      </c>
      <c r="I160" s="9">
        <v>1</v>
      </c>
      <c r="J160" s="9">
        <v>1</v>
      </c>
      <c r="K160" s="9">
        <v>1</v>
      </c>
      <c r="L160" s="9">
        <v>0</v>
      </c>
      <c r="M160" s="9">
        <v>1</v>
      </c>
      <c r="N160" s="9">
        <v>0</v>
      </c>
      <c r="O160" s="9">
        <v>0</v>
      </c>
      <c r="P160" s="9">
        <v>1</v>
      </c>
      <c r="Q160" s="9">
        <v>597</v>
      </c>
      <c r="R160" s="9">
        <f t="shared" si="0"/>
        <v>597</v>
      </c>
      <c r="S160" s="9">
        <f t="shared" si="1"/>
        <v>0</v>
      </c>
      <c r="T160" s="9">
        <v>5</v>
      </c>
      <c r="U160" s="9">
        <v>602</v>
      </c>
      <c r="V160" s="9">
        <v>0</v>
      </c>
      <c r="W160" s="15" t="s">
        <v>234</v>
      </c>
      <c r="X160" s="15" t="s">
        <v>235</v>
      </c>
      <c r="Y160" s="15">
        <v>854</v>
      </c>
      <c r="Z160" s="15">
        <v>472</v>
      </c>
      <c r="AA160" s="10">
        <v>382</v>
      </c>
      <c r="AB160" s="10">
        <f t="shared" si="6"/>
        <v>90</v>
      </c>
      <c r="AC160" s="16">
        <f t="shared" si="7"/>
        <v>70.491803278688522</v>
      </c>
    </row>
    <row r="161" spans="1:29" ht="37.5" customHeight="1">
      <c r="A161" s="10">
        <v>158</v>
      </c>
      <c r="B161" s="9">
        <v>267</v>
      </c>
      <c r="C161" s="9">
        <v>0</v>
      </c>
      <c r="D161" s="9">
        <v>30</v>
      </c>
      <c r="E161" s="9">
        <v>435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6</v>
      </c>
      <c r="L161" s="9">
        <v>1</v>
      </c>
      <c r="M161" s="9">
        <v>1</v>
      </c>
      <c r="N161" s="9">
        <v>0</v>
      </c>
      <c r="O161" s="9">
        <v>0</v>
      </c>
      <c r="P161" s="9">
        <v>0</v>
      </c>
      <c r="Q161" s="9">
        <v>740</v>
      </c>
      <c r="R161" s="9">
        <f t="shared" si="0"/>
        <v>740</v>
      </c>
      <c r="S161" s="9">
        <f t="shared" si="1"/>
        <v>0</v>
      </c>
      <c r="T161" s="9">
        <v>1</v>
      </c>
      <c r="U161" s="9">
        <v>741</v>
      </c>
      <c r="V161" s="9">
        <v>0</v>
      </c>
      <c r="W161" s="15" t="s">
        <v>232</v>
      </c>
      <c r="X161" s="15" t="s">
        <v>236</v>
      </c>
      <c r="Y161" s="15">
        <v>1172</v>
      </c>
      <c r="Z161" s="15">
        <v>596</v>
      </c>
      <c r="AA161" s="10">
        <v>533</v>
      </c>
      <c r="AB161" s="10">
        <f t="shared" si="6"/>
        <v>237</v>
      </c>
      <c r="AC161" s="16">
        <f t="shared" si="7"/>
        <v>63.225255972696246</v>
      </c>
    </row>
    <row r="162" spans="1:29" ht="37.5" customHeight="1">
      <c r="A162" s="9">
        <v>159</v>
      </c>
      <c r="B162" s="9">
        <v>473</v>
      </c>
      <c r="C162" s="9">
        <v>2</v>
      </c>
      <c r="D162" s="9">
        <v>286</v>
      </c>
      <c r="E162" s="9">
        <v>47</v>
      </c>
      <c r="F162" s="9">
        <v>0</v>
      </c>
      <c r="G162" s="9">
        <v>0</v>
      </c>
      <c r="H162" s="9">
        <v>0</v>
      </c>
      <c r="I162" s="9">
        <v>1</v>
      </c>
      <c r="J162" s="9">
        <v>0</v>
      </c>
      <c r="K162" s="9">
        <v>0</v>
      </c>
      <c r="L162" s="9">
        <v>0</v>
      </c>
      <c r="M162" s="9">
        <v>0</v>
      </c>
      <c r="N162" s="9">
        <v>1</v>
      </c>
      <c r="O162" s="9">
        <v>0</v>
      </c>
      <c r="P162" s="9">
        <v>1</v>
      </c>
      <c r="Q162" s="9">
        <v>811</v>
      </c>
      <c r="R162" s="9">
        <f t="shared" si="0"/>
        <v>811</v>
      </c>
      <c r="S162" s="9">
        <f t="shared" si="1"/>
        <v>0</v>
      </c>
      <c r="T162" s="9">
        <v>4</v>
      </c>
      <c r="U162" s="9">
        <v>815</v>
      </c>
      <c r="V162" s="9">
        <v>0</v>
      </c>
      <c r="W162" s="15" t="s">
        <v>237</v>
      </c>
      <c r="X162" s="15" t="s">
        <v>238</v>
      </c>
      <c r="Y162" s="15">
        <v>1018</v>
      </c>
      <c r="Z162" s="15">
        <v>557</v>
      </c>
      <c r="AA162" s="10">
        <v>452</v>
      </c>
      <c r="AB162" s="10">
        <f t="shared" si="6"/>
        <v>187</v>
      </c>
      <c r="AC162" s="16">
        <f t="shared" si="7"/>
        <v>80.058939096267196</v>
      </c>
    </row>
    <row r="163" spans="1:29" ht="37.5" customHeight="1">
      <c r="A163" s="9">
        <v>160</v>
      </c>
      <c r="B163" s="9">
        <v>503</v>
      </c>
      <c r="C163" s="9">
        <v>2</v>
      </c>
      <c r="D163" s="9">
        <v>201</v>
      </c>
      <c r="E163" s="9">
        <v>71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777</v>
      </c>
      <c r="R163" s="9">
        <f t="shared" si="0"/>
        <v>777</v>
      </c>
      <c r="S163" s="9">
        <f t="shared" si="1"/>
        <v>0</v>
      </c>
      <c r="T163" s="9">
        <v>1</v>
      </c>
      <c r="U163" s="9">
        <v>778</v>
      </c>
      <c r="V163" s="9">
        <v>0</v>
      </c>
      <c r="W163" s="15" t="s">
        <v>239</v>
      </c>
      <c r="X163" s="15" t="s">
        <v>240</v>
      </c>
      <c r="Y163" s="15">
        <v>800</v>
      </c>
      <c r="Z163" s="15">
        <v>423</v>
      </c>
      <c r="AA163" s="10">
        <v>374</v>
      </c>
      <c r="AB163" s="10">
        <f t="shared" si="6"/>
        <v>302</v>
      </c>
      <c r="AC163" s="16">
        <f t="shared" si="7"/>
        <v>97.25</v>
      </c>
    </row>
    <row r="164" spans="1:29" ht="37.5" customHeight="1">
      <c r="A164" s="9">
        <v>161</v>
      </c>
      <c r="B164" s="9">
        <v>147</v>
      </c>
      <c r="C164" s="9">
        <v>4</v>
      </c>
      <c r="D164" s="9">
        <v>54</v>
      </c>
      <c r="E164" s="9">
        <v>340</v>
      </c>
      <c r="F164" s="9">
        <v>0</v>
      </c>
      <c r="G164" s="9">
        <v>0</v>
      </c>
      <c r="H164" s="9">
        <v>0</v>
      </c>
      <c r="I164" s="9">
        <v>1</v>
      </c>
      <c r="J164" s="9">
        <v>0</v>
      </c>
      <c r="K164" s="9">
        <v>0</v>
      </c>
      <c r="L164" s="9">
        <v>1</v>
      </c>
      <c r="M164" s="9">
        <v>0</v>
      </c>
      <c r="N164" s="9">
        <v>0</v>
      </c>
      <c r="O164" s="9">
        <v>1</v>
      </c>
      <c r="P164" s="9">
        <v>0</v>
      </c>
      <c r="Q164" s="9">
        <v>548</v>
      </c>
      <c r="R164" s="9">
        <f t="shared" si="0"/>
        <v>548</v>
      </c>
      <c r="S164" s="9">
        <f t="shared" si="1"/>
        <v>0</v>
      </c>
      <c r="T164" s="9">
        <v>5</v>
      </c>
      <c r="U164" s="9">
        <v>553</v>
      </c>
      <c r="V164" s="9">
        <v>0</v>
      </c>
      <c r="W164" s="15" t="s">
        <v>239</v>
      </c>
      <c r="X164" s="15" t="s">
        <v>241</v>
      </c>
      <c r="Y164" s="15">
        <v>1463</v>
      </c>
      <c r="Z164" s="15">
        <v>778</v>
      </c>
      <c r="AA164" s="10">
        <v>681</v>
      </c>
      <c r="AB164" s="10">
        <f t="shared" si="6"/>
        <v>93</v>
      </c>
      <c r="AC164" s="16">
        <f t="shared" si="7"/>
        <v>37.799043062200951</v>
      </c>
    </row>
    <row r="165" spans="1:29" ht="37.5" customHeight="1">
      <c r="A165" s="9">
        <v>162</v>
      </c>
      <c r="B165" s="9">
        <v>289</v>
      </c>
      <c r="C165" s="9">
        <v>0</v>
      </c>
      <c r="D165" s="9">
        <v>160</v>
      </c>
      <c r="E165" s="9">
        <v>671</v>
      </c>
      <c r="F165" s="9">
        <v>4</v>
      </c>
      <c r="G165" s="9">
        <v>0</v>
      </c>
      <c r="H165" s="9">
        <v>0</v>
      </c>
      <c r="I165" s="9">
        <v>1</v>
      </c>
      <c r="J165" s="9">
        <v>4</v>
      </c>
      <c r="K165" s="9">
        <v>3</v>
      </c>
      <c r="L165" s="9">
        <v>0</v>
      </c>
      <c r="M165" s="9">
        <v>1</v>
      </c>
      <c r="N165" s="9">
        <v>2</v>
      </c>
      <c r="O165" s="9">
        <v>2</v>
      </c>
      <c r="P165" s="9">
        <v>1</v>
      </c>
      <c r="Q165" s="9">
        <v>1138</v>
      </c>
      <c r="R165" s="9">
        <f t="shared" si="0"/>
        <v>1138</v>
      </c>
      <c r="S165" s="9">
        <f t="shared" si="1"/>
        <v>0</v>
      </c>
      <c r="T165" s="9">
        <v>2</v>
      </c>
      <c r="U165" s="9">
        <v>1140</v>
      </c>
      <c r="V165" s="9">
        <v>0</v>
      </c>
      <c r="W165" s="15" t="s">
        <v>242</v>
      </c>
      <c r="X165" s="15" t="s">
        <v>243</v>
      </c>
      <c r="Y165" s="15">
        <v>1350</v>
      </c>
      <c r="Z165" s="15">
        <v>566</v>
      </c>
      <c r="AA165" s="10">
        <v>475</v>
      </c>
      <c r="AB165" s="10">
        <f t="shared" si="6"/>
        <v>129</v>
      </c>
      <c r="AC165" s="16">
        <f t="shared" si="7"/>
        <v>84.444444444444443</v>
      </c>
    </row>
    <row r="166" spans="1:29" ht="37.5" customHeight="1">
      <c r="A166" s="9">
        <v>163</v>
      </c>
      <c r="B166" s="9">
        <v>467</v>
      </c>
      <c r="C166" s="9">
        <v>5</v>
      </c>
      <c r="D166" s="9">
        <v>308</v>
      </c>
      <c r="E166" s="9">
        <v>22</v>
      </c>
      <c r="F166" s="9">
        <v>0</v>
      </c>
      <c r="G166" s="9">
        <v>0</v>
      </c>
      <c r="H166" s="9">
        <v>0</v>
      </c>
      <c r="I166" s="9">
        <v>3</v>
      </c>
      <c r="J166" s="9">
        <v>0</v>
      </c>
      <c r="K166" s="9">
        <v>2</v>
      </c>
      <c r="L166" s="9">
        <v>2</v>
      </c>
      <c r="M166" s="9">
        <v>0</v>
      </c>
      <c r="N166" s="9">
        <v>0</v>
      </c>
      <c r="O166" s="9">
        <v>0</v>
      </c>
      <c r="P166" s="9">
        <v>0</v>
      </c>
      <c r="Q166" s="9">
        <v>809</v>
      </c>
      <c r="R166" s="9">
        <f t="shared" si="0"/>
        <v>809</v>
      </c>
      <c r="S166" s="9">
        <f t="shared" si="1"/>
        <v>0</v>
      </c>
      <c r="T166" s="9">
        <v>5</v>
      </c>
      <c r="U166" s="9">
        <v>814</v>
      </c>
      <c r="V166" s="9">
        <v>0</v>
      </c>
      <c r="W166" s="15" t="s">
        <v>242</v>
      </c>
      <c r="X166" s="15" t="s">
        <v>244</v>
      </c>
      <c r="Y166" s="15">
        <v>920</v>
      </c>
      <c r="Z166" s="15">
        <v>280</v>
      </c>
      <c r="AA166" s="10">
        <v>225</v>
      </c>
      <c r="AB166" s="10">
        <f t="shared" si="6"/>
        <v>159</v>
      </c>
      <c r="AC166" s="16">
        <f t="shared" si="7"/>
        <v>88.478260869565219</v>
      </c>
    </row>
    <row r="167" spans="1:29" ht="37.5" customHeight="1">
      <c r="A167" s="9">
        <v>164</v>
      </c>
      <c r="B167" s="9">
        <v>193</v>
      </c>
      <c r="C167" s="9">
        <v>1</v>
      </c>
      <c r="D167" s="9">
        <v>165</v>
      </c>
      <c r="E167" s="9">
        <v>13</v>
      </c>
      <c r="F167" s="9">
        <v>1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2</v>
      </c>
      <c r="Q167" s="9">
        <v>375</v>
      </c>
      <c r="R167" s="9">
        <f t="shared" si="0"/>
        <v>375</v>
      </c>
      <c r="S167" s="9">
        <f t="shared" si="1"/>
        <v>0</v>
      </c>
      <c r="T167" s="9">
        <v>2</v>
      </c>
      <c r="U167" s="9">
        <v>377</v>
      </c>
      <c r="V167" s="9">
        <v>0</v>
      </c>
      <c r="W167" s="15" t="s">
        <v>245</v>
      </c>
      <c r="X167" s="15" t="s">
        <v>246</v>
      </c>
      <c r="Y167" s="15">
        <v>883</v>
      </c>
      <c r="Z167" s="15">
        <v>487</v>
      </c>
      <c r="AA167" s="10">
        <v>394</v>
      </c>
      <c r="AB167" s="10">
        <f t="shared" si="6"/>
        <v>28</v>
      </c>
      <c r="AC167" s="16">
        <f t="shared" si="7"/>
        <v>42.695356738391851</v>
      </c>
    </row>
    <row r="168" spans="1:29" ht="37.5" customHeight="1">
      <c r="A168" s="9">
        <v>165</v>
      </c>
      <c r="B168" s="9">
        <v>463</v>
      </c>
      <c r="C168" s="9">
        <v>0</v>
      </c>
      <c r="D168" s="9">
        <v>237</v>
      </c>
      <c r="E168" s="9">
        <v>59</v>
      </c>
      <c r="F168" s="9">
        <v>0</v>
      </c>
      <c r="G168" s="9">
        <v>0</v>
      </c>
      <c r="H168" s="9">
        <v>0</v>
      </c>
      <c r="I168" s="9">
        <v>1</v>
      </c>
      <c r="J168" s="9">
        <v>2</v>
      </c>
      <c r="K168" s="9">
        <v>0</v>
      </c>
      <c r="L168" s="9">
        <v>0</v>
      </c>
      <c r="M168" s="9">
        <v>0</v>
      </c>
      <c r="N168" s="9">
        <v>1</v>
      </c>
      <c r="O168" s="9">
        <v>3</v>
      </c>
      <c r="P168" s="9">
        <v>0</v>
      </c>
      <c r="Q168" s="9">
        <v>766</v>
      </c>
      <c r="R168" s="9">
        <f t="shared" si="0"/>
        <v>766</v>
      </c>
      <c r="S168" s="9">
        <f t="shared" si="1"/>
        <v>0</v>
      </c>
      <c r="T168" s="9">
        <v>2</v>
      </c>
      <c r="U168" s="9">
        <v>768</v>
      </c>
      <c r="V168" s="9">
        <v>0</v>
      </c>
      <c r="W168" s="15" t="s">
        <v>247</v>
      </c>
      <c r="X168" s="15" t="s">
        <v>248</v>
      </c>
      <c r="Y168" s="15">
        <v>800</v>
      </c>
      <c r="Z168" s="15">
        <v>382</v>
      </c>
      <c r="AA168" s="10">
        <v>339</v>
      </c>
      <c r="AB168" s="10">
        <f t="shared" si="6"/>
        <v>226</v>
      </c>
      <c r="AC168" s="16">
        <f t="shared" si="7"/>
        <v>96</v>
      </c>
    </row>
    <row r="169" spans="1:29" ht="37.5" customHeight="1">
      <c r="A169" s="9">
        <v>166</v>
      </c>
      <c r="B169" s="9">
        <v>104</v>
      </c>
      <c r="C169" s="9">
        <v>0</v>
      </c>
      <c r="D169" s="9">
        <v>95</v>
      </c>
      <c r="E169" s="9">
        <v>299</v>
      </c>
      <c r="F169" s="9">
        <v>1</v>
      </c>
      <c r="G169" s="9">
        <v>0</v>
      </c>
      <c r="H169" s="9">
        <v>1</v>
      </c>
      <c r="I169" s="9">
        <v>0</v>
      </c>
      <c r="J169" s="9">
        <v>0</v>
      </c>
      <c r="K169" s="9">
        <v>2</v>
      </c>
      <c r="L169" s="9">
        <v>0</v>
      </c>
      <c r="M169" s="9">
        <v>2</v>
      </c>
      <c r="N169" s="9">
        <v>3</v>
      </c>
      <c r="O169" s="9">
        <v>1</v>
      </c>
      <c r="P169" s="9">
        <v>0</v>
      </c>
      <c r="Q169" s="9">
        <v>508</v>
      </c>
      <c r="R169" s="9">
        <f t="shared" si="0"/>
        <v>508</v>
      </c>
      <c r="S169" s="9">
        <f t="shared" si="1"/>
        <v>0</v>
      </c>
      <c r="T169" s="9">
        <v>2</v>
      </c>
      <c r="U169" s="9">
        <v>510</v>
      </c>
      <c r="V169" s="9">
        <v>0</v>
      </c>
      <c r="W169" s="15" t="s">
        <v>249</v>
      </c>
      <c r="X169" s="15" t="s">
        <v>250</v>
      </c>
      <c r="Y169" s="15">
        <v>650</v>
      </c>
      <c r="Z169" s="15">
        <v>720</v>
      </c>
      <c r="AA169" s="10">
        <v>680</v>
      </c>
      <c r="AB169" s="10">
        <f t="shared" si="6"/>
        <v>9</v>
      </c>
      <c r="AC169" s="16">
        <f t="shared" si="7"/>
        <v>78.461538461538467</v>
      </c>
    </row>
    <row r="170" spans="1:29" ht="37.5" customHeight="1">
      <c r="A170" s="9">
        <v>167</v>
      </c>
      <c r="B170" s="9">
        <v>311</v>
      </c>
      <c r="C170" s="9">
        <v>5</v>
      </c>
      <c r="D170" s="9">
        <v>274</v>
      </c>
      <c r="E170" s="9">
        <v>400</v>
      </c>
      <c r="F170" s="9">
        <v>2</v>
      </c>
      <c r="G170" s="9">
        <v>1</v>
      </c>
      <c r="H170" s="9">
        <v>0</v>
      </c>
      <c r="I170" s="9">
        <v>3</v>
      </c>
      <c r="J170" s="9">
        <v>0</v>
      </c>
      <c r="K170" s="9">
        <v>3</v>
      </c>
      <c r="L170" s="9">
        <v>0</v>
      </c>
      <c r="M170" s="9">
        <v>1</v>
      </c>
      <c r="N170" s="9">
        <v>3</v>
      </c>
      <c r="O170" s="9">
        <v>2</v>
      </c>
      <c r="P170" s="9">
        <v>2</v>
      </c>
      <c r="Q170" s="9">
        <v>1007</v>
      </c>
      <c r="R170" s="9">
        <f t="shared" si="0"/>
        <v>1007</v>
      </c>
      <c r="S170" s="9">
        <f t="shared" si="1"/>
        <v>0</v>
      </c>
      <c r="T170" s="9">
        <v>2</v>
      </c>
      <c r="U170" s="9">
        <v>1009</v>
      </c>
      <c r="V170" s="9">
        <v>0</v>
      </c>
      <c r="W170" s="15" t="s">
        <v>251</v>
      </c>
      <c r="X170" s="15" t="s">
        <v>252</v>
      </c>
      <c r="Y170" s="15">
        <v>1150</v>
      </c>
      <c r="Z170" s="15">
        <v>434</v>
      </c>
      <c r="AA170" s="10">
        <v>391</v>
      </c>
      <c r="AB170" s="10">
        <f t="shared" si="6"/>
        <v>37</v>
      </c>
      <c r="AC170" s="16">
        <f t="shared" si="7"/>
        <v>87.739130434782609</v>
      </c>
    </row>
    <row r="171" spans="1:29" ht="37.5" customHeight="1">
      <c r="A171" s="11">
        <v>168</v>
      </c>
      <c r="B171" s="11">
        <v>160</v>
      </c>
      <c r="C171" s="11">
        <v>10</v>
      </c>
      <c r="D171" s="11">
        <v>374</v>
      </c>
      <c r="E171" s="11">
        <v>73</v>
      </c>
      <c r="F171" s="11">
        <v>0</v>
      </c>
      <c r="G171" s="11">
        <v>0</v>
      </c>
      <c r="H171" s="11">
        <v>0</v>
      </c>
      <c r="I171" s="11">
        <v>1</v>
      </c>
      <c r="J171" s="11">
        <v>5</v>
      </c>
      <c r="K171" s="11">
        <v>0</v>
      </c>
      <c r="L171" s="11">
        <v>0</v>
      </c>
      <c r="M171" s="11">
        <v>0</v>
      </c>
      <c r="N171" s="11">
        <v>1</v>
      </c>
      <c r="O171" s="11">
        <v>2</v>
      </c>
      <c r="P171" s="11">
        <v>0</v>
      </c>
      <c r="Q171" s="11">
        <v>626</v>
      </c>
      <c r="R171" s="11">
        <f t="shared" si="0"/>
        <v>626</v>
      </c>
      <c r="S171" s="11">
        <f t="shared" si="1"/>
        <v>0</v>
      </c>
      <c r="T171" s="11">
        <v>0</v>
      </c>
      <c r="U171" s="11">
        <v>626</v>
      </c>
      <c r="V171" s="11">
        <v>0</v>
      </c>
      <c r="W171" s="12" t="s">
        <v>251</v>
      </c>
      <c r="X171" s="12" t="s">
        <v>253</v>
      </c>
      <c r="Y171" s="12">
        <v>709</v>
      </c>
      <c r="Z171" s="12">
        <v>368</v>
      </c>
      <c r="AA171" s="13">
        <v>335</v>
      </c>
      <c r="AB171" s="13">
        <f t="shared" si="6"/>
        <v>214</v>
      </c>
      <c r="AC171" s="14">
        <f t="shared" si="7"/>
        <v>88.293370944992944</v>
      </c>
    </row>
    <row r="172" spans="1:29" ht="37.5" customHeight="1">
      <c r="A172" s="11">
        <v>169</v>
      </c>
      <c r="B172" s="11">
        <v>79</v>
      </c>
      <c r="C172" s="11">
        <v>20</v>
      </c>
      <c r="D172" s="11">
        <v>164</v>
      </c>
      <c r="E172" s="11">
        <v>340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1</v>
      </c>
      <c r="L172" s="11">
        <v>1</v>
      </c>
      <c r="M172" s="11">
        <v>0</v>
      </c>
      <c r="N172" s="11">
        <v>1</v>
      </c>
      <c r="O172" s="11">
        <v>0</v>
      </c>
      <c r="P172" s="11">
        <v>0</v>
      </c>
      <c r="Q172" s="11">
        <v>606</v>
      </c>
      <c r="R172" s="11">
        <f t="shared" si="0"/>
        <v>606</v>
      </c>
      <c r="S172" s="11">
        <f t="shared" si="1"/>
        <v>0</v>
      </c>
      <c r="T172" s="11">
        <v>0</v>
      </c>
      <c r="U172" s="11">
        <v>606</v>
      </c>
      <c r="V172" s="11">
        <v>0</v>
      </c>
      <c r="W172" s="12" t="s">
        <v>254</v>
      </c>
      <c r="X172" s="12" t="s">
        <v>255</v>
      </c>
      <c r="Y172" s="12">
        <v>715</v>
      </c>
      <c r="Z172" s="12">
        <v>373</v>
      </c>
      <c r="AA172" s="13">
        <v>337</v>
      </c>
      <c r="AB172" s="13">
        <f t="shared" si="6"/>
        <v>85</v>
      </c>
      <c r="AC172" s="14">
        <f t="shared" si="7"/>
        <v>84.755244755244746</v>
      </c>
    </row>
    <row r="173" spans="1:29" ht="37.5" customHeight="1">
      <c r="A173" s="11">
        <v>170</v>
      </c>
      <c r="B173" s="11">
        <v>207</v>
      </c>
      <c r="C173" s="11">
        <v>11</v>
      </c>
      <c r="D173" s="11">
        <v>256</v>
      </c>
      <c r="E173" s="11">
        <v>72</v>
      </c>
      <c r="F173" s="11">
        <v>0</v>
      </c>
      <c r="G173" s="11">
        <v>0</v>
      </c>
      <c r="H173" s="11">
        <v>0</v>
      </c>
      <c r="I173" s="11">
        <v>0</v>
      </c>
      <c r="J173" s="11">
        <v>2</v>
      </c>
      <c r="K173" s="11">
        <v>0</v>
      </c>
      <c r="L173" s="11">
        <v>0</v>
      </c>
      <c r="M173" s="11">
        <v>0</v>
      </c>
      <c r="N173" s="11">
        <v>0</v>
      </c>
      <c r="O173" s="11">
        <v>1</v>
      </c>
      <c r="P173" s="11">
        <v>0</v>
      </c>
      <c r="Q173" s="11">
        <v>549</v>
      </c>
      <c r="R173" s="11">
        <f t="shared" si="0"/>
        <v>549</v>
      </c>
      <c r="S173" s="11">
        <f t="shared" si="1"/>
        <v>0</v>
      </c>
      <c r="T173" s="11">
        <v>1</v>
      </c>
      <c r="U173" s="11">
        <v>550</v>
      </c>
      <c r="V173" s="11">
        <v>0</v>
      </c>
      <c r="W173" s="12" t="s">
        <v>256</v>
      </c>
      <c r="X173" s="12" t="s">
        <v>257</v>
      </c>
      <c r="Y173" s="12">
        <v>1052</v>
      </c>
      <c r="Z173" s="12">
        <v>547</v>
      </c>
      <c r="AA173" s="13">
        <v>504</v>
      </c>
      <c r="AB173" s="13">
        <f t="shared" si="6"/>
        <v>49</v>
      </c>
      <c r="AC173" s="14">
        <f t="shared" si="7"/>
        <v>52.281368821292773</v>
      </c>
    </row>
    <row r="174" spans="1:29" ht="37.5" customHeight="1">
      <c r="A174" s="11">
        <v>171</v>
      </c>
      <c r="B174" s="11">
        <v>195</v>
      </c>
      <c r="C174" s="11">
        <v>81</v>
      </c>
      <c r="D174" s="11">
        <v>274</v>
      </c>
      <c r="E174" s="11">
        <v>223</v>
      </c>
      <c r="F174" s="11">
        <v>0</v>
      </c>
      <c r="G174" s="11">
        <v>1</v>
      </c>
      <c r="H174" s="11">
        <v>0</v>
      </c>
      <c r="I174" s="11">
        <v>1</v>
      </c>
      <c r="J174" s="11">
        <v>1</v>
      </c>
      <c r="K174" s="11">
        <v>2</v>
      </c>
      <c r="L174" s="11">
        <v>0</v>
      </c>
      <c r="M174" s="11">
        <v>0</v>
      </c>
      <c r="N174" s="11">
        <v>0</v>
      </c>
      <c r="O174" s="11">
        <v>3</v>
      </c>
      <c r="P174" s="11">
        <v>0</v>
      </c>
      <c r="Q174" s="11">
        <v>781</v>
      </c>
      <c r="R174" s="11">
        <f t="shared" si="0"/>
        <v>781</v>
      </c>
      <c r="S174" s="11">
        <f t="shared" si="1"/>
        <v>0</v>
      </c>
      <c r="T174" s="11">
        <v>4</v>
      </c>
      <c r="U174" s="11">
        <v>785</v>
      </c>
      <c r="V174" s="11">
        <v>0</v>
      </c>
      <c r="W174" s="12" t="s">
        <v>258</v>
      </c>
      <c r="X174" s="12" t="s">
        <v>259</v>
      </c>
      <c r="Y174" s="12">
        <v>800</v>
      </c>
      <c r="Z174" s="12">
        <v>344</v>
      </c>
      <c r="AA174" s="13">
        <v>305</v>
      </c>
      <c r="AB174" s="13">
        <f t="shared" si="6"/>
        <v>79</v>
      </c>
      <c r="AC174" s="14">
        <f t="shared" si="7"/>
        <v>98.125</v>
      </c>
    </row>
    <row r="175" spans="1:29" ht="37.5" customHeight="1">
      <c r="A175" s="11">
        <v>172</v>
      </c>
      <c r="B175" s="11">
        <v>187</v>
      </c>
      <c r="C175" s="11">
        <v>3</v>
      </c>
      <c r="D175" s="11">
        <v>218</v>
      </c>
      <c r="E175" s="11">
        <v>85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1</v>
      </c>
      <c r="O175" s="11">
        <v>0</v>
      </c>
      <c r="P175" s="11">
        <v>1</v>
      </c>
      <c r="Q175" s="11">
        <v>495</v>
      </c>
      <c r="R175" s="11">
        <f t="shared" si="0"/>
        <v>495</v>
      </c>
      <c r="S175" s="11">
        <f t="shared" si="1"/>
        <v>0</v>
      </c>
      <c r="T175" s="11">
        <v>1</v>
      </c>
      <c r="U175" s="11">
        <v>496</v>
      </c>
      <c r="V175" s="11">
        <v>0</v>
      </c>
      <c r="W175" s="12" t="s">
        <v>258</v>
      </c>
      <c r="X175" s="12" t="s">
        <v>260</v>
      </c>
      <c r="Y175" s="12">
        <v>1224</v>
      </c>
      <c r="Z175" s="12">
        <v>663</v>
      </c>
      <c r="AA175" s="13">
        <v>545</v>
      </c>
      <c r="AB175" s="13">
        <f t="shared" si="6"/>
        <v>31</v>
      </c>
      <c r="AC175" s="14">
        <f t="shared" si="7"/>
        <v>40.522875816993462</v>
      </c>
    </row>
    <row r="176" spans="1:29" ht="37.5" customHeight="1">
      <c r="A176" s="9">
        <v>173</v>
      </c>
      <c r="B176" s="9">
        <v>412</v>
      </c>
      <c r="C176" s="9">
        <v>38</v>
      </c>
      <c r="D176" s="9">
        <v>280</v>
      </c>
      <c r="E176" s="9">
        <v>171</v>
      </c>
      <c r="F176" s="9">
        <v>4</v>
      </c>
      <c r="G176" s="9">
        <v>0</v>
      </c>
      <c r="H176" s="9">
        <v>0</v>
      </c>
      <c r="I176" s="9">
        <v>2</v>
      </c>
      <c r="J176" s="9">
        <v>8</v>
      </c>
      <c r="K176" s="9">
        <v>0</v>
      </c>
      <c r="L176" s="9">
        <v>2</v>
      </c>
      <c r="M176" s="9">
        <v>0</v>
      </c>
      <c r="N176" s="9">
        <v>1</v>
      </c>
      <c r="O176" s="9">
        <v>1</v>
      </c>
      <c r="P176" s="9">
        <v>2</v>
      </c>
      <c r="Q176" s="9">
        <v>921</v>
      </c>
      <c r="R176" s="9">
        <f t="shared" si="0"/>
        <v>921</v>
      </c>
      <c r="S176" s="9">
        <f t="shared" si="1"/>
        <v>0</v>
      </c>
      <c r="T176" s="9">
        <v>4</v>
      </c>
      <c r="U176" s="9">
        <v>925</v>
      </c>
      <c r="V176" s="9">
        <v>0</v>
      </c>
      <c r="W176" s="15" t="s">
        <v>261</v>
      </c>
      <c r="X176" s="15" t="s">
        <v>262</v>
      </c>
      <c r="Y176" s="15">
        <v>1081</v>
      </c>
      <c r="Z176" s="15">
        <v>555</v>
      </c>
      <c r="AA176" s="10">
        <v>508</v>
      </c>
      <c r="AB176" s="10">
        <f t="shared" si="6"/>
        <v>132</v>
      </c>
      <c r="AC176" s="16">
        <f t="shared" si="7"/>
        <v>85.568917668825165</v>
      </c>
    </row>
    <row r="177" spans="1:29" ht="37.5" customHeight="1">
      <c r="A177" s="11">
        <v>174</v>
      </c>
      <c r="B177" s="11">
        <v>161</v>
      </c>
      <c r="C177" s="11">
        <v>49</v>
      </c>
      <c r="D177" s="11">
        <v>200</v>
      </c>
      <c r="E177" s="11">
        <v>376</v>
      </c>
      <c r="F177" s="11">
        <v>1</v>
      </c>
      <c r="G177" s="11">
        <v>0</v>
      </c>
      <c r="H177" s="11">
        <v>0</v>
      </c>
      <c r="I177" s="11">
        <v>1</v>
      </c>
      <c r="J177" s="11">
        <v>2</v>
      </c>
      <c r="K177" s="11">
        <v>3</v>
      </c>
      <c r="L177" s="11">
        <v>1</v>
      </c>
      <c r="M177" s="11">
        <v>0</v>
      </c>
      <c r="N177" s="11">
        <v>2</v>
      </c>
      <c r="O177" s="11">
        <v>6</v>
      </c>
      <c r="P177" s="11">
        <v>1</v>
      </c>
      <c r="Q177" s="11">
        <v>803</v>
      </c>
      <c r="R177" s="11">
        <f t="shared" si="0"/>
        <v>803</v>
      </c>
      <c r="S177" s="11">
        <f t="shared" si="1"/>
        <v>0</v>
      </c>
      <c r="T177" s="11">
        <v>2</v>
      </c>
      <c r="U177" s="11">
        <v>805</v>
      </c>
      <c r="V177" s="11">
        <v>0</v>
      </c>
      <c r="W177" s="12" t="s">
        <v>261</v>
      </c>
      <c r="X177" s="12" t="s">
        <v>263</v>
      </c>
      <c r="Y177" s="12">
        <v>1386</v>
      </c>
      <c r="Z177" s="12">
        <v>726</v>
      </c>
      <c r="AA177" s="13">
        <v>641</v>
      </c>
      <c r="AB177" s="13">
        <f t="shared" si="6"/>
        <v>39</v>
      </c>
      <c r="AC177" s="14">
        <f t="shared" si="7"/>
        <v>58.080808080808076</v>
      </c>
    </row>
    <row r="178" spans="1:29" ht="37.5" customHeight="1">
      <c r="A178" s="9">
        <v>175</v>
      </c>
      <c r="B178" s="9">
        <v>440</v>
      </c>
      <c r="C178" s="9">
        <v>22</v>
      </c>
      <c r="D178" s="9">
        <v>392</v>
      </c>
      <c r="E178" s="9">
        <v>189</v>
      </c>
      <c r="F178" s="9">
        <v>2</v>
      </c>
      <c r="G178" s="9">
        <v>0</v>
      </c>
      <c r="H178" s="9">
        <v>1</v>
      </c>
      <c r="I178" s="9">
        <v>7</v>
      </c>
      <c r="J178" s="9">
        <v>2</v>
      </c>
      <c r="K178" s="9">
        <v>6</v>
      </c>
      <c r="L178" s="9">
        <v>0</v>
      </c>
      <c r="M178" s="9">
        <v>0</v>
      </c>
      <c r="N178" s="9">
        <v>1</v>
      </c>
      <c r="O178" s="9">
        <v>0</v>
      </c>
      <c r="P178" s="9">
        <v>1</v>
      </c>
      <c r="Q178" s="9">
        <v>1063</v>
      </c>
      <c r="R178" s="9">
        <f t="shared" si="0"/>
        <v>1063</v>
      </c>
      <c r="S178" s="9">
        <f t="shared" si="1"/>
        <v>0</v>
      </c>
      <c r="T178" s="9">
        <v>3</v>
      </c>
      <c r="U178" s="9">
        <v>1066</v>
      </c>
      <c r="V178" s="9">
        <v>0</v>
      </c>
      <c r="W178" s="15" t="s">
        <v>264</v>
      </c>
      <c r="X178" s="15" t="s">
        <v>265</v>
      </c>
      <c r="Y178" s="15">
        <v>1250</v>
      </c>
      <c r="Z178" s="15">
        <v>598</v>
      </c>
      <c r="AA178" s="10">
        <v>523</v>
      </c>
      <c r="AB178" s="10">
        <f t="shared" si="6"/>
        <v>48</v>
      </c>
      <c r="AC178" s="16">
        <f t="shared" si="7"/>
        <v>85.28</v>
      </c>
    </row>
    <row r="179" spans="1:29" ht="37.5" customHeight="1">
      <c r="A179" s="9">
        <v>176</v>
      </c>
      <c r="B179" s="9">
        <v>597</v>
      </c>
      <c r="C179" s="9">
        <v>1</v>
      </c>
      <c r="D179" s="9">
        <v>203</v>
      </c>
      <c r="E179" s="9">
        <v>94</v>
      </c>
      <c r="F179" s="9">
        <v>0</v>
      </c>
      <c r="G179" s="9">
        <v>0</v>
      </c>
      <c r="H179" s="9">
        <v>0</v>
      </c>
      <c r="I179" s="9">
        <v>1</v>
      </c>
      <c r="J179" s="9">
        <v>0</v>
      </c>
      <c r="K179" s="9">
        <v>2</v>
      </c>
      <c r="L179" s="9">
        <v>0</v>
      </c>
      <c r="M179" s="9">
        <v>2</v>
      </c>
      <c r="N179" s="9">
        <v>1</v>
      </c>
      <c r="O179" s="9">
        <v>1</v>
      </c>
      <c r="P179" s="9">
        <v>1</v>
      </c>
      <c r="Q179" s="9">
        <v>903</v>
      </c>
      <c r="R179" s="9">
        <f t="shared" si="0"/>
        <v>903</v>
      </c>
      <c r="S179" s="9">
        <f t="shared" si="1"/>
        <v>0</v>
      </c>
      <c r="T179" s="9">
        <v>7</v>
      </c>
      <c r="U179" s="9">
        <v>910</v>
      </c>
      <c r="V179" s="9">
        <v>0</v>
      </c>
      <c r="W179" s="15" t="s">
        <v>266</v>
      </c>
      <c r="X179" s="15" t="s">
        <v>267</v>
      </c>
      <c r="Y179" s="15">
        <v>1150</v>
      </c>
      <c r="Z179" s="15">
        <v>503</v>
      </c>
      <c r="AA179" s="10">
        <v>494</v>
      </c>
      <c r="AB179" s="10">
        <f t="shared" si="6"/>
        <v>394</v>
      </c>
      <c r="AC179" s="16">
        <f t="shared" si="7"/>
        <v>79.130434782608688</v>
      </c>
    </row>
    <row r="180" spans="1:29" ht="37.5" customHeight="1">
      <c r="A180" s="9">
        <v>177</v>
      </c>
      <c r="B180" s="9">
        <v>342</v>
      </c>
      <c r="C180" s="9">
        <v>4</v>
      </c>
      <c r="D180" s="9">
        <v>133</v>
      </c>
      <c r="E180" s="9">
        <v>188</v>
      </c>
      <c r="F180" s="9">
        <v>0</v>
      </c>
      <c r="G180" s="9">
        <v>0</v>
      </c>
      <c r="H180" s="9">
        <v>0</v>
      </c>
      <c r="I180" s="9">
        <v>5</v>
      </c>
      <c r="J180" s="9">
        <v>0</v>
      </c>
      <c r="K180" s="9">
        <v>0</v>
      </c>
      <c r="L180" s="9">
        <v>1</v>
      </c>
      <c r="M180" s="9">
        <v>1</v>
      </c>
      <c r="N180" s="9">
        <v>1</v>
      </c>
      <c r="O180" s="9">
        <v>0</v>
      </c>
      <c r="P180" s="9">
        <v>0</v>
      </c>
      <c r="Q180" s="9">
        <v>675</v>
      </c>
      <c r="R180" s="9">
        <f t="shared" si="0"/>
        <v>675</v>
      </c>
      <c r="S180" s="9">
        <f t="shared" si="1"/>
        <v>0</v>
      </c>
      <c r="T180" s="9">
        <v>2</v>
      </c>
      <c r="U180" s="9">
        <v>677</v>
      </c>
      <c r="V180" s="9">
        <v>0</v>
      </c>
      <c r="W180" s="15" t="s">
        <v>268</v>
      </c>
      <c r="X180" s="15"/>
      <c r="Y180" s="15">
        <v>1099</v>
      </c>
      <c r="Z180" s="15">
        <v>606</v>
      </c>
      <c r="AA180" s="10">
        <v>492</v>
      </c>
      <c r="AB180" s="10">
        <f t="shared" si="6"/>
        <v>209</v>
      </c>
      <c r="AC180" s="16">
        <f t="shared" si="7"/>
        <v>61.60145586897179</v>
      </c>
    </row>
    <row r="181" spans="1:29" ht="37.5" customHeight="1">
      <c r="A181" s="9">
        <v>178</v>
      </c>
      <c r="B181" s="9">
        <v>478</v>
      </c>
      <c r="C181" s="9">
        <v>2</v>
      </c>
      <c r="D181" s="9">
        <v>219</v>
      </c>
      <c r="E181" s="9">
        <v>38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1</v>
      </c>
      <c r="O181" s="9">
        <v>1</v>
      </c>
      <c r="P181" s="9">
        <v>3</v>
      </c>
      <c r="Q181" s="9">
        <v>742</v>
      </c>
      <c r="R181" s="9">
        <f t="shared" si="0"/>
        <v>742</v>
      </c>
      <c r="S181" s="9">
        <f t="shared" si="1"/>
        <v>0</v>
      </c>
      <c r="T181" s="9">
        <v>3</v>
      </c>
      <c r="U181" s="9">
        <v>745</v>
      </c>
      <c r="V181" s="9">
        <v>0</v>
      </c>
      <c r="W181" s="15" t="s">
        <v>268</v>
      </c>
      <c r="X181" s="15" t="s">
        <v>269</v>
      </c>
      <c r="Y181" s="15">
        <v>1309</v>
      </c>
      <c r="Z181" s="15">
        <v>704</v>
      </c>
      <c r="AA181" s="10">
        <v>605</v>
      </c>
      <c r="AB181" s="10">
        <f t="shared" si="6"/>
        <v>259</v>
      </c>
      <c r="AC181" s="16">
        <f t="shared" si="7"/>
        <v>56.913674560733384</v>
      </c>
    </row>
    <row r="182" spans="1:29" ht="37.5" customHeight="1">
      <c r="A182" s="9">
        <v>179</v>
      </c>
      <c r="B182" s="9">
        <v>330</v>
      </c>
      <c r="C182" s="9">
        <v>5</v>
      </c>
      <c r="D182" s="9">
        <v>124</v>
      </c>
      <c r="E182" s="9">
        <v>327</v>
      </c>
      <c r="F182" s="9">
        <v>1</v>
      </c>
      <c r="G182" s="9">
        <v>1</v>
      </c>
      <c r="H182" s="9">
        <v>0</v>
      </c>
      <c r="I182" s="9">
        <v>2</v>
      </c>
      <c r="J182" s="9">
        <v>1</v>
      </c>
      <c r="K182" s="9">
        <v>8</v>
      </c>
      <c r="L182" s="9">
        <v>1</v>
      </c>
      <c r="M182" s="9">
        <v>2</v>
      </c>
      <c r="N182" s="9">
        <v>0</v>
      </c>
      <c r="O182" s="9">
        <v>2</v>
      </c>
      <c r="P182" s="9">
        <v>1</v>
      </c>
      <c r="Q182" s="9">
        <v>805</v>
      </c>
      <c r="R182" s="9">
        <f t="shared" si="0"/>
        <v>805</v>
      </c>
      <c r="S182" s="9">
        <f t="shared" si="1"/>
        <v>0</v>
      </c>
      <c r="T182" s="9">
        <v>5</v>
      </c>
      <c r="U182" s="9">
        <v>810</v>
      </c>
      <c r="V182" s="9">
        <v>0</v>
      </c>
      <c r="W182" s="15" t="s">
        <v>268</v>
      </c>
      <c r="X182" s="15" t="s">
        <v>270</v>
      </c>
      <c r="Y182" s="15">
        <v>1000</v>
      </c>
      <c r="Z182" s="15">
        <v>252</v>
      </c>
      <c r="AA182" s="10">
        <v>225</v>
      </c>
      <c r="AB182" s="10">
        <f t="shared" si="6"/>
        <v>206</v>
      </c>
      <c r="AC182" s="16">
        <f t="shared" si="7"/>
        <v>81</v>
      </c>
    </row>
    <row r="183" spans="1:29" ht="37.5" customHeight="1">
      <c r="A183" s="11">
        <v>180</v>
      </c>
      <c r="B183" s="11">
        <v>16</v>
      </c>
      <c r="C183" s="11">
        <v>0</v>
      </c>
      <c r="D183" s="11">
        <v>34</v>
      </c>
      <c r="E183" s="11">
        <v>307</v>
      </c>
      <c r="F183" s="11">
        <v>2</v>
      </c>
      <c r="G183" s="11">
        <v>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1</v>
      </c>
      <c r="P183" s="11">
        <v>0</v>
      </c>
      <c r="Q183" s="11">
        <v>361</v>
      </c>
      <c r="R183" s="11">
        <f t="shared" si="0"/>
        <v>361</v>
      </c>
      <c r="S183" s="11">
        <f t="shared" si="1"/>
        <v>0</v>
      </c>
      <c r="T183" s="11">
        <v>2</v>
      </c>
      <c r="U183" s="11">
        <v>363</v>
      </c>
      <c r="V183" s="11">
        <v>0</v>
      </c>
      <c r="W183" s="12" t="s">
        <v>271</v>
      </c>
      <c r="X183" s="12" t="s">
        <v>272</v>
      </c>
      <c r="Y183" s="12">
        <v>1256</v>
      </c>
      <c r="Z183" s="12">
        <v>662</v>
      </c>
      <c r="AA183" s="13">
        <v>594</v>
      </c>
      <c r="AB183" s="13">
        <f t="shared" si="6"/>
        <v>18</v>
      </c>
      <c r="AC183" s="14">
        <f t="shared" si="7"/>
        <v>28.901273885350321</v>
      </c>
    </row>
    <row r="184" spans="1:29" ht="37.5" customHeight="1">
      <c r="A184" s="9">
        <v>181</v>
      </c>
      <c r="B184" s="9">
        <v>367</v>
      </c>
      <c r="C184" s="9">
        <v>3</v>
      </c>
      <c r="D184" s="9">
        <v>64</v>
      </c>
      <c r="E184" s="9">
        <v>535</v>
      </c>
      <c r="F184" s="9">
        <v>2</v>
      </c>
      <c r="G184" s="9">
        <v>0</v>
      </c>
      <c r="H184" s="9">
        <v>0</v>
      </c>
      <c r="I184" s="9">
        <v>0</v>
      </c>
      <c r="J184" s="9">
        <v>2</v>
      </c>
      <c r="K184" s="9">
        <v>9</v>
      </c>
      <c r="L184" s="9">
        <v>1</v>
      </c>
      <c r="M184" s="9">
        <v>3</v>
      </c>
      <c r="N184" s="9">
        <v>5</v>
      </c>
      <c r="O184" s="9">
        <v>2</v>
      </c>
      <c r="P184" s="9">
        <v>2</v>
      </c>
      <c r="Q184" s="9">
        <v>995</v>
      </c>
      <c r="R184" s="9">
        <f t="shared" si="0"/>
        <v>995</v>
      </c>
      <c r="S184" s="9">
        <f t="shared" si="1"/>
        <v>0</v>
      </c>
      <c r="T184" s="9">
        <v>18</v>
      </c>
      <c r="U184" s="9">
        <v>1013</v>
      </c>
      <c r="V184" s="9">
        <v>0</v>
      </c>
      <c r="W184" s="15" t="s">
        <v>273</v>
      </c>
      <c r="X184" s="15" t="s">
        <v>274</v>
      </c>
      <c r="Y184" s="15">
        <v>1150</v>
      </c>
      <c r="Z184" s="15">
        <v>572</v>
      </c>
      <c r="AA184" s="10">
        <v>467</v>
      </c>
      <c r="AB184" s="10">
        <f t="shared" si="6"/>
        <v>303</v>
      </c>
      <c r="AC184" s="16">
        <f t="shared" si="7"/>
        <v>88.08695652173914</v>
      </c>
    </row>
    <row r="185" spans="1:29" ht="37.5" customHeight="1">
      <c r="A185" s="11">
        <v>182</v>
      </c>
      <c r="B185" s="11">
        <v>332</v>
      </c>
      <c r="C185" s="11">
        <v>23</v>
      </c>
      <c r="D185" s="11">
        <v>376</v>
      </c>
      <c r="E185" s="11">
        <v>28</v>
      </c>
      <c r="F185" s="11">
        <v>5</v>
      </c>
      <c r="G185" s="11">
        <v>1</v>
      </c>
      <c r="H185" s="11">
        <v>0</v>
      </c>
      <c r="I185" s="11">
        <v>0</v>
      </c>
      <c r="J185" s="11">
        <v>51</v>
      </c>
      <c r="K185" s="11">
        <v>0</v>
      </c>
      <c r="L185" s="11">
        <v>0</v>
      </c>
      <c r="M185" s="11">
        <v>0</v>
      </c>
      <c r="N185" s="11">
        <v>0</v>
      </c>
      <c r="O185" s="11">
        <v>1</v>
      </c>
      <c r="P185" s="11">
        <v>0</v>
      </c>
      <c r="Q185" s="11">
        <v>817</v>
      </c>
      <c r="R185" s="11">
        <f t="shared" si="0"/>
        <v>817</v>
      </c>
      <c r="S185" s="11">
        <f t="shared" si="1"/>
        <v>0</v>
      </c>
      <c r="T185" s="11">
        <v>3</v>
      </c>
      <c r="U185" s="11">
        <v>820</v>
      </c>
      <c r="V185" s="11">
        <v>0</v>
      </c>
      <c r="W185" s="12" t="s">
        <v>275</v>
      </c>
      <c r="X185" s="12" t="s">
        <v>276</v>
      </c>
      <c r="Y185" s="12">
        <v>1193</v>
      </c>
      <c r="Z185" s="12">
        <v>670</v>
      </c>
      <c r="AA185" s="13">
        <v>514</v>
      </c>
      <c r="AB185" s="13">
        <f t="shared" si="6"/>
        <v>44</v>
      </c>
      <c r="AC185" s="14">
        <f t="shared" si="7"/>
        <v>68.734283319362959</v>
      </c>
    </row>
    <row r="186" spans="1:29" ht="37.5" customHeight="1">
      <c r="A186" s="10">
        <v>183</v>
      </c>
      <c r="B186" s="9">
        <v>359</v>
      </c>
      <c r="C186" s="9">
        <v>36</v>
      </c>
      <c r="D186" s="9">
        <v>313</v>
      </c>
      <c r="E186" s="9">
        <v>132</v>
      </c>
      <c r="F186" s="9">
        <v>1</v>
      </c>
      <c r="G186" s="9">
        <v>4</v>
      </c>
      <c r="H186" s="9">
        <v>0</v>
      </c>
      <c r="I186" s="9">
        <v>0</v>
      </c>
      <c r="J186" s="9">
        <v>5</v>
      </c>
      <c r="K186" s="9">
        <v>1</v>
      </c>
      <c r="L186" s="9">
        <v>0</v>
      </c>
      <c r="M186" s="9">
        <v>1</v>
      </c>
      <c r="N186" s="9">
        <v>3</v>
      </c>
      <c r="O186" s="9">
        <v>0</v>
      </c>
      <c r="P186" s="9">
        <v>0</v>
      </c>
      <c r="Q186" s="9">
        <v>855</v>
      </c>
      <c r="R186" s="9">
        <f t="shared" si="0"/>
        <v>855</v>
      </c>
      <c r="S186" s="9">
        <f t="shared" si="1"/>
        <v>0</v>
      </c>
      <c r="T186" s="9">
        <v>1</v>
      </c>
      <c r="U186" s="9">
        <v>856</v>
      </c>
      <c r="V186" s="9">
        <v>0</v>
      </c>
      <c r="W186" s="15" t="s">
        <v>277</v>
      </c>
      <c r="X186" s="15" t="s">
        <v>278</v>
      </c>
      <c r="Y186" s="15">
        <v>1327</v>
      </c>
      <c r="Z186" s="15">
        <v>713</v>
      </c>
      <c r="AA186" s="10">
        <v>612</v>
      </c>
      <c r="AB186" s="10">
        <f t="shared" si="6"/>
        <v>46</v>
      </c>
      <c r="AC186" s="16">
        <f t="shared" si="7"/>
        <v>64.506405425772414</v>
      </c>
    </row>
    <row r="187" spans="1:29" ht="37.5" customHeight="1">
      <c r="A187" s="11">
        <v>184</v>
      </c>
      <c r="B187" s="11">
        <v>187</v>
      </c>
      <c r="C187" s="11">
        <v>22</v>
      </c>
      <c r="D187" s="11">
        <v>227</v>
      </c>
      <c r="E187" s="11">
        <v>525</v>
      </c>
      <c r="F187" s="11">
        <v>2</v>
      </c>
      <c r="G187" s="11">
        <v>0</v>
      </c>
      <c r="H187" s="11">
        <v>0</v>
      </c>
      <c r="I187" s="11">
        <v>4</v>
      </c>
      <c r="J187" s="11">
        <v>3</v>
      </c>
      <c r="K187" s="11">
        <v>4</v>
      </c>
      <c r="L187" s="11">
        <v>0</v>
      </c>
      <c r="M187" s="11">
        <v>1</v>
      </c>
      <c r="N187" s="11">
        <v>2</v>
      </c>
      <c r="O187" s="11">
        <v>0</v>
      </c>
      <c r="P187" s="11">
        <v>2</v>
      </c>
      <c r="Q187" s="11">
        <v>979</v>
      </c>
      <c r="R187" s="11">
        <f t="shared" si="0"/>
        <v>979</v>
      </c>
      <c r="S187" s="11">
        <f t="shared" si="1"/>
        <v>0</v>
      </c>
      <c r="T187" s="11">
        <v>3</v>
      </c>
      <c r="U187" s="11">
        <v>982</v>
      </c>
      <c r="V187" s="11">
        <v>0</v>
      </c>
      <c r="W187" s="12" t="s">
        <v>279</v>
      </c>
      <c r="X187" s="12" t="s">
        <v>280</v>
      </c>
      <c r="Y187" s="12">
        <v>1227</v>
      </c>
      <c r="Z187" s="12">
        <v>663</v>
      </c>
      <c r="AA187" s="13">
        <v>564</v>
      </c>
      <c r="AB187" s="13">
        <f t="shared" si="6"/>
        <v>40</v>
      </c>
      <c r="AC187" s="14">
        <f t="shared" si="7"/>
        <v>80.032599837000816</v>
      </c>
    </row>
    <row r="188" spans="1:29" ht="37.5" customHeight="1">
      <c r="A188" s="9">
        <v>185</v>
      </c>
      <c r="B188" s="9">
        <v>436</v>
      </c>
      <c r="C188" s="9">
        <v>3</v>
      </c>
      <c r="D188" s="9">
        <v>141</v>
      </c>
      <c r="E188" s="9">
        <v>352</v>
      </c>
      <c r="F188" s="9">
        <v>2</v>
      </c>
      <c r="G188" s="9">
        <v>2</v>
      </c>
      <c r="H188" s="9">
        <v>1</v>
      </c>
      <c r="I188" s="9">
        <v>5</v>
      </c>
      <c r="J188" s="9">
        <v>1</v>
      </c>
      <c r="K188" s="9">
        <v>2</v>
      </c>
      <c r="L188" s="9">
        <v>1</v>
      </c>
      <c r="M188" s="9">
        <v>1</v>
      </c>
      <c r="N188" s="9">
        <v>2</v>
      </c>
      <c r="O188" s="9">
        <v>4</v>
      </c>
      <c r="P188" s="9">
        <v>0</v>
      </c>
      <c r="Q188" s="9">
        <v>953</v>
      </c>
      <c r="R188" s="9">
        <f t="shared" si="0"/>
        <v>953</v>
      </c>
      <c r="S188" s="9">
        <f t="shared" si="1"/>
        <v>0</v>
      </c>
      <c r="T188" s="9">
        <v>2</v>
      </c>
      <c r="U188" s="9">
        <v>955</v>
      </c>
      <c r="V188" s="9">
        <v>0</v>
      </c>
      <c r="W188" s="15" t="s">
        <v>281</v>
      </c>
      <c r="X188" s="15" t="s">
        <v>282</v>
      </c>
      <c r="Y188" s="15">
        <v>1216</v>
      </c>
      <c r="Z188" s="15">
        <v>642</v>
      </c>
      <c r="AA188" s="10">
        <v>573</v>
      </c>
      <c r="AB188" s="10">
        <f t="shared" si="6"/>
        <v>295</v>
      </c>
      <c r="AC188" s="16">
        <f t="shared" si="7"/>
        <v>78.536184210526315</v>
      </c>
    </row>
    <row r="189" spans="1:29" ht="37.5" customHeight="1">
      <c r="A189" s="9">
        <v>186</v>
      </c>
      <c r="B189" s="9">
        <v>407</v>
      </c>
      <c r="C189" s="9">
        <v>11</v>
      </c>
      <c r="D189" s="9">
        <v>264</v>
      </c>
      <c r="E189" s="9">
        <v>276</v>
      </c>
      <c r="F189" s="9">
        <v>1</v>
      </c>
      <c r="G189" s="9">
        <v>0</v>
      </c>
      <c r="H189" s="9">
        <v>1</v>
      </c>
      <c r="I189" s="9">
        <v>3</v>
      </c>
      <c r="J189" s="9">
        <v>9</v>
      </c>
      <c r="K189" s="9">
        <v>0</v>
      </c>
      <c r="L189" s="9">
        <v>0</v>
      </c>
      <c r="M189" s="9">
        <v>1</v>
      </c>
      <c r="N189" s="9">
        <v>1</v>
      </c>
      <c r="O189" s="9">
        <v>0</v>
      </c>
      <c r="P189" s="9">
        <v>0</v>
      </c>
      <c r="Q189" s="9">
        <v>974</v>
      </c>
      <c r="R189" s="9">
        <f t="shared" si="0"/>
        <v>974</v>
      </c>
      <c r="S189" s="9">
        <f t="shared" si="1"/>
        <v>0</v>
      </c>
      <c r="T189" s="9">
        <v>2</v>
      </c>
      <c r="U189" s="9">
        <v>976</v>
      </c>
      <c r="V189" s="9">
        <v>0</v>
      </c>
      <c r="W189" s="15" t="s">
        <v>283</v>
      </c>
      <c r="X189" s="15" t="s">
        <v>284</v>
      </c>
      <c r="Y189" s="15">
        <v>1148</v>
      </c>
      <c r="Z189" s="15">
        <v>603</v>
      </c>
      <c r="AA189" s="10">
        <v>544</v>
      </c>
      <c r="AB189" s="10">
        <f t="shared" si="6"/>
        <v>143</v>
      </c>
      <c r="AC189" s="16">
        <f t="shared" si="7"/>
        <v>85.017421602787451</v>
      </c>
    </row>
    <row r="190" spans="1:29" ht="37.5" customHeight="1">
      <c r="A190" s="9">
        <v>187</v>
      </c>
      <c r="B190" s="9">
        <v>341</v>
      </c>
      <c r="C190" s="9">
        <v>115</v>
      </c>
      <c r="D190" s="9">
        <v>291</v>
      </c>
      <c r="E190" s="9">
        <v>62</v>
      </c>
      <c r="F190" s="9">
        <v>2</v>
      </c>
      <c r="G190" s="9">
        <v>5</v>
      </c>
      <c r="H190" s="9">
        <v>0</v>
      </c>
      <c r="I190" s="9">
        <v>0</v>
      </c>
      <c r="J190" s="9">
        <v>6</v>
      </c>
      <c r="K190" s="9">
        <v>1</v>
      </c>
      <c r="L190" s="9">
        <v>0</v>
      </c>
      <c r="M190" s="9">
        <v>2</v>
      </c>
      <c r="N190" s="9">
        <v>0</v>
      </c>
      <c r="O190" s="9">
        <v>0</v>
      </c>
      <c r="P190" s="9">
        <v>1</v>
      </c>
      <c r="Q190" s="9">
        <v>826</v>
      </c>
      <c r="R190" s="9">
        <f t="shared" si="0"/>
        <v>826</v>
      </c>
      <c r="S190" s="9">
        <f t="shared" si="1"/>
        <v>0</v>
      </c>
      <c r="T190" s="9">
        <v>2</v>
      </c>
      <c r="U190" s="9">
        <v>828</v>
      </c>
      <c r="V190" s="9">
        <v>0</v>
      </c>
      <c r="W190" s="15" t="s">
        <v>285</v>
      </c>
      <c r="X190" s="15" t="s">
        <v>286</v>
      </c>
      <c r="Y190" s="15">
        <v>1191</v>
      </c>
      <c r="Z190" s="15">
        <v>618</v>
      </c>
      <c r="AA190" s="10">
        <v>572</v>
      </c>
      <c r="AB190" s="10">
        <f t="shared" si="6"/>
        <v>50</v>
      </c>
      <c r="AC190" s="16">
        <f t="shared" si="7"/>
        <v>69.521410579345087</v>
      </c>
    </row>
    <row r="191" spans="1:29" ht="37.5" customHeight="1">
      <c r="A191" s="9">
        <v>188</v>
      </c>
      <c r="B191" s="9">
        <v>323</v>
      </c>
      <c r="C191" s="9">
        <v>33</v>
      </c>
      <c r="D191" s="9">
        <v>225</v>
      </c>
      <c r="E191" s="9">
        <v>265</v>
      </c>
      <c r="F191" s="9">
        <v>1</v>
      </c>
      <c r="G191" s="9">
        <v>1</v>
      </c>
      <c r="H191" s="9">
        <v>1</v>
      </c>
      <c r="I191" s="9">
        <v>8</v>
      </c>
      <c r="J191" s="9">
        <v>31</v>
      </c>
      <c r="K191" s="9">
        <v>2</v>
      </c>
      <c r="L191" s="9">
        <v>1</v>
      </c>
      <c r="M191" s="9">
        <v>0</v>
      </c>
      <c r="N191" s="9">
        <v>1</v>
      </c>
      <c r="O191" s="9">
        <v>3</v>
      </c>
      <c r="P191" s="9">
        <v>0</v>
      </c>
      <c r="Q191" s="9">
        <v>895</v>
      </c>
      <c r="R191" s="9">
        <f t="shared" si="0"/>
        <v>895</v>
      </c>
      <c r="S191" s="9">
        <f t="shared" si="1"/>
        <v>0</v>
      </c>
      <c r="T191" s="9">
        <v>2</v>
      </c>
      <c r="U191" s="9">
        <v>897</v>
      </c>
      <c r="V191" s="9">
        <v>0</v>
      </c>
      <c r="W191" s="15" t="s">
        <v>287</v>
      </c>
      <c r="X191" s="15" t="s">
        <v>288</v>
      </c>
      <c r="Y191" s="15">
        <v>1139</v>
      </c>
      <c r="Z191" s="15">
        <v>611</v>
      </c>
      <c r="AA191" s="10">
        <v>528</v>
      </c>
      <c r="AB191" s="10">
        <f t="shared" si="6"/>
        <v>98</v>
      </c>
      <c r="AC191" s="16">
        <f t="shared" si="7"/>
        <v>78.75329236172081</v>
      </c>
    </row>
    <row r="192" spans="1:29" ht="37.5" customHeight="1">
      <c r="A192" s="11">
        <v>189</v>
      </c>
      <c r="B192" s="11">
        <v>218</v>
      </c>
      <c r="C192" s="11">
        <v>15</v>
      </c>
      <c r="D192" s="11">
        <v>267</v>
      </c>
      <c r="E192" s="11">
        <v>273</v>
      </c>
      <c r="F192" s="11">
        <v>0</v>
      </c>
      <c r="G192" s="11">
        <v>0</v>
      </c>
      <c r="H192" s="11">
        <v>1</v>
      </c>
      <c r="I192" s="11">
        <v>2</v>
      </c>
      <c r="J192" s="11">
        <v>4</v>
      </c>
      <c r="K192" s="11">
        <v>1</v>
      </c>
      <c r="L192" s="11">
        <v>2</v>
      </c>
      <c r="M192" s="11">
        <v>2</v>
      </c>
      <c r="N192" s="11">
        <v>3</v>
      </c>
      <c r="O192" s="11">
        <v>1</v>
      </c>
      <c r="P192" s="11">
        <v>1</v>
      </c>
      <c r="Q192" s="11">
        <v>790</v>
      </c>
      <c r="R192" s="11">
        <f t="shared" si="0"/>
        <v>790</v>
      </c>
      <c r="S192" s="11">
        <f t="shared" si="1"/>
        <v>0</v>
      </c>
      <c r="T192" s="11">
        <v>4</v>
      </c>
      <c r="U192" s="11">
        <v>794</v>
      </c>
      <c r="V192" s="11">
        <v>0</v>
      </c>
      <c r="W192" s="12" t="s">
        <v>289</v>
      </c>
      <c r="X192" s="12" t="s">
        <v>290</v>
      </c>
      <c r="Y192" s="12">
        <v>900</v>
      </c>
      <c r="Z192" s="12">
        <v>403</v>
      </c>
      <c r="AA192" s="13">
        <v>361</v>
      </c>
      <c r="AB192" s="13">
        <f t="shared" si="6"/>
        <v>49</v>
      </c>
      <c r="AC192" s="14">
        <f t="shared" si="7"/>
        <v>88.222222222222229</v>
      </c>
    </row>
    <row r="193" spans="1:29" ht="37.5" customHeight="1">
      <c r="A193" s="9">
        <v>190</v>
      </c>
      <c r="B193" s="9">
        <v>234</v>
      </c>
      <c r="C193" s="9">
        <v>0</v>
      </c>
      <c r="D193" s="9">
        <v>28</v>
      </c>
      <c r="E193" s="9">
        <v>376</v>
      </c>
      <c r="F193" s="9">
        <v>4</v>
      </c>
      <c r="G193" s="9">
        <v>0</v>
      </c>
      <c r="H193" s="9">
        <v>0</v>
      </c>
      <c r="I193" s="9">
        <v>4</v>
      </c>
      <c r="J193" s="9">
        <v>0</v>
      </c>
      <c r="K193" s="9">
        <v>10</v>
      </c>
      <c r="L193" s="9">
        <v>0</v>
      </c>
      <c r="M193" s="9">
        <v>3</v>
      </c>
      <c r="N193" s="9">
        <v>4</v>
      </c>
      <c r="O193" s="9">
        <v>0</v>
      </c>
      <c r="P193" s="9">
        <v>1</v>
      </c>
      <c r="Q193" s="9">
        <v>664</v>
      </c>
      <c r="R193" s="9">
        <f t="shared" si="0"/>
        <v>664</v>
      </c>
      <c r="S193" s="9">
        <f t="shared" si="1"/>
        <v>0</v>
      </c>
      <c r="T193" s="9">
        <v>0</v>
      </c>
      <c r="U193" s="9">
        <v>664</v>
      </c>
      <c r="V193" s="9">
        <v>0</v>
      </c>
      <c r="W193" s="15" t="s">
        <v>291</v>
      </c>
      <c r="X193" s="15" t="s">
        <v>292</v>
      </c>
      <c r="Y193" s="15">
        <v>832</v>
      </c>
      <c r="Z193" s="15">
        <v>452</v>
      </c>
      <c r="AA193" s="10">
        <v>377</v>
      </c>
      <c r="AB193" s="10">
        <f t="shared" si="6"/>
        <v>206</v>
      </c>
      <c r="AC193" s="16">
        <f t="shared" si="7"/>
        <v>79.807692307692307</v>
      </c>
    </row>
    <row r="194" spans="1:29" ht="37.5" customHeight="1">
      <c r="A194" s="9">
        <v>191</v>
      </c>
      <c r="B194" s="9">
        <v>444</v>
      </c>
      <c r="C194" s="9">
        <v>2</v>
      </c>
      <c r="D194" s="9">
        <v>150</v>
      </c>
      <c r="E194" s="9">
        <v>2</v>
      </c>
      <c r="F194" s="9">
        <v>0</v>
      </c>
      <c r="G194" s="9">
        <v>1</v>
      </c>
      <c r="H194" s="9">
        <v>0</v>
      </c>
      <c r="I194" s="9">
        <v>0</v>
      </c>
      <c r="J194" s="9">
        <v>0</v>
      </c>
      <c r="K194" s="9">
        <v>0</v>
      </c>
      <c r="L194" s="9">
        <v>1</v>
      </c>
      <c r="M194" s="9">
        <v>2</v>
      </c>
      <c r="N194" s="9">
        <v>0</v>
      </c>
      <c r="O194" s="9">
        <v>0</v>
      </c>
      <c r="P194" s="9">
        <v>0</v>
      </c>
      <c r="Q194" s="9">
        <v>602</v>
      </c>
      <c r="R194" s="9">
        <f t="shared" si="0"/>
        <v>602</v>
      </c>
      <c r="S194" s="9">
        <f t="shared" si="1"/>
        <v>0</v>
      </c>
      <c r="T194" s="9">
        <v>0</v>
      </c>
      <c r="U194" s="9">
        <v>602</v>
      </c>
      <c r="V194" s="9">
        <v>0</v>
      </c>
      <c r="W194" s="15" t="s">
        <v>291</v>
      </c>
      <c r="X194" s="15" t="s">
        <v>293</v>
      </c>
      <c r="Y194" s="15">
        <v>826</v>
      </c>
      <c r="Z194" s="15">
        <v>446</v>
      </c>
      <c r="AA194" s="10">
        <v>376</v>
      </c>
      <c r="AB194" s="10">
        <f t="shared" si="6"/>
        <v>294</v>
      </c>
      <c r="AC194" s="16">
        <f t="shared" si="7"/>
        <v>72.881355932203391</v>
      </c>
    </row>
    <row r="195" spans="1:29" ht="37.5" customHeight="1">
      <c r="A195" s="9">
        <v>192</v>
      </c>
      <c r="B195" s="9">
        <v>363</v>
      </c>
      <c r="C195" s="9">
        <v>4</v>
      </c>
      <c r="D195" s="9">
        <v>166</v>
      </c>
      <c r="E195" s="9">
        <v>58</v>
      </c>
      <c r="F195" s="9">
        <v>2</v>
      </c>
      <c r="G195" s="9">
        <v>0</v>
      </c>
      <c r="H195" s="9">
        <v>0</v>
      </c>
      <c r="I195" s="9">
        <v>5</v>
      </c>
      <c r="J195" s="9">
        <v>0</v>
      </c>
      <c r="K195" s="9">
        <v>0</v>
      </c>
      <c r="L195" s="9">
        <v>0</v>
      </c>
      <c r="M195" s="9">
        <v>0</v>
      </c>
      <c r="N195" s="9">
        <v>1</v>
      </c>
      <c r="O195" s="9">
        <v>3</v>
      </c>
      <c r="P195" s="9">
        <v>0</v>
      </c>
      <c r="Q195" s="9">
        <v>602</v>
      </c>
      <c r="R195" s="9">
        <f t="shared" si="0"/>
        <v>602</v>
      </c>
      <c r="S195" s="9">
        <f t="shared" si="1"/>
        <v>0</v>
      </c>
      <c r="T195" s="9">
        <v>5</v>
      </c>
      <c r="U195" s="9">
        <v>607</v>
      </c>
      <c r="V195" s="9">
        <v>0</v>
      </c>
      <c r="W195" s="15" t="s">
        <v>291</v>
      </c>
      <c r="X195" s="15" t="s">
        <v>292</v>
      </c>
      <c r="Y195" s="15">
        <v>1037</v>
      </c>
      <c r="Z195" s="15">
        <v>537</v>
      </c>
      <c r="AA195" s="10">
        <v>492</v>
      </c>
      <c r="AB195" s="10">
        <f t="shared" si="6"/>
        <v>197</v>
      </c>
      <c r="AC195" s="16">
        <f t="shared" si="7"/>
        <v>58.534233365477341</v>
      </c>
    </row>
    <row r="196" spans="1:29" ht="37.5" customHeight="1">
      <c r="A196" s="9">
        <v>193</v>
      </c>
      <c r="B196" s="9">
        <v>234</v>
      </c>
      <c r="C196" s="9">
        <v>5</v>
      </c>
      <c r="D196" s="9">
        <v>124</v>
      </c>
      <c r="E196" s="9">
        <v>451</v>
      </c>
      <c r="F196" s="9">
        <v>3</v>
      </c>
      <c r="G196" s="9">
        <v>0</v>
      </c>
      <c r="H196" s="9">
        <v>0</v>
      </c>
      <c r="I196" s="9">
        <v>0</v>
      </c>
      <c r="J196" s="9">
        <v>1</v>
      </c>
      <c r="K196" s="9">
        <v>0</v>
      </c>
      <c r="L196" s="9">
        <v>2</v>
      </c>
      <c r="M196" s="9">
        <v>1</v>
      </c>
      <c r="N196" s="9">
        <v>2</v>
      </c>
      <c r="O196" s="9">
        <v>3</v>
      </c>
      <c r="P196" s="9">
        <v>0</v>
      </c>
      <c r="Q196" s="9">
        <v>826</v>
      </c>
      <c r="R196" s="9">
        <f t="shared" si="0"/>
        <v>826</v>
      </c>
      <c r="S196" s="9">
        <f t="shared" si="1"/>
        <v>0</v>
      </c>
      <c r="T196" s="9">
        <v>6</v>
      </c>
      <c r="U196" s="9">
        <v>832</v>
      </c>
      <c r="V196" s="9">
        <v>0</v>
      </c>
      <c r="W196" s="15" t="s">
        <v>291</v>
      </c>
      <c r="X196" s="15" t="s">
        <v>294</v>
      </c>
      <c r="Y196" s="15">
        <v>920</v>
      </c>
      <c r="Z196" s="15">
        <v>182</v>
      </c>
      <c r="AA196" s="10">
        <v>219</v>
      </c>
      <c r="AB196" s="10">
        <f t="shared" ref="AB196:AB259" si="8">MAX(B196,D196)-MIN(B196,D196)</f>
        <v>110</v>
      </c>
      <c r="AC196" s="16">
        <f t="shared" ref="AC196:AC259" si="9">(U196/Y196)*100</f>
        <v>90.434782608695656</v>
      </c>
    </row>
    <row r="197" spans="1:29" ht="37.5" customHeight="1">
      <c r="A197" s="9">
        <v>194</v>
      </c>
      <c r="B197" s="9">
        <v>181</v>
      </c>
      <c r="C197" s="9">
        <v>1</v>
      </c>
      <c r="D197" s="9">
        <v>78</v>
      </c>
      <c r="E197" s="9">
        <v>3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1</v>
      </c>
      <c r="Q197" s="9">
        <v>264</v>
      </c>
      <c r="R197" s="9">
        <f t="shared" si="0"/>
        <v>264</v>
      </c>
      <c r="S197" s="9">
        <f t="shared" si="1"/>
        <v>0</v>
      </c>
      <c r="T197" s="9">
        <v>0</v>
      </c>
      <c r="U197" s="9">
        <v>264</v>
      </c>
      <c r="V197" s="9">
        <v>0</v>
      </c>
      <c r="W197" s="15" t="s">
        <v>291</v>
      </c>
      <c r="X197" s="15" t="s">
        <v>295</v>
      </c>
      <c r="Y197" s="15">
        <v>1234</v>
      </c>
      <c r="Z197" s="15">
        <v>624</v>
      </c>
      <c r="AA197" s="10">
        <v>566</v>
      </c>
      <c r="AB197" s="10">
        <f t="shared" si="8"/>
        <v>103</v>
      </c>
      <c r="AC197" s="16">
        <f t="shared" si="9"/>
        <v>21.393841166936792</v>
      </c>
    </row>
    <row r="198" spans="1:29" ht="37.5" customHeight="1">
      <c r="A198" s="9">
        <v>195</v>
      </c>
      <c r="B198" s="9">
        <v>448</v>
      </c>
      <c r="C198" s="9">
        <v>6</v>
      </c>
      <c r="D198" s="9">
        <v>294</v>
      </c>
      <c r="E198" s="9">
        <v>113</v>
      </c>
      <c r="F198" s="9">
        <v>0</v>
      </c>
      <c r="G198" s="9">
        <v>0</v>
      </c>
      <c r="H198" s="9">
        <v>1</v>
      </c>
      <c r="I198" s="9">
        <v>1</v>
      </c>
      <c r="J198" s="9">
        <v>0</v>
      </c>
      <c r="K198" s="9">
        <v>0</v>
      </c>
      <c r="L198" s="9">
        <v>1</v>
      </c>
      <c r="M198" s="9">
        <v>1</v>
      </c>
      <c r="N198" s="9">
        <v>0</v>
      </c>
      <c r="O198" s="9">
        <v>0</v>
      </c>
      <c r="P198" s="9">
        <v>0</v>
      </c>
      <c r="Q198" s="9">
        <v>865</v>
      </c>
      <c r="R198" s="9">
        <f t="shared" si="0"/>
        <v>865</v>
      </c>
      <c r="S198" s="9">
        <f t="shared" si="1"/>
        <v>0</v>
      </c>
      <c r="T198" s="9">
        <v>5</v>
      </c>
      <c r="U198" s="9">
        <v>870</v>
      </c>
      <c r="V198" s="9">
        <v>0</v>
      </c>
      <c r="W198" s="15" t="s">
        <v>291</v>
      </c>
      <c r="X198" s="15" t="s">
        <v>296</v>
      </c>
      <c r="Y198" s="15">
        <v>980</v>
      </c>
      <c r="Z198" s="15">
        <v>447</v>
      </c>
      <c r="AA198" s="10">
        <v>398</v>
      </c>
      <c r="AB198" s="10">
        <f t="shared" si="8"/>
        <v>154</v>
      </c>
      <c r="AC198" s="16">
        <f t="shared" si="9"/>
        <v>88.775510204081627</v>
      </c>
    </row>
    <row r="199" spans="1:29" ht="37.5" customHeight="1">
      <c r="A199" s="11">
        <v>196</v>
      </c>
      <c r="B199" s="11">
        <v>262</v>
      </c>
      <c r="C199" s="11">
        <v>1</v>
      </c>
      <c r="D199" s="11">
        <v>357</v>
      </c>
      <c r="E199" s="11">
        <v>1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1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622</v>
      </c>
      <c r="R199" s="11">
        <f t="shared" si="0"/>
        <v>622</v>
      </c>
      <c r="S199" s="11">
        <f t="shared" si="1"/>
        <v>0</v>
      </c>
      <c r="T199" s="11">
        <v>5</v>
      </c>
      <c r="U199" s="11">
        <v>627</v>
      </c>
      <c r="V199" s="11">
        <v>0</v>
      </c>
      <c r="W199" s="12" t="s">
        <v>291</v>
      </c>
      <c r="X199" s="12" t="s">
        <v>297</v>
      </c>
      <c r="Y199" s="12">
        <v>1190</v>
      </c>
      <c r="Z199" s="12">
        <v>602</v>
      </c>
      <c r="AA199" s="13">
        <v>579</v>
      </c>
      <c r="AB199" s="13">
        <f t="shared" si="8"/>
        <v>95</v>
      </c>
      <c r="AC199" s="14">
        <f t="shared" si="9"/>
        <v>52.689075630252105</v>
      </c>
    </row>
    <row r="200" spans="1:29" ht="37.5" customHeight="1">
      <c r="A200" s="9">
        <v>197</v>
      </c>
      <c r="B200" s="9">
        <v>473</v>
      </c>
      <c r="C200" s="9">
        <v>1</v>
      </c>
      <c r="D200" s="9">
        <v>356</v>
      </c>
      <c r="E200" s="9">
        <v>5</v>
      </c>
      <c r="F200" s="9">
        <v>1</v>
      </c>
      <c r="G200" s="9">
        <v>1</v>
      </c>
      <c r="H200" s="9">
        <v>0</v>
      </c>
      <c r="I200" s="9">
        <v>0</v>
      </c>
      <c r="J200" s="9">
        <v>1</v>
      </c>
      <c r="K200" s="9">
        <v>0</v>
      </c>
      <c r="L200" s="9">
        <v>1</v>
      </c>
      <c r="M200" s="9">
        <v>1</v>
      </c>
      <c r="N200" s="9">
        <v>0</v>
      </c>
      <c r="O200" s="9">
        <v>0</v>
      </c>
      <c r="P200" s="9">
        <v>0</v>
      </c>
      <c r="Q200" s="9">
        <v>840</v>
      </c>
      <c r="R200" s="9">
        <f t="shared" si="0"/>
        <v>840</v>
      </c>
      <c r="S200" s="9">
        <f t="shared" si="1"/>
        <v>0</v>
      </c>
      <c r="T200" s="9">
        <v>4</v>
      </c>
      <c r="U200" s="9">
        <v>844</v>
      </c>
      <c r="V200" s="9">
        <v>0</v>
      </c>
      <c r="W200" s="15" t="s">
        <v>291</v>
      </c>
      <c r="X200" s="15" t="s">
        <v>298</v>
      </c>
      <c r="Y200" s="15">
        <v>950</v>
      </c>
      <c r="Z200" s="15">
        <v>429</v>
      </c>
      <c r="AA200" s="10">
        <v>361</v>
      </c>
      <c r="AB200" s="10">
        <f t="shared" si="8"/>
        <v>117</v>
      </c>
      <c r="AC200" s="16">
        <f t="shared" si="9"/>
        <v>88.842105263157904</v>
      </c>
    </row>
    <row r="201" spans="1:29" ht="37.5" customHeight="1">
      <c r="A201" s="9">
        <v>198</v>
      </c>
      <c r="B201" s="9">
        <v>319</v>
      </c>
      <c r="C201" s="9">
        <v>4</v>
      </c>
      <c r="D201" s="9">
        <v>158</v>
      </c>
      <c r="E201" s="9">
        <v>22</v>
      </c>
      <c r="F201" s="9">
        <v>1</v>
      </c>
      <c r="G201" s="9">
        <v>0</v>
      </c>
      <c r="H201" s="9">
        <v>0</v>
      </c>
      <c r="I201" s="9">
        <v>0</v>
      </c>
      <c r="J201" s="9">
        <v>0</v>
      </c>
      <c r="K201" s="9">
        <v>1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505</v>
      </c>
      <c r="R201" s="9">
        <f t="shared" si="0"/>
        <v>505</v>
      </c>
      <c r="S201" s="9">
        <f t="shared" si="1"/>
        <v>0</v>
      </c>
      <c r="T201" s="9">
        <v>2</v>
      </c>
      <c r="U201" s="9">
        <v>507</v>
      </c>
      <c r="V201" s="9">
        <v>0</v>
      </c>
      <c r="W201" s="15" t="s">
        <v>291</v>
      </c>
      <c r="X201" s="15" t="s">
        <v>299</v>
      </c>
      <c r="Y201" s="15">
        <v>986</v>
      </c>
      <c r="Z201" s="15">
        <v>518</v>
      </c>
      <c r="AA201" s="10">
        <v>467</v>
      </c>
      <c r="AB201" s="10">
        <f t="shared" si="8"/>
        <v>161</v>
      </c>
      <c r="AC201" s="16">
        <f t="shared" si="9"/>
        <v>51.419878296146052</v>
      </c>
    </row>
    <row r="202" spans="1:29" ht="37.5" customHeight="1">
      <c r="A202" s="9">
        <v>199</v>
      </c>
      <c r="B202" s="9">
        <v>446</v>
      </c>
      <c r="C202" s="9">
        <v>15</v>
      </c>
      <c r="D202" s="9">
        <v>246</v>
      </c>
      <c r="E202" s="9">
        <v>69</v>
      </c>
      <c r="F202" s="9">
        <v>0</v>
      </c>
      <c r="G202" s="9">
        <v>2</v>
      </c>
      <c r="H202" s="9">
        <v>0</v>
      </c>
      <c r="I202" s="9">
        <v>1</v>
      </c>
      <c r="J202" s="9">
        <v>1</v>
      </c>
      <c r="K202" s="9">
        <v>0</v>
      </c>
      <c r="L202" s="9">
        <v>0</v>
      </c>
      <c r="M202" s="9">
        <v>0</v>
      </c>
      <c r="N202" s="9">
        <v>1</v>
      </c>
      <c r="O202" s="9">
        <v>1</v>
      </c>
      <c r="P202" s="9">
        <v>0</v>
      </c>
      <c r="Q202" s="9">
        <v>782</v>
      </c>
      <c r="R202" s="9">
        <f t="shared" si="0"/>
        <v>782</v>
      </c>
      <c r="S202" s="9">
        <f t="shared" si="1"/>
        <v>0</v>
      </c>
      <c r="T202" s="9">
        <v>3</v>
      </c>
      <c r="U202" s="9">
        <v>785</v>
      </c>
      <c r="V202" s="9">
        <v>0</v>
      </c>
      <c r="W202" s="15" t="s">
        <v>291</v>
      </c>
      <c r="X202" s="15" t="s">
        <v>300</v>
      </c>
      <c r="Y202" s="15">
        <v>850</v>
      </c>
      <c r="Z202" s="15">
        <v>239</v>
      </c>
      <c r="AA202" s="10">
        <v>204</v>
      </c>
      <c r="AB202" s="10">
        <f t="shared" si="8"/>
        <v>200</v>
      </c>
      <c r="AC202" s="16">
        <f t="shared" si="9"/>
        <v>92.352941176470594</v>
      </c>
    </row>
    <row r="203" spans="1:29" ht="37.5" customHeight="1">
      <c r="A203" s="9">
        <v>200</v>
      </c>
      <c r="B203" s="9">
        <v>236</v>
      </c>
      <c r="C203" s="9">
        <v>2</v>
      </c>
      <c r="D203" s="9">
        <v>83</v>
      </c>
      <c r="E203" s="9">
        <v>3</v>
      </c>
      <c r="F203" s="9">
        <v>0</v>
      </c>
      <c r="G203" s="9"/>
      <c r="H203" s="9">
        <v>0</v>
      </c>
      <c r="I203" s="9">
        <v>0</v>
      </c>
      <c r="J203" s="9">
        <v>4</v>
      </c>
      <c r="K203" s="9">
        <v>0</v>
      </c>
      <c r="L203" s="9">
        <v>0</v>
      </c>
      <c r="M203" s="9">
        <v>0</v>
      </c>
      <c r="N203" s="9">
        <v>0</v>
      </c>
      <c r="O203" s="9">
        <v>1</v>
      </c>
      <c r="P203" s="9">
        <v>0</v>
      </c>
      <c r="Q203" s="9">
        <v>329</v>
      </c>
      <c r="R203" s="9">
        <f t="shared" si="0"/>
        <v>329</v>
      </c>
      <c r="S203" s="9">
        <f t="shared" si="1"/>
        <v>0</v>
      </c>
      <c r="T203" s="9">
        <v>2</v>
      </c>
      <c r="U203" s="9">
        <v>331</v>
      </c>
      <c r="V203" s="9">
        <v>0</v>
      </c>
      <c r="W203" s="15" t="s">
        <v>291</v>
      </c>
      <c r="X203" s="15" t="s">
        <v>301</v>
      </c>
      <c r="Y203" s="15">
        <v>574</v>
      </c>
      <c r="Z203" s="15">
        <v>292</v>
      </c>
      <c r="AA203" s="10">
        <v>280</v>
      </c>
      <c r="AB203" s="10">
        <f t="shared" si="8"/>
        <v>153</v>
      </c>
      <c r="AC203" s="16">
        <f t="shared" si="9"/>
        <v>57.665505226480839</v>
      </c>
    </row>
    <row r="204" spans="1:29" ht="37.5" customHeight="1">
      <c r="A204" s="11">
        <v>201</v>
      </c>
      <c r="B204" s="11">
        <v>184</v>
      </c>
      <c r="C204" s="11">
        <v>3</v>
      </c>
      <c r="D204" s="11">
        <v>199</v>
      </c>
      <c r="E204" s="11">
        <v>3</v>
      </c>
      <c r="F204" s="11">
        <v>0</v>
      </c>
      <c r="G204" s="11">
        <v>0</v>
      </c>
      <c r="H204" s="11">
        <v>0</v>
      </c>
      <c r="I204" s="11">
        <v>0</v>
      </c>
      <c r="J204" s="11">
        <v>2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391</v>
      </c>
      <c r="R204" s="11">
        <f t="shared" si="0"/>
        <v>391</v>
      </c>
      <c r="S204" s="11">
        <f t="shared" si="1"/>
        <v>0</v>
      </c>
      <c r="T204" s="11">
        <v>0</v>
      </c>
      <c r="U204" s="11">
        <v>391</v>
      </c>
      <c r="V204" s="11">
        <v>0</v>
      </c>
      <c r="W204" s="12" t="s">
        <v>291</v>
      </c>
      <c r="X204" s="12" t="s">
        <v>302</v>
      </c>
      <c r="Y204" s="12">
        <v>789</v>
      </c>
      <c r="Z204" s="12">
        <v>422</v>
      </c>
      <c r="AA204" s="13">
        <v>359</v>
      </c>
      <c r="AB204" s="13">
        <f t="shared" si="8"/>
        <v>15</v>
      </c>
      <c r="AC204" s="14">
        <f t="shared" si="9"/>
        <v>49.556400506970846</v>
      </c>
    </row>
    <row r="205" spans="1:29" ht="37.5" customHeight="1">
      <c r="A205" s="9">
        <v>202</v>
      </c>
      <c r="B205" s="9">
        <v>386</v>
      </c>
      <c r="C205" s="9">
        <v>1</v>
      </c>
      <c r="D205" s="9">
        <v>107</v>
      </c>
      <c r="E205" s="9">
        <v>11</v>
      </c>
      <c r="F205" s="9">
        <v>0</v>
      </c>
      <c r="G205" s="9">
        <v>0</v>
      </c>
      <c r="H205" s="9">
        <v>0</v>
      </c>
      <c r="I205" s="9">
        <v>11</v>
      </c>
      <c r="J205" s="9">
        <v>0</v>
      </c>
      <c r="K205" s="9">
        <v>1</v>
      </c>
      <c r="L205" s="9">
        <v>0</v>
      </c>
      <c r="M205" s="9">
        <v>1</v>
      </c>
      <c r="N205" s="9">
        <v>0</v>
      </c>
      <c r="O205" s="9">
        <v>0</v>
      </c>
      <c r="P205" s="9">
        <v>2</v>
      </c>
      <c r="Q205" s="9">
        <v>520</v>
      </c>
      <c r="R205" s="9">
        <f t="shared" si="0"/>
        <v>520</v>
      </c>
      <c r="S205" s="9">
        <f t="shared" si="1"/>
        <v>0</v>
      </c>
      <c r="T205" s="9">
        <v>4</v>
      </c>
      <c r="U205" s="9">
        <v>524</v>
      </c>
      <c r="V205" s="9">
        <v>0</v>
      </c>
      <c r="W205" s="15" t="s">
        <v>291</v>
      </c>
      <c r="X205" s="15" t="s">
        <v>303</v>
      </c>
      <c r="Y205" s="15">
        <v>1021</v>
      </c>
      <c r="Z205" s="15">
        <v>524</v>
      </c>
      <c r="AA205" s="10">
        <v>485</v>
      </c>
      <c r="AB205" s="10">
        <f t="shared" si="8"/>
        <v>279</v>
      </c>
      <c r="AC205" s="16">
        <f t="shared" si="9"/>
        <v>51.322233104799217</v>
      </c>
    </row>
    <row r="206" spans="1:29" ht="37.5" customHeight="1">
      <c r="A206" s="9">
        <v>203</v>
      </c>
      <c r="B206" s="9">
        <v>374</v>
      </c>
      <c r="C206" s="9">
        <v>5</v>
      </c>
      <c r="D206" s="9">
        <v>295</v>
      </c>
      <c r="E206" s="9">
        <v>8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</v>
      </c>
      <c r="O206" s="9">
        <v>0</v>
      </c>
      <c r="P206" s="9">
        <v>0</v>
      </c>
      <c r="Q206" s="9">
        <v>683</v>
      </c>
      <c r="R206" s="9">
        <f t="shared" si="0"/>
        <v>683</v>
      </c>
      <c r="S206" s="9">
        <f t="shared" si="1"/>
        <v>0</v>
      </c>
      <c r="T206" s="9">
        <v>9</v>
      </c>
      <c r="U206" s="9">
        <v>692</v>
      </c>
      <c r="V206" s="9">
        <v>0</v>
      </c>
      <c r="W206" s="15" t="s">
        <v>291</v>
      </c>
      <c r="X206" s="15" t="s">
        <v>304</v>
      </c>
      <c r="Y206" s="15">
        <v>1021</v>
      </c>
      <c r="Z206" s="15">
        <v>524</v>
      </c>
      <c r="AA206" s="10">
        <v>485</v>
      </c>
      <c r="AB206" s="10">
        <f t="shared" si="8"/>
        <v>79</v>
      </c>
      <c r="AC206" s="16">
        <f t="shared" si="9"/>
        <v>67.776689520078364</v>
      </c>
    </row>
    <row r="207" spans="1:29" ht="37.5" customHeight="1">
      <c r="A207" s="9">
        <v>204</v>
      </c>
      <c r="B207" s="9">
        <v>409</v>
      </c>
      <c r="C207" s="9">
        <v>4</v>
      </c>
      <c r="D207" s="9">
        <v>154</v>
      </c>
      <c r="E207" s="9">
        <v>14</v>
      </c>
      <c r="F207" s="9">
        <v>0</v>
      </c>
      <c r="G207" s="9">
        <v>1</v>
      </c>
      <c r="H207" s="9">
        <v>0</v>
      </c>
      <c r="I207" s="9">
        <v>3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585</v>
      </c>
      <c r="R207" s="9">
        <f t="shared" si="0"/>
        <v>585</v>
      </c>
      <c r="S207" s="9">
        <f t="shared" si="1"/>
        <v>0</v>
      </c>
      <c r="T207" s="9">
        <v>1</v>
      </c>
      <c r="U207" s="9">
        <v>586</v>
      </c>
      <c r="V207" s="9">
        <v>0</v>
      </c>
      <c r="W207" s="15" t="s">
        <v>291</v>
      </c>
      <c r="X207" s="15" t="s">
        <v>305</v>
      </c>
      <c r="Y207" s="15">
        <v>809</v>
      </c>
      <c r="Z207" s="15">
        <v>427</v>
      </c>
      <c r="AA207" s="10">
        <v>381</v>
      </c>
      <c r="AB207" s="10">
        <f t="shared" si="8"/>
        <v>255</v>
      </c>
      <c r="AC207" s="16">
        <f t="shared" si="9"/>
        <v>72.435105067985162</v>
      </c>
    </row>
    <row r="208" spans="1:29" ht="37.5" customHeight="1">
      <c r="A208" s="9">
        <v>205</v>
      </c>
      <c r="B208" s="9">
        <v>443</v>
      </c>
      <c r="C208" s="9">
        <v>5</v>
      </c>
      <c r="D208" s="9">
        <v>191</v>
      </c>
      <c r="E208" s="9">
        <v>14</v>
      </c>
      <c r="F208" s="9">
        <v>0</v>
      </c>
      <c r="G208" s="9">
        <v>1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654</v>
      </c>
      <c r="R208" s="9">
        <f t="shared" si="0"/>
        <v>654</v>
      </c>
      <c r="S208" s="9">
        <f t="shared" si="1"/>
        <v>0</v>
      </c>
      <c r="T208" s="9">
        <v>2</v>
      </c>
      <c r="U208" s="9">
        <v>656</v>
      </c>
      <c r="V208" s="9">
        <v>0</v>
      </c>
      <c r="W208" s="15" t="s">
        <v>291</v>
      </c>
      <c r="X208" s="15" t="s">
        <v>306</v>
      </c>
      <c r="Y208" s="15">
        <v>1011</v>
      </c>
      <c r="Z208" s="15">
        <v>537</v>
      </c>
      <c r="AA208" s="10">
        <v>464</v>
      </c>
      <c r="AB208" s="10">
        <f t="shared" si="8"/>
        <v>252</v>
      </c>
      <c r="AC208" s="16">
        <f t="shared" si="9"/>
        <v>64.886251236399602</v>
      </c>
    </row>
    <row r="209" spans="1:29" ht="37.5" customHeight="1">
      <c r="A209" s="9">
        <v>206</v>
      </c>
      <c r="B209" s="9">
        <v>377</v>
      </c>
      <c r="C209" s="9">
        <v>8</v>
      </c>
      <c r="D209" s="9">
        <v>280</v>
      </c>
      <c r="E209" s="9">
        <v>45</v>
      </c>
      <c r="F209" s="9">
        <v>0</v>
      </c>
      <c r="G209" s="9">
        <v>0</v>
      </c>
      <c r="H209" s="9">
        <v>1</v>
      </c>
      <c r="I209" s="9">
        <v>0</v>
      </c>
      <c r="J209" s="9">
        <v>2</v>
      </c>
      <c r="K209" s="9">
        <v>4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717</v>
      </c>
      <c r="R209" s="9">
        <f t="shared" si="0"/>
        <v>717</v>
      </c>
      <c r="S209" s="9">
        <f t="shared" si="1"/>
        <v>0</v>
      </c>
      <c r="T209" s="9">
        <v>2</v>
      </c>
      <c r="U209" s="9">
        <v>719</v>
      </c>
      <c r="V209" s="9">
        <v>0</v>
      </c>
      <c r="W209" s="15" t="s">
        <v>291</v>
      </c>
      <c r="X209" s="15" t="s">
        <v>307</v>
      </c>
      <c r="Y209" s="15">
        <v>1102</v>
      </c>
      <c r="Z209" s="15">
        <v>592</v>
      </c>
      <c r="AA209" s="10">
        <v>495</v>
      </c>
      <c r="AB209" s="10">
        <f t="shared" si="8"/>
        <v>97</v>
      </c>
      <c r="AC209" s="16">
        <f t="shared" si="9"/>
        <v>65.245009074410163</v>
      </c>
    </row>
    <row r="210" spans="1:29" ht="37.5" customHeight="1">
      <c r="A210" s="9">
        <v>207</v>
      </c>
      <c r="B210" s="9">
        <v>475</v>
      </c>
      <c r="C210" s="9">
        <v>2</v>
      </c>
      <c r="D210" s="9">
        <v>151</v>
      </c>
      <c r="E210" s="9">
        <v>77</v>
      </c>
      <c r="F210" s="9">
        <v>0</v>
      </c>
      <c r="G210" s="9">
        <v>0</v>
      </c>
      <c r="H210" s="9">
        <v>0</v>
      </c>
      <c r="I210" s="9">
        <v>0</v>
      </c>
      <c r="J210" s="9">
        <v>6</v>
      </c>
      <c r="K210" s="9">
        <v>2</v>
      </c>
      <c r="L210" s="9">
        <v>2</v>
      </c>
      <c r="M210" s="9">
        <v>0</v>
      </c>
      <c r="N210" s="9">
        <v>0</v>
      </c>
      <c r="O210" s="9">
        <v>0</v>
      </c>
      <c r="P210" s="9">
        <v>0</v>
      </c>
      <c r="Q210" s="9">
        <v>715</v>
      </c>
      <c r="R210" s="9">
        <f t="shared" si="0"/>
        <v>715</v>
      </c>
      <c r="S210" s="9">
        <f t="shared" si="1"/>
        <v>0</v>
      </c>
      <c r="T210" s="9">
        <v>6</v>
      </c>
      <c r="U210" s="9">
        <v>721</v>
      </c>
      <c r="V210" s="9">
        <v>0</v>
      </c>
      <c r="W210" s="15" t="s">
        <v>291</v>
      </c>
      <c r="X210" s="15" t="s">
        <v>308</v>
      </c>
      <c r="Y210" s="15">
        <v>1023</v>
      </c>
      <c r="Z210" s="15">
        <v>532</v>
      </c>
      <c r="AA210" s="10">
        <v>478</v>
      </c>
      <c r="AB210" s="10">
        <f t="shared" si="8"/>
        <v>324</v>
      </c>
      <c r="AC210" s="16">
        <f t="shared" si="9"/>
        <v>70.478983382209194</v>
      </c>
    </row>
    <row r="211" spans="1:29" ht="37.5" customHeight="1">
      <c r="A211" s="9">
        <v>208</v>
      </c>
      <c r="B211" s="9">
        <v>481</v>
      </c>
      <c r="C211" s="9">
        <v>6</v>
      </c>
      <c r="D211" s="9">
        <v>190</v>
      </c>
      <c r="E211" s="9">
        <v>32</v>
      </c>
      <c r="F211" s="9">
        <v>1</v>
      </c>
      <c r="G211" s="9">
        <v>0</v>
      </c>
      <c r="H211" s="9">
        <v>2</v>
      </c>
      <c r="I211" s="9">
        <v>2</v>
      </c>
      <c r="J211" s="9">
        <v>1</v>
      </c>
      <c r="K211" s="9">
        <v>0</v>
      </c>
      <c r="L211" s="9">
        <v>11</v>
      </c>
      <c r="M211" s="9">
        <v>2</v>
      </c>
      <c r="N211" s="9">
        <v>1</v>
      </c>
      <c r="O211" s="9">
        <v>1</v>
      </c>
      <c r="P211" s="9">
        <v>1</v>
      </c>
      <c r="Q211" s="9">
        <v>731</v>
      </c>
      <c r="R211" s="9">
        <f t="shared" si="0"/>
        <v>731</v>
      </c>
      <c r="S211" s="9">
        <f t="shared" si="1"/>
        <v>0</v>
      </c>
      <c r="T211" s="9">
        <v>2</v>
      </c>
      <c r="U211" s="9">
        <v>733</v>
      </c>
      <c r="V211" s="9">
        <v>0</v>
      </c>
      <c r="W211" s="15" t="s">
        <v>291</v>
      </c>
      <c r="X211" s="15" t="s">
        <v>309</v>
      </c>
      <c r="Y211" s="15">
        <v>1356</v>
      </c>
      <c r="Z211" s="15">
        <v>705</v>
      </c>
      <c r="AA211" s="10">
        <v>647</v>
      </c>
      <c r="AB211" s="10">
        <f t="shared" si="8"/>
        <v>291</v>
      </c>
      <c r="AC211" s="16">
        <f t="shared" si="9"/>
        <v>54.056047197640126</v>
      </c>
    </row>
    <row r="212" spans="1:29" ht="37.5" customHeight="1">
      <c r="A212" s="9">
        <v>209</v>
      </c>
      <c r="B212" s="9">
        <v>365</v>
      </c>
      <c r="C212" s="9">
        <v>13</v>
      </c>
      <c r="D212" s="9">
        <v>303</v>
      </c>
      <c r="E212" s="9">
        <v>328</v>
      </c>
      <c r="F212" s="9">
        <v>3</v>
      </c>
      <c r="G212" s="9">
        <v>0</v>
      </c>
      <c r="H212" s="9">
        <v>0</v>
      </c>
      <c r="I212" s="9">
        <v>6</v>
      </c>
      <c r="J212" s="9">
        <v>0</v>
      </c>
      <c r="K212" s="9">
        <v>2</v>
      </c>
      <c r="L212" s="9">
        <v>0</v>
      </c>
      <c r="M212" s="9">
        <v>2</v>
      </c>
      <c r="N212" s="9">
        <v>0</v>
      </c>
      <c r="O212" s="9">
        <v>0</v>
      </c>
      <c r="P212" s="9">
        <v>3</v>
      </c>
      <c r="Q212" s="9">
        <v>1025</v>
      </c>
      <c r="R212" s="9">
        <f t="shared" si="0"/>
        <v>1025</v>
      </c>
      <c r="S212" s="9">
        <f t="shared" si="1"/>
        <v>0</v>
      </c>
      <c r="T212" s="9">
        <v>2</v>
      </c>
      <c r="U212" s="9">
        <v>1027</v>
      </c>
      <c r="V212" s="9">
        <v>0</v>
      </c>
      <c r="W212" s="15" t="s">
        <v>291</v>
      </c>
      <c r="X212" s="15" t="s">
        <v>310</v>
      </c>
      <c r="Y212" s="15">
        <v>1170</v>
      </c>
      <c r="Z212" s="15">
        <v>493</v>
      </c>
      <c r="AA212" s="10">
        <v>453</v>
      </c>
      <c r="AB212" s="10">
        <f t="shared" si="8"/>
        <v>62</v>
      </c>
      <c r="AC212" s="16">
        <f t="shared" si="9"/>
        <v>87.777777777777771</v>
      </c>
    </row>
    <row r="213" spans="1:29" ht="37.5" customHeight="1">
      <c r="A213" s="9">
        <v>210</v>
      </c>
      <c r="B213" s="9">
        <v>532</v>
      </c>
      <c r="C213" s="9">
        <v>5</v>
      </c>
      <c r="D213" s="9">
        <v>115</v>
      </c>
      <c r="E213" s="9">
        <v>71</v>
      </c>
      <c r="F213" s="9">
        <v>0</v>
      </c>
      <c r="G213" s="9">
        <v>0</v>
      </c>
      <c r="H213" s="9">
        <v>0</v>
      </c>
      <c r="I213" s="9">
        <v>1</v>
      </c>
      <c r="J213" s="9">
        <v>0</v>
      </c>
      <c r="K213" s="9">
        <v>1</v>
      </c>
      <c r="L213" s="9">
        <v>1</v>
      </c>
      <c r="M213" s="9">
        <v>0</v>
      </c>
      <c r="N213" s="9">
        <v>0</v>
      </c>
      <c r="O213" s="9">
        <v>0</v>
      </c>
      <c r="P213" s="9">
        <v>0</v>
      </c>
      <c r="Q213" s="9">
        <v>726</v>
      </c>
      <c r="R213" s="9">
        <f t="shared" si="0"/>
        <v>726</v>
      </c>
      <c r="S213" s="9">
        <f t="shared" si="1"/>
        <v>0</v>
      </c>
      <c r="T213" s="9">
        <v>2</v>
      </c>
      <c r="U213" s="9">
        <v>728</v>
      </c>
      <c r="V213" s="9">
        <v>0</v>
      </c>
      <c r="W213" s="15" t="s">
        <v>291</v>
      </c>
      <c r="X213" s="15" t="s">
        <v>311</v>
      </c>
      <c r="Y213" s="15">
        <v>800</v>
      </c>
      <c r="Z213" s="15">
        <v>413</v>
      </c>
      <c r="AA213" s="10">
        <v>380</v>
      </c>
      <c r="AB213" s="10">
        <f t="shared" si="8"/>
        <v>417</v>
      </c>
      <c r="AC213" s="16">
        <f t="shared" si="9"/>
        <v>91</v>
      </c>
    </row>
    <row r="214" spans="1:29" ht="37.5" customHeight="1">
      <c r="A214" s="9">
        <v>211</v>
      </c>
      <c r="B214" s="9">
        <v>507</v>
      </c>
      <c r="C214" s="9">
        <v>4</v>
      </c>
      <c r="D214" s="9">
        <v>55</v>
      </c>
      <c r="E214" s="9">
        <v>117</v>
      </c>
      <c r="F214" s="9">
        <v>1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</v>
      </c>
      <c r="N214" s="9">
        <v>0</v>
      </c>
      <c r="O214" s="9">
        <v>0</v>
      </c>
      <c r="P214" s="9">
        <v>0</v>
      </c>
      <c r="Q214" s="9">
        <v>685</v>
      </c>
      <c r="R214" s="9">
        <f t="shared" si="0"/>
        <v>685</v>
      </c>
      <c r="S214" s="9">
        <f t="shared" si="1"/>
        <v>0</v>
      </c>
      <c r="T214" s="9">
        <v>7</v>
      </c>
      <c r="U214" s="9">
        <v>692</v>
      </c>
      <c r="V214" s="9">
        <v>0</v>
      </c>
      <c r="W214" s="15" t="s">
        <v>291</v>
      </c>
      <c r="X214" s="15" t="s">
        <v>311</v>
      </c>
      <c r="Y214" s="10">
        <v>860</v>
      </c>
      <c r="Z214" s="10"/>
      <c r="AA214" s="10"/>
      <c r="AB214" s="10">
        <f t="shared" si="8"/>
        <v>452</v>
      </c>
      <c r="AC214" s="16">
        <f t="shared" si="9"/>
        <v>80.465116279069775</v>
      </c>
    </row>
    <row r="215" spans="1:29" ht="37.5" customHeight="1">
      <c r="A215" s="9">
        <v>212</v>
      </c>
      <c r="B215" s="9">
        <v>359</v>
      </c>
      <c r="C215" s="9">
        <v>4</v>
      </c>
      <c r="D215" s="9">
        <v>194</v>
      </c>
      <c r="E215" s="9">
        <v>13</v>
      </c>
      <c r="F215" s="9">
        <v>1</v>
      </c>
      <c r="G215" s="9">
        <v>1</v>
      </c>
      <c r="H215" s="9">
        <v>1</v>
      </c>
      <c r="I215" s="9">
        <v>0</v>
      </c>
      <c r="J215" s="9">
        <v>0</v>
      </c>
      <c r="K215" s="9">
        <v>1</v>
      </c>
      <c r="L215" s="9">
        <v>1</v>
      </c>
      <c r="M215" s="9">
        <v>0</v>
      </c>
      <c r="N215" s="9">
        <v>1</v>
      </c>
      <c r="O215" s="9">
        <v>0</v>
      </c>
      <c r="P215" s="9">
        <v>1</v>
      </c>
      <c r="Q215" s="9">
        <v>577</v>
      </c>
      <c r="R215" s="9">
        <f t="shared" si="0"/>
        <v>577</v>
      </c>
      <c r="S215" s="9">
        <f t="shared" si="1"/>
        <v>0</v>
      </c>
      <c r="T215" s="9">
        <v>2</v>
      </c>
      <c r="U215" s="9">
        <v>579</v>
      </c>
      <c r="V215" s="9">
        <v>0</v>
      </c>
      <c r="W215" s="15" t="s">
        <v>291</v>
      </c>
      <c r="X215" s="15" t="s">
        <v>312</v>
      </c>
      <c r="Y215" s="15">
        <v>859</v>
      </c>
      <c r="Z215" s="15">
        <v>457</v>
      </c>
      <c r="AA215" s="10">
        <v>402</v>
      </c>
      <c r="AB215" s="10">
        <f t="shared" si="8"/>
        <v>165</v>
      </c>
      <c r="AC215" s="16">
        <f t="shared" si="9"/>
        <v>67.403958090803258</v>
      </c>
    </row>
    <row r="216" spans="1:29" ht="37.5" customHeight="1">
      <c r="A216" s="9">
        <v>213</v>
      </c>
      <c r="B216" s="9">
        <v>360</v>
      </c>
      <c r="C216" s="9">
        <v>5</v>
      </c>
      <c r="D216" s="9">
        <v>208</v>
      </c>
      <c r="E216" s="9">
        <v>20</v>
      </c>
      <c r="F216" s="9">
        <v>0</v>
      </c>
      <c r="G216" s="9">
        <v>0</v>
      </c>
      <c r="H216" s="9">
        <v>0</v>
      </c>
      <c r="I216" s="9">
        <v>1</v>
      </c>
      <c r="J216" s="9">
        <v>0</v>
      </c>
      <c r="K216" s="9">
        <v>0</v>
      </c>
      <c r="L216" s="9">
        <v>1</v>
      </c>
      <c r="M216" s="9">
        <v>0</v>
      </c>
      <c r="N216" s="9">
        <v>0</v>
      </c>
      <c r="O216" s="9">
        <v>2</v>
      </c>
      <c r="P216" s="9">
        <v>0</v>
      </c>
      <c r="Q216" s="9">
        <v>597</v>
      </c>
      <c r="R216" s="9">
        <f t="shared" si="0"/>
        <v>597</v>
      </c>
      <c r="S216" s="9">
        <f t="shared" si="1"/>
        <v>0</v>
      </c>
      <c r="T216" s="9">
        <v>4</v>
      </c>
      <c r="U216" s="9">
        <v>601</v>
      </c>
      <c r="V216" s="9">
        <v>0</v>
      </c>
      <c r="W216" s="15" t="s">
        <v>291</v>
      </c>
      <c r="X216" s="15" t="s">
        <v>313</v>
      </c>
      <c r="Y216" s="15">
        <v>714</v>
      </c>
      <c r="Z216" s="15">
        <v>371</v>
      </c>
      <c r="AA216" s="10">
        <v>332</v>
      </c>
      <c r="AB216" s="10">
        <f t="shared" si="8"/>
        <v>152</v>
      </c>
      <c r="AC216" s="16">
        <f t="shared" si="9"/>
        <v>84.173669467787121</v>
      </c>
    </row>
    <row r="217" spans="1:29" ht="37.5" customHeight="1">
      <c r="A217" s="9">
        <v>214</v>
      </c>
      <c r="B217" s="9">
        <v>314</v>
      </c>
      <c r="C217" s="9">
        <v>2</v>
      </c>
      <c r="D217" s="9">
        <v>88</v>
      </c>
      <c r="E217" s="9">
        <v>29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</v>
      </c>
      <c r="M217" s="9">
        <v>0</v>
      </c>
      <c r="N217" s="9">
        <v>0</v>
      </c>
      <c r="O217" s="9">
        <v>0</v>
      </c>
      <c r="P217" s="9">
        <v>0</v>
      </c>
      <c r="Q217" s="9">
        <v>434</v>
      </c>
      <c r="R217" s="9">
        <f t="shared" si="0"/>
        <v>434</v>
      </c>
      <c r="S217" s="9">
        <f t="shared" si="1"/>
        <v>0</v>
      </c>
      <c r="T217" s="9">
        <v>2</v>
      </c>
      <c r="U217" s="9">
        <v>436</v>
      </c>
      <c r="V217" s="9">
        <v>0</v>
      </c>
      <c r="W217" s="15" t="s">
        <v>291</v>
      </c>
      <c r="X217" s="15" t="s">
        <v>314</v>
      </c>
      <c r="Y217" s="10">
        <v>500</v>
      </c>
      <c r="Z217" s="10"/>
      <c r="AA217" s="10"/>
      <c r="AB217" s="10">
        <f t="shared" si="8"/>
        <v>226</v>
      </c>
      <c r="AC217" s="16">
        <f t="shared" si="9"/>
        <v>87.2</v>
      </c>
    </row>
    <row r="218" spans="1:29" ht="37.5" customHeight="1">
      <c r="A218" s="9">
        <v>215</v>
      </c>
      <c r="B218" s="9">
        <v>400</v>
      </c>
      <c r="C218" s="9">
        <v>26</v>
      </c>
      <c r="D218" s="9">
        <v>384</v>
      </c>
      <c r="E218" s="9">
        <v>33</v>
      </c>
      <c r="F218" s="9">
        <v>6</v>
      </c>
      <c r="G218" s="9">
        <v>0</v>
      </c>
      <c r="H218" s="9">
        <v>0</v>
      </c>
      <c r="I218" s="9">
        <v>1</v>
      </c>
      <c r="J218" s="9">
        <v>3</v>
      </c>
      <c r="K218" s="9">
        <v>1</v>
      </c>
      <c r="L218" s="9">
        <v>0</v>
      </c>
      <c r="M218" s="9">
        <v>0</v>
      </c>
      <c r="N218" s="9">
        <v>0</v>
      </c>
      <c r="O218" s="9">
        <v>0</v>
      </c>
      <c r="P218" s="9">
        <v>5</v>
      </c>
      <c r="Q218" s="9">
        <v>859</v>
      </c>
      <c r="R218" s="9">
        <f t="shared" si="0"/>
        <v>859</v>
      </c>
      <c r="S218" s="9">
        <f t="shared" si="1"/>
        <v>0</v>
      </c>
      <c r="T218" s="9">
        <v>0</v>
      </c>
      <c r="U218" s="9">
        <v>859</v>
      </c>
      <c r="V218" s="9">
        <v>0</v>
      </c>
      <c r="W218" s="15" t="s">
        <v>291</v>
      </c>
      <c r="X218" s="15" t="s">
        <v>315</v>
      </c>
      <c r="Y218" s="10">
        <v>880</v>
      </c>
      <c r="Z218" s="10"/>
      <c r="AA218" s="10"/>
      <c r="AB218" s="10">
        <f t="shared" si="8"/>
        <v>16</v>
      </c>
      <c r="AC218" s="16">
        <f t="shared" si="9"/>
        <v>97.613636363636374</v>
      </c>
    </row>
    <row r="219" spans="1:29" ht="37.5" customHeight="1">
      <c r="A219" s="9">
        <v>216</v>
      </c>
      <c r="B219" s="9">
        <v>251</v>
      </c>
      <c r="C219" s="9">
        <v>11</v>
      </c>
      <c r="D219" s="9">
        <v>135</v>
      </c>
      <c r="E219" s="9">
        <v>31</v>
      </c>
      <c r="F219" s="9">
        <v>0</v>
      </c>
      <c r="G219" s="9">
        <v>0</v>
      </c>
      <c r="H219" s="9">
        <v>0</v>
      </c>
      <c r="I219" s="9">
        <v>0</v>
      </c>
      <c r="J219" s="9">
        <v>2</v>
      </c>
      <c r="K219" s="9">
        <v>0</v>
      </c>
      <c r="L219" s="9">
        <v>0</v>
      </c>
      <c r="M219" s="9">
        <v>0</v>
      </c>
      <c r="N219" s="9">
        <v>1</v>
      </c>
      <c r="O219" s="9">
        <v>0</v>
      </c>
      <c r="P219" s="9">
        <v>0</v>
      </c>
      <c r="Q219" s="9">
        <v>431</v>
      </c>
      <c r="R219" s="9">
        <f t="shared" si="0"/>
        <v>431</v>
      </c>
      <c r="S219" s="9">
        <f t="shared" si="1"/>
        <v>0</v>
      </c>
      <c r="T219" s="9">
        <v>1</v>
      </c>
      <c r="U219" s="9">
        <v>432</v>
      </c>
      <c r="V219" s="9">
        <v>0</v>
      </c>
      <c r="W219" s="15" t="s">
        <v>291</v>
      </c>
      <c r="X219" s="15" t="s">
        <v>316</v>
      </c>
      <c r="Y219" s="10">
        <v>550</v>
      </c>
      <c r="Z219" s="10">
        <v>250</v>
      </c>
      <c r="AA219" s="10">
        <v>240</v>
      </c>
      <c r="AB219" s="10">
        <f t="shared" si="8"/>
        <v>116</v>
      </c>
      <c r="AC219" s="16">
        <f t="shared" si="9"/>
        <v>78.545454545454547</v>
      </c>
    </row>
    <row r="220" spans="1:29" ht="37.5" customHeight="1">
      <c r="A220" s="9">
        <v>217</v>
      </c>
      <c r="B220" s="9">
        <v>231</v>
      </c>
      <c r="C220" s="9">
        <v>3</v>
      </c>
      <c r="D220" s="9">
        <v>148</v>
      </c>
      <c r="E220" s="9">
        <v>15</v>
      </c>
      <c r="F220" s="9">
        <v>0</v>
      </c>
      <c r="G220" s="9">
        <v>0</v>
      </c>
      <c r="H220" s="9">
        <v>0</v>
      </c>
      <c r="I220" s="9">
        <v>0</v>
      </c>
      <c r="J220" s="9">
        <v>3</v>
      </c>
      <c r="K220" s="9">
        <v>0</v>
      </c>
      <c r="L220" s="9">
        <v>0</v>
      </c>
      <c r="M220" s="9">
        <v>0</v>
      </c>
      <c r="N220" s="9">
        <v>1</v>
      </c>
      <c r="O220" s="9">
        <v>0</v>
      </c>
      <c r="P220" s="9">
        <v>1</v>
      </c>
      <c r="Q220" s="9">
        <v>402</v>
      </c>
      <c r="R220" s="9">
        <f t="shared" si="0"/>
        <v>402</v>
      </c>
      <c r="S220" s="9">
        <f t="shared" si="1"/>
        <v>0</v>
      </c>
      <c r="T220" s="9">
        <v>1</v>
      </c>
      <c r="U220" s="9">
        <v>403</v>
      </c>
      <c r="V220" s="9">
        <v>0</v>
      </c>
      <c r="W220" s="15" t="s">
        <v>291</v>
      </c>
      <c r="X220" s="15" t="s">
        <v>317</v>
      </c>
      <c r="Y220" s="15">
        <v>747</v>
      </c>
      <c r="Z220" s="15">
        <v>385</v>
      </c>
      <c r="AA220" s="10">
        <v>354</v>
      </c>
      <c r="AB220" s="10">
        <f t="shared" si="8"/>
        <v>83</v>
      </c>
      <c r="AC220" s="16">
        <f t="shared" si="9"/>
        <v>53.949129852744313</v>
      </c>
    </row>
    <row r="221" spans="1:29" ht="37.5" customHeight="1">
      <c r="A221" s="9">
        <v>218</v>
      </c>
      <c r="B221" s="9">
        <v>270</v>
      </c>
      <c r="C221" s="9">
        <v>2</v>
      </c>
      <c r="D221" s="9">
        <v>225</v>
      </c>
      <c r="E221" s="9">
        <v>21</v>
      </c>
      <c r="F221" s="9">
        <v>0</v>
      </c>
      <c r="G221" s="9">
        <v>1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519</v>
      </c>
      <c r="R221" s="9">
        <f t="shared" si="0"/>
        <v>519</v>
      </c>
      <c r="S221" s="9">
        <f t="shared" si="1"/>
        <v>0</v>
      </c>
      <c r="T221" s="9">
        <v>4</v>
      </c>
      <c r="U221" s="9">
        <v>523</v>
      </c>
      <c r="V221" s="9">
        <v>0</v>
      </c>
      <c r="W221" s="15" t="s">
        <v>291</v>
      </c>
      <c r="X221" s="15" t="s">
        <v>318</v>
      </c>
      <c r="Y221" s="10">
        <v>630</v>
      </c>
      <c r="Z221" s="10">
        <v>320</v>
      </c>
      <c r="AA221" s="10">
        <v>310</v>
      </c>
      <c r="AB221" s="10">
        <f t="shared" si="8"/>
        <v>45</v>
      </c>
      <c r="AC221" s="16">
        <f t="shared" si="9"/>
        <v>83.015873015873026</v>
      </c>
    </row>
    <row r="222" spans="1:29" ht="37.5" customHeight="1">
      <c r="A222" s="9">
        <v>219</v>
      </c>
      <c r="B222" s="9">
        <v>253</v>
      </c>
      <c r="C222" s="9">
        <v>3</v>
      </c>
      <c r="D222" s="9">
        <v>238</v>
      </c>
      <c r="E222" s="9">
        <v>0</v>
      </c>
      <c r="F222" s="9">
        <v>0</v>
      </c>
      <c r="G222" s="9">
        <v>0</v>
      </c>
      <c r="H222" s="9">
        <v>0</v>
      </c>
      <c r="I222" s="9">
        <v>1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1</v>
      </c>
      <c r="Q222" s="9">
        <v>496</v>
      </c>
      <c r="R222" s="9">
        <f t="shared" si="0"/>
        <v>496</v>
      </c>
      <c r="S222" s="9">
        <f t="shared" si="1"/>
        <v>0</v>
      </c>
      <c r="T222" s="9">
        <v>4</v>
      </c>
      <c r="U222" s="9">
        <v>500</v>
      </c>
      <c r="V222" s="9">
        <v>0</v>
      </c>
      <c r="W222" s="15" t="s">
        <v>291</v>
      </c>
      <c r="X222" s="15" t="s">
        <v>319</v>
      </c>
      <c r="Y222" s="15">
        <v>987</v>
      </c>
      <c r="Z222" s="10">
        <v>515</v>
      </c>
      <c r="AA222" s="10">
        <v>466</v>
      </c>
      <c r="AB222" s="10">
        <f t="shared" si="8"/>
        <v>15</v>
      </c>
      <c r="AC222" s="16">
        <f t="shared" si="9"/>
        <v>50.658561296859176</v>
      </c>
    </row>
    <row r="223" spans="1:29" ht="37.5" customHeight="1">
      <c r="A223" s="9">
        <v>220</v>
      </c>
      <c r="B223" s="9">
        <v>462</v>
      </c>
      <c r="C223" s="9">
        <v>2</v>
      </c>
      <c r="D223" s="9">
        <v>265</v>
      </c>
      <c r="E223" s="9">
        <v>26</v>
      </c>
      <c r="F223" s="9">
        <v>1</v>
      </c>
      <c r="G223" s="9">
        <v>1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1</v>
      </c>
      <c r="Q223" s="9">
        <v>758</v>
      </c>
      <c r="R223" s="9">
        <f t="shared" si="0"/>
        <v>758</v>
      </c>
      <c r="S223" s="9">
        <f t="shared" si="1"/>
        <v>0</v>
      </c>
      <c r="T223" s="9">
        <v>0</v>
      </c>
      <c r="U223" s="9">
        <v>758</v>
      </c>
      <c r="V223" s="9">
        <v>0</v>
      </c>
      <c r="W223" s="15" t="s">
        <v>291</v>
      </c>
      <c r="X223" s="15" t="s">
        <v>320</v>
      </c>
      <c r="Y223" s="10">
        <v>850</v>
      </c>
      <c r="Z223" s="10">
        <v>430</v>
      </c>
      <c r="AA223" s="10">
        <v>420</v>
      </c>
      <c r="AB223" s="10">
        <f t="shared" si="8"/>
        <v>197</v>
      </c>
      <c r="AC223" s="16">
        <f t="shared" si="9"/>
        <v>89.17647058823529</v>
      </c>
    </row>
    <row r="224" spans="1:29" ht="37.5" customHeight="1">
      <c r="A224" s="9">
        <v>221</v>
      </c>
      <c r="B224" s="9">
        <v>515</v>
      </c>
      <c r="C224" s="9">
        <v>4</v>
      </c>
      <c r="D224" s="9">
        <v>180</v>
      </c>
      <c r="E224" s="9">
        <v>240</v>
      </c>
      <c r="F224" s="9">
        <v>1</v>
      </c>
      <c r="G224" s="9">
        <v>0</v>
      </c>
      <c r="H224" s="9">
        <v>0</v>
      </c>
      <c r="I224" s="9">
        <v>3</v>
      </c>
      <c r="J224" s="9">
        <v>11</v>
      </c>
      <c r="K224" s="9">
        <v>2</v>
      </c>
      <c r="L224" s="9">
        <v>3</v>
      </c>
      <c r="M224" s="9">
        <v>2</v>
      </c>
      <c r="N224" s="9">
        <v>0</v>
      </c>
      <c r="O224" s="9">
        <v>0</v>
      </c>
      <c r="P224" s="9">
        <v>0</v>
      </c>
      <c r="Q224" s="9">
        <v>961</v>
      </c>
      <c r="R224" s="9">
        <f t="shared" si="0"/>
        <v>961</v>
      </c>
      <c r="S224" s="9">
        <f t="shared" si="1"/>
        <v>0</v>
      </c>
      <c r="T224" s="9">
        <v>2</v>
      </c>
      <c r="U224" s="9">
        <v>963</v>
      </c>
      <c r="V224" s="9">
        <v>0</v>
      </c>
      <c r="W224" s="15" t="s">
        <v>321</v>
      </c>
      <c r="X224" s="15" t="s">
        <v>322</v>
      </c>
      <c r="Y224" s="15">
        <v>1100</v>
      </c>
      <c r="Z224" s="15">
        <v>525</v>
      </c>
      <c r="AA224" s="10">
        <v>458</v>
      </c>
      <c r="AB224" s="10">
        <f t="shared" si="8"/>
        <v>335</v>
      </c>
      <c r="AC224" s="16">
        <f t="shared" si="9"/>
        <v>87.545454545454547</v>
      </c>
    </row>
    <row r="225" spans="1:29" ht="37.5" customHeight="1">
      <c r="A225" s="9">
        <v>222</v>
      </c>
      <c r="B225" s="9">
        <v>568</v>
      </c>
      <c r="C225" s="9">
        <v>1</v>
      </c>
      <c r="D225" s="9">
        <v>188</v>
      </c>
      <c r="E225" s="9">
        <v>32</v>
      </c>
      <c r="F225" s="9">
        <v>1</v>
      </c>
      <c r="G225" s="9">
        <v>0</v>
      </c>
      <c r="H225" s="9">
        <v>0</v>
      </c>
      <c r="I225" s="9">
        <v>3</v>
      </c>
      <c r="J225" s="9">
        <v>4</v>
      </c>
      <c r="K225" s="9">
        <v>1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798</v>
      </c>
      <c r="R225" s="9">
        <f t="shared" si="0"/>
        <v>798</v>
      </c>
      <c r="S225" s="9">
        <f t="shared" si="1"/>
        <v>0</v>
      </c>
      <c r="T225" s="9">
        <v>2</v>
      </c>
      <c r="U225" s="9">
        <v>800</v>
      </c>
      <c r="V225" s="9">
        <v>0</v>
      </c>
      <c r="W225" s="15" t="s">
        <v>323</v>
      </c>
      <c r="X225" s="15" t="s">
        <v>324</v>
      </c>
      <c r="Y225" s="15">
        <v>920</v>
      </c>
      <c r="Z225" s="10">
        <v>431</v>
      </c>
      <c r="AA225" s="10">
        <v>395</v>
      </c>
      <c r="AB225" s="10">
        <f t="shared" si="8"/>
        <v>380</v>
      </c>
      <c r="AC225" s="16">
        <f t="shared" si="9"/>
        <v>86.956521739130437</v>
      </c>
    </row>
    <row r="226" spans="1:29" ht="37.5" customHeight="1">
      <c r="A226" s="9">
        <v>223</v>
      </c>
      <c r="B226" s="9">
        <v>214</v>
      </c>
      <c r="C226" s="9">
        <v>1</v>
      </c>
      <c r="D226" s="9">
        <v>109</v>
      </c>
      <c r="E226" s="9">
        <v>303</v>
      </c>
      <c r="F226" s="9">
        <v>2</v>
      </c>
      <c r="G226" s="9">
        <v>0</v>
      </c>
      <c r="H226" s="9">
        <v>0</v>
      </c>
      <c r="I226" s="9">
        <v>1</v>
      </c>
      <c r="J226" s="9">
        <v>7</v>
      </c>
      <c r="K226" s="9">
        <v>1</v>
      </c>
      <c r="L226" s="9">
        <v>0</v>
      </c>
      <c r="M226" s="9">
        <v>0</v>
      </c>
      <c r="N226" s="9">
        <v>1</v>
      </c>
      <c r="O226" s="9">
        <v>2</v>
      </c>
      <c r="P226" s="9">
        <v>3</v>
      </c>
      <c r="Q226" s="9">
        <v>644</v>
      </c>
      <c r="R226" s="9">
        <f t="shared" si="0"/>
        <v>644</v>
      </c>
      <c r="S226" s="9">
        <f t="shared" si="1"/>
        <v>0</v>
      </c>
      <c r="T226" s="9">
        <v>1</v>
      </c>
      <c r="U226" s="9">
        <v>645</v>
      </c>
      <c r="V226" s="9">
        <v>0</v>
      </c>
      <c r="W226" s="15" t="s">
        <v>325</v>
      </c>
      <c r="X226" s="15" t="s">
        <v>326</v>
      </c>
      <c r="Y226" s="15">
        <v>1186</v>
      </c>
      <c r="Z226" s="15">
        <v>638</v>
      </c>
      <c r="AA226" s="10">
        <v>541</v>
      </c>
      <c r="AB226" s="10">
        <f t="shared" si="8"/>
        <v>105</v>
      </c>
      <c r="AC226" s="16">
        <f t="shared" si="9"/>
        <v>54.384485666104553</v>
      </c>
    </row>
    <row r="227" spans="1:29" ht="37.5" customHeight="1">
      <c r="A227" s="11">
        <v>224</v>
      </c>
      <c r="B227" s="11">
        <v>243</v>
      </c>
      <c r="C227" s="11">
        <v>13</v>
      </c>
      <c r="D227" s="11">
        <v>586</v>
      </c>
      <c r="E227" s="11">
        <v>29</v>
      </c>
      <c r="F227" s="11">
        <v>1</v>
      </c>
      <c r="G227" s="11">
        <v>2</v>
      </c>
      <c r="H227" s="11">
        <v>1</v>
      </c>
      <c r="I227" s="11">
        <v>0</v>
      </c>
      <c r="J227" s="11">
        <v>9</v>
      </c>
      <c r="K227" s="11">
        <v>1</v>
      </c>
      <c r="L227" s="11">
        <v>0</v>
      </c>
      <c r="M227" s="11">
        <v>0</v>
      </c>
      <c r="N227" s="11">
        <v>0</v>
      </c>
      <c r="O227" s="11">
        <v>5</v>
      </c>
      <c r="P227" s="11">
        <v>1</v>
      </c>
      <c r="Q227" s="11">
        <v>891</v>
      </c>
      <c r="R227" s="11">
        <f t="shared" si="0"/>
        <v>891</v>
      </c>
      <c r="S227" s="11">
        <f t="shared" si="1"/>
        <v>0</v>
      </c>
      <c r="T227" s="11">
        <v>3</v>
      </c>
      <c r="U227" s="11">
        <v>894</v>
      </c>
      <c r="V227" s="11">
        <v>0</v>
      </c>
      <c r="W227" s="12" t="s">
        <v>325</v>
      </c>
      <c r="X227" s="12" t="s">
        <v>327</v>
      </c>
      <c r="Y227" s="12">
        <v>1050</v>
      </c>
      <c r="Z227" s="13">
        <v>448</v>
      </c>
      <c r="AA227" s="13">
        <v>412</v>
      </c>
      <c r="AB227" s="13">
        <f t="shared" si="8"/>
        <v>343</v>
      </c>
      <c r="AC227" s="14">
        <f t="shared" si="9"/>
        <v>85.142857142857139</v>
      </c>
    </row>
    <row r="228" spans="1:29" ht="37.5" customHeight="1">
      <c r="A228" s="11">
        <v>225</v>
      </c>
      <c r="B228" s="11">
        <v>171</v>
      </c>
      <c r="C228" s="11">
        <v>3</v>
      </c>
      <c r="D228" s="11">
        <v>399</v>
      </c>
      <c r="E228" s="11">
        <v>71</v>
      </c>
      <c r="F228" s="11">
        <v>2</v>
      </c>
      <c r="G228" s="11">
        <v>0</v>
      </c>
      <c r="H228" s="11">
        <v>1</v>
      </c>
      <c r="I228" s="11">
        <v>3</v>
      </c>
      <c r="J228" s="11">
        <v>17</v>
      </c>
      <c r="K228" s="11">
        <v>1</v>
      </c>
      <c r="L228" s="11">
        <v>0</v>
      </c>
      <c r="M228" s="11">
        <v>0</v>
      </c>
      <c r="N228" s="11">
        <v>0</v>
      </c>
      <c r="O228" s="11">
        <v>1</v>
      </c>
      <c r="P228" s="11">
        <v>0</v>
      </c>
      <c r="Q228" s="11">
        <v>669</v>
      </c>
      <c r="R228" s="11">
        <f t="shared" si="0"/>
        <v>669</v>
      </c>
      <c r="S228" s="11">
        <f t="shared" si="1"/>
        <v>0</v>
      </c>
      <c r="T228" s="11">
        <v>1</v>
      </c>
      <c r="U228" s="11">
        <v>670</v>
      </c>
      <c r="V228" s="11">
        <v>0</v>
      </c>
      <c r="W228" s="12" t="s">
        <v>325</v>
      </c>
      <c r="X228" s="12" t="s">
        <v>328</v>
      </c>
      <c r="Y228" s="12">
        <v>750</v>
      </c>
      <c r="Z228" s="12">
        <v>213</v>
      </c>
      <c r="AA228" s="13">
        <v>203</v>
      </c>
      <c r="AB228" s="13">
        <f t="shared" si="8"/>
        <v>228</v>
      </c>
      <c r="AC228" s="14">
        <f t="shared" si="9"/>
        <v>89.333333333333329</v>
      </c>
    </row>
    <row r="229" spans="1:29" ht="37.5" customHeight="1">
      <c r="A229" s="11">
        <v>226</v>
      </c>
      <c r="B229" s="11">
        <v>106</v>
      </c>
      <c r="C229" s="11">
        <v>7</v>
      </c>
      <c r="D229" s="11">
        <v>172</v>
      </c>
      <c r="E229" s="11">
        <v>11</v>
      </c>
      <c r="F229" s="11">
        <v>0</v>
      </c>
      <c r="G229" s="11">
        <v>1</v>
      </c>
      <c r="H229" s="11">
        <v>0</v>
      </c>
      <c r="I229" s="11">
        <v>1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1</v>
      </c>
      <c r="P229" s="11">
        <v>1</v>
      </c>
      <c r="Q229" s="11">
        <v>300</v>
      </c>
      <c r="R229" s="11">
        <f t="shared" si="0"/>
        <v>300</v>
      </c>
      <c r="S229" s="11">
        <f t="shared" si="1"/>
        <v>0</v>
      </c>
      <c r="T229" s="11">
        <v>2</v>
      </c>
      <c r="U229" s="11">
        <v>302</v>
      </c>
      <c r="V229" s="11">
        <v>0</v>
      </c>
      <c r="W229" s="12" t="s">
        <v>329</v>
      </c>
      <c r="X229" s="12" t="s">
        <v>330</v>
      </c>
      <c r="Y229" s="12">
        <v>1286</v>
      </c>
      <c r="Z229" s="13">
        <v>661</v>
      </c>
      <c r="AA229" s="13">
        <v>625</v>
      </c>
      <c r="AB229" s="13">
        <f t="shared" si="8"/>
        <v>66</v>
      </c>
      <c r="AC229" s="14">
        <f t="shared" si="9"/>
        <v>23.48367029548989</v>
      </c>
    </row>
    <row r="230" spans="1:29" ht="37.5" customHeight="1">
      <c r="A230" s="11">
        <v>227</v>
      </c>
      <c r="B230" s="11">
        <v>135</v>
      </c>
      <c r="C230" s="11">
        <v>29</v>
      </c>
      <c r="D230" s="11">
        <v>330</v>
      </c>
      <c r="E230" s="11">
        <v>427</v>
      </c>
      <c r="F230" s="11">
        <v>2</v>
      </c>
      <c r="G230" s="11">
        <v>0</v>
      </c>
      <c r="H230" s="11">
        <v>1</v>
      </c>
      <c r="I230" s="11">
        <v>6</v>
      </c>
      <c r="J230" s="11">
        <v>13</v>
      </c>
      <c r="K230" s="11">
        <v>0</v>
      </c>
      <c r="L230" s="11">
        <v>0</v>
      </c>
      <c r="M230" s="11">
        <v>0</v>
      </c>
      <c r="N230" s="11">
        <v>1</v>
      </c>
      <c r="O230" s="11">
        <v>2</v>
      </c>
      <c r="P230" s="11">
        <v>0</v>
      </c>
      <c r="Q230" s="11">
        <v>946</v>
      </c>
      <c r="R230" s="11">
        <f t="shared" si="0"/>
        <v>946</v>
      </c>
      <c r="S230" s="11">
        <f t="shared" si="1"/>
        <v>0</v>
      </c>
      <c r="T230" s="11">
        <v>2</v>
      </c>
      <c r="U230" s="11">
        <v>948</v>
      </c>
      <c r="V230" s="11">
        <v>0</v>
      </c>
      <c r="W230" s="12" t="s">
        <v>331</v>
      </c>
      <c r="X230" s="12" t="s">
        <v>332</v>
      </c>
      <c r="Y230" s="12">
        <v>1550</v>
      </c>
      <c r="Z230" s="12">
        <v>453</v>
      </c>
      <c r="AA230" s="13">
        <v>408</v>
      </c>
      <c r="AB230" s="13">
        <f t="shared" si="8"/>
        <v>195</v>
      </c>
      <c r="AC230" s="14">
        <f t="shared" si="9"/>
        <v>61.161290322580641</v>
      </c>
    </row>
    <row r="231" spans="1:29" ht="37.5" customHeight="1">
      <c r="A231" s="9">
        <v>228</v>
      </c>
      <c r="B231" s="9">
        <v>130</v>
      </c>
      <c r="C231" s="9">
        <v>3</v>
      </c>
      <c r="D231" s="9">
        <v>77</v>
      </c>
      <c r="E231" s="9">
        <v>422</v>
      </c>
      <c r="F231" s="9">
        <v>3</v>
      </c>
      <c r="G231" s="9">
        <v>0</v>
      </c>
      <c r="H231" s="9">
        <v>0</v>
      </c>
      <c r="I231" s="9">
        <v>0</v>
      </c>
      <c r="J231" s="9">
        <v>0</v>
      </c>
      <c r="K231" s="9">
        <v>10</v>
      </c>
      <c r="L231" s="9">
        <v>0</v>
      </c>
      <c r="M231" s="9">
        <v>2</v>
      </c>
      <c r="N231" s="9">
        <v>1</v>
      </c>
      <c r="O231" s="9">
        <v>1</v>
      </c>
      <c r="P231" s="9">
        <v>2</v>
      </c>
      <c r="Q231" s="9">
        <v>651</v>
      </c>
      <c r="R231" s="9">
        <f t="shared" si="0"/>
        <v>651</v>
      </c>
      <c r="S231" s="9">
        <f t="shared" si="1"/>
        <v>0</v>
      </c>
      <c r="T231" s="9">
        <v>1</v>
      </c>
      <c r="U231" s="9">
        <v>652</v>
      </c>
      <c r="V231" s="9">
        <v>0</v>
      </c>
      <c r="W231" s="15" t="s">
        <v>331</v>
      </c>
      <c r="X231" s="15" t="s">
        <v>333</v>
      </c>
      <c r="Y231" s="15">
        <v>750</v>
      </c>
      <c r="Z231" s="10">
        <v>311</v>
      </c>
      <c r="AA231" s="10">
        <v>267</v>
      </c>
      <c r="AB231" s="10">
        <f t="shared" si="8"/>
        <v>53</v>
      </c>
      <c r="AC231" s="16">
        <f t="shared" si="9"/>
        <v>86.933333333333323</v>
      </c>
    </row>
    <row r="232" spans="1:29" ht="37.5" customHeight="1">
      <c r="A232" s="9">
        <v>229</v>
      </c>
      <c r="B232" s="9">
        <v>172</v>
      </c>
      <c r="C232" s="9">
        <v>2</v>
      </c>
      <c r="D232" s="9">
        <v>93</v>
      </c>
      <c r="E232" s="9">
        <v>67</v>
      </c>
      <c r="F232" s="9">
        <v>0</v>
      </c>
      <c r="G232" s="9">
        <v>0</v>
      </c>
      <c r="H232" s="9">
        <v>0</v>
      </c>
      <c r="I232" s="9">
        <v>1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1</v>
      </c>
      <c r="P232" s="9">
        <v>0</v>
      </c>
      <c r="Q232" s="9">
        <v>336</v>
      </c>
      <c r="R232" s="9">
        <f t="shared" si="0"/>
        <v>336</v>
      </c>
      <c r="S232" s="9">
        <f t="shared" si="1"/>
        <v>0</v>
      </c>
      <c r="T232" s="9">
        <v>5</v>
      </c>
      <c r="U232" s="9">
        <v>341</v>
      </c>
      <c r="V232" s="9">
        <v>0</v>
      </c>
      <c r="W232" s="15" t="s">
        <v>331</v>
      </c>
      <c r="X232" s="15" t="s">
        <v>334</v>
      </c>
      <c r="Y232" s="15">
        <v>703</v>
      </c>
      <c r="Z232" s="15">
        <v>371</v>
      </c>
      <c r="AA232" s="10">
        <v>325</v>
      </c>
      <c r="AB232" s="10">
        <f t="shared" si="8"/>
        <v>79</v>
      </c>
      <c r="AC232" s="16">
        <f t="shared" si="9"/>
        <v>48.506401137980085</v>
      </c>
    </row>
    <row r="233" spans="1:29" ht="37.5" customHeight="1">
      <c r="A233" s="11">
        <v>230</v>
      </c>
      <c r="B233" s="11">
        <v>102</v>
      </c>
      <c r="C233" s="11">
        <v>2</v>
      </c>
      <c r="D233" s="11">
        <v>298</v>
      </c>
      <c r="E233" s="11">
        <v>82</v>
      </c>
      <c r="F233" s="11">
        <v>0</v>
      </c>
      <c r="G233" s="11">
        <v>3</v>
      </c>
      <c r="H233" s="11">
        <v>0</v>
      </c>
      <c r="I233" s="11">
        <v>1</v>
      </c>
      <c r="J233" s="11">
        <v>3</v>
      </c>
      <c r="K233" s="11">
        <v>1</v>
      </c>
      <c r="L233" s="11">
        <v>0</v>
      </c>
      <c r="M233" s="11">
        <v>0</v>
      </c>
      <c r="N233" s="11">
        <v>1</v>
      </c>
      <c r="O233" s="11">
        <v>3</v>
      </c>
      <c r="P233" s="11">
        <v>3</v>
      </c>
      <c r="Q233" s="11">
        <v>499</v>
      </c>
      <c r="R233" s="11">
        <f t="shared" si="0"/>
        <v>499</v>
      </c>
      <c r="S233" s="11">
        <f t="shared" si="1"/>
        <v>0</v>
      </c>
      <c r="T233" s="11">
        <v>5</v>
      </c>
      <c r="U233" s="11">
        <v>504</v>
      </c>
      <c r="V233" s="11">
        <v>0</v>
      </c>
      <c r="W233" s="12" t="s">
        <v>331</v>
      </c>
      <c r="X233" s="12" t="s">
        <v>335</v>
      </c>
      <c r="Y233" s="12">
        <v>881</v>
      </c>
      <c r="Z233" s="13">
        <v>487</v>
      </c>
      <c r="AA233" s="13">
        <v>394</v>
      </c>
      <c r="AB233" s="13">
        <f t="shared" si="8"/>
        <v>196</v>
      </c>
      <c r="AC233" s="14">
        <f t="shared" si="9"/>
        <v>57.207718501702608</v>
      </c>
    </row>
    <row r="234" spans="1:29" ht="37.5" customHeight="1">
      <c r="A234" s="11">
        <v>231</v>
      </c>
      <c r="B234" s="11">
        <v>261</v>
      </c>
      <c r="C234" s="11">
        <v>10</v>
      </c>
      <c r="D234" s="11">
        <v>278</v>
      </c>
      <c r="E234" s="11">
        <v>111</v>
      </c>
      <c r="F234" s="11">
        <v>1</v>
      </c>
      <c r="G234" s="11">
        <v>1</v>
      </c>
      <c r="H234" s="11">
        <v>0</v>
      </c>
      <c r="I234" s="11">
        <v>1</v>
      </c>
      <c r="J234" s="11">
        <v>0</v>
      </c>
      <c r="K234" s="11">
        <v>0</v>
      </c>
      <c r="L234" s="11">
        <v>0</v>
      </c>
      <c r="M234" s="11">
        <v>1</v>
      </c>
      <c r="N234" s="11">
        <v>1</v>
      </c>
      <c r="O234" s="11">
        <v>2</v>
      </c>
      <c r="P234" s="11">
        <v>2</v>
      </c>
      <c r="Q234" s="11">
        <v>669</v>
      </c>
      <c r="R234" s="11">
        <f t="shared" si="0"/>
        <v>669</v>
      </c>
      <c r="S234" s="11">
        <f t="shared" si="1"/>
        <v>0</v>
      </c>
      <c r="T234" s="11">
        <v>3</v>
      </c>
      <c r="U234" s="11">
        <v>672</v>
      </c>
      <c r="V234" s="11">
        <v>0</v>
      </c>
      <c r="W234" s="12" t="s">
        <v>336</v>
      </c>
      <c r="X234" s="12" t="s">
        <v>337</v>
      </c>
      <c r="Y234" s="12">
        <v>1204</v>
      </c>
      <c r="Z234" s="12">
        <v>641</v>
      </c>
      <c r="AA234" s="13">
        <v>555</v>
      </c>
      <c r="AB234" s="13">
        <f t="shared" si="8"/>
        <v>17</v>
      </c>
      <c r="AC234" s="14">
        <f t="shared" si="9"/>
        <v>55.813953488372093</v>
      </c>
    </row>
    <row r="235" spans="1:29" ht="37.5" customHeight="1">
      <c r="A235" s="11">
        <v>232</v>
      </c>
      <c r="B235" s="11">
        <v>220</v>
      </c>
      <c r="C235" s="11">
        <v>9</v>
      </c>
      <c r="D235" s="11">
        <v>468</v>
      </c>
      <c r="E235" s="11">
        <v>161</v>
      </c>
      <c r="F235" s="11">
        <v>5</v>
      </c>
      <c r="G235" s="11">
        <v>0</v>
      </c>
      <c r="H235" s="11">
        <v>0</v>
      </c>
      <c r="I235" s="11">
        <v>1</v>
      </c>
      <c r="J235" s="11">
        <v>45</v>
      </c>
      <c r="K235" s="11">
        <v>0</v>
      </c>
      <c r="L235" s="11">
        <v>0</v>
      </c>
      <c r="M235" s="11">
        <v>1</v>
      </c>
      <c r="N235" s="11">
        <v>0</v>
      </c>
      <c r="O235" s="11">
        <v>0</v>
      </c>
      <c r="P235" s="11">
        <v>0</v>
      </c>
      <c r="Q235" s="11">
        <v>910</v>
      </c>
      <c r="R235" s="11">
        <f t="shared" si="0"/>
        <v>910</v>
      </c>
      <c r="S235" s="11">
        <f t="shared" si="1"/>
        <v>0</v>
      </c>
      <c r="T235" s="11">
        <v>0</v>
      </c>
      <c r="U235" s="11">
        <v>910</v>
      </c>
      <c r="V235" s="11">
        <v>0</v>
      </c>
      <c r="W235" s="12" t="s">
        <v>338</v>
      </c>
      <c r="X235" s="12" t="s">
        <v>339</v>
      </c>
      <c r="Y235" s="12">
        <v>1179</v>
      </c>
      <c r="Z235" s="13">
        <v>623</v>
      </c>
      <c r="AA235" s="13">
        <v>551</v>
      </c>
      <c r="AB235" s="13">
        <f t="shared" si="8"/>
        <v>248</v>
      </c>
      <c r="AC235" s="14">
        <f t="shared" si="9"/>
        <v>77.184054283290919</v>
      </c>
    </row>
    <row r="236" spans="1:29" ht="37.5" customHeight="1">
      <c r="A236" s="11">
        <v>233</v>
      </c>
      <c r="B236" s="11">
        <v>267</v>
      </c>
      <c r="C236" s="11">
        <v>15</v>
      </c>
      <c r="D236" s="11">
        <v>388</v>
      </c>
      <c r="E236" s="11">
        <v>25</v>
      </c>
      <c r="F236" s="11">
        <v>1</v>
      </c>
      <c r="G236" s="11">
        <v>2</v>
      </c>
      <c r="H236" s="11">
        <v>0</v>
      </c>
      <c r="I236" s="11">
        <v>0</v>
      </c>
      <c r="J236" s="11">
        <v>2</v>
      </c>
      <c r="K236" s="11">
        <v>1</v>
      </c>
      <c r="L236" s="11">
        <v>0</v>
      </c>
      <c r="M236" s="11">
        <v>1</v>
      </c>
      <c r="N236" s="11">
        <v>0</v>
      </c>
      <c r="O236" s="11">
        <v>0</v>
      </c>
      <c r="P236" s="11">
        <v>0</v>
      </c>
      <c r="Q236" s="11">
        <v>702</v>
      </c>
      <c r="R236" s="11">
        <f t="shared" si="0"/>
        <v>702</v>
      </c>
      <c r="S236" s="11">
        <f t="shared" si="1"/>
        <v>0</v>
      </c>
      <c r="T236" s="11">
        <v>0</v>
      </c>
      <c r="U236" s="11">
        <v>802</v>
      </c>
      <c r="V236" s="11">
        <v>0</v>
      </c>
      <c r="W236" s="12" t="s">
        <v>340</v>
      </c>
      <c r="X236" s="12" t="s">
        <v>341</v>
      </c>
      <c r="Y236" s="12">
        <v>920</v>
      </c>
      <c r="Z236" s="12">
        <v>384</v>
      </c>
      <c r="AA236" s="13">
        <v>371</v>
      </c>
      <c r="AB236" s="13">
        <f t="shared" si="8"/>
        <v>121</v>
      </c>
      <c r="AC236" s="14">
        <f t="shared" si="9"/>
        <v>87.173913043478251</v>
      </c>
    </row>
    <row r="237" spans="1:29" ht="37.5" customHeight="1">
      <c r="A237" s="9">
        <v>234</v>
      </c>
      <c r="B237" s="9">
        <v>169</v>
      </c>
      <c r="C237" s="9">
        <v>3</v>
      </c>
      <c r="D237" s="9">
        <v>114</v>
      </c>
      <c r="E237" s="9">
        <v>284</v>
      </c>
      <c r="F237" s="9">
        <v>0</v>
      </c>
      <c r="G237" s="9">
        <v>0</v>
      </c>
      <c r="H237" s="9">
        <v>1</v>
      </c>
      <c r="I237" s="9">
        <v>0</v>
      </c>
      <c r="J237" s="9">
        <v>10</v>
      </c>
      <c r="K237" s="9">
        <v>0</v>
      </c>
      <c r="L237" s="9">
        <v>0</v>
      </c>
      <c r="M237" s="9">
        <v>2</v>
      </c>
      <c r="N237" s="9">
        <v>1</v>
      </c>
      <c r="O237" s="9">
        <v>0</v>
      </c>
      <c r="P237" s="9">
        <v>0</v>
      </c>
      <c r="Q237" s="9">
        <v>584</v>
      </c>
      <c r="R237" s="9">
        <f t="shared" si="0"/>
        <v>584</v>
      </c>
      <c r="S237" s="9">
        <f t="shared" si="1"/>
        <v>0</v>
      </c>
      <c r="T237" s="9">
        <v>0</v>
      </c>
      <c r="U237" s="9">
        <v>584</v>
      </c>
      <c r="V237" s="9">
        <v>0</v>
      </c>
      <c r="W237" s="15" t="s">
        <v>342</v>
      </c>
      <c r="X237" s="15" t="s">
        <v>343</v>
      </c>
      <c r="Y237" s="15">
        <v>1267</v>
      </c>
      <c r="Z237" s="10">
        <v>681</v>
      </c>
      <c r="AA237" s="10">
        <v>580</v>
      </c>
      <c r="AB237" s="10">
        <f t="shared" si="8"/>
        <v>55</v>
      </c>
      <c r="AC237" s="16">
        <f t="shared" si="9"/>
        <v>46.093133385951063</v>
      </c>
    </row>
    <row r="238" spans="1:29" ht="37.5" customHeight="1">
      <c r="A238" s="9">
        <v>235</v>
      </c>
      <c r="B238" s="9">
        <v>530</v>
      </c>
      <c r="C238" s="9">
        <v>2</v>
      </c>
      <c r="D238" s="9">
        <v>189</v>
      </c>
      <c r="E238" s="9">
        <v>141</v>
      </c>
      <c r="F238" s="9">
        <v>1</v>
      </c>
      <c r="G238" s="9">
        <v>0</v>
      </c>
      <c r="H238" s="9">
        <v>0</v>
      </c>
      <c r="I238" s="9">
        <v>1</v>
      </c>
      <c r="J238" s="9">
        <v>35</v>
      </c>
      <c r="K238" s="9">
        <v>1</v>
      </c>
      <c r="L238" s="9">
        <v>0</v>
      </c>
      <c r="M238" s="9">
        <v>1</v>
      </c>
      <c r="N238" s="9">
        <v>0</v>
      </c>
      <c r="O238" s="9">
        <v>0</v>
      </c>
      <c r="P238" s="9">
        <v>0</v>
      </c>
      <c r="Q238" s="9">
        <v>901</v>
      </c>
      <c r="R238" s="9">
        <f t="shared" si="0"/>
        <v>901</v>
      </c>
      <c r="S238" s="9">
        <f t="shared" si="1"/>
        <v>0</v>
      </c>
      <c r="T238" s="9">
        <v>0</v>
      </c>
      <c r="U238" s="9">
        <v>901</v>
      </c>
      <c r="V238" s="9">
        <v>0</v>
      </c>
      <c r="W238" s="15" t="s">
        <v>344</v>
      </c>
      <c r="X238" s="15" t="s">
        <v>345</v>
      </c>
      <c r="Y238" s="15">
        <v>970</v>
      </c>
      <c r="Z238" s="15">
        <v>381</v>
      </c>
      <c r="AA238" s="10">
        <v>332</v>
      </c>
      <c r="AB238" s="10">
        <f t="shared" si="8"/>
        <v>341</v>
      </c>
      <c r="AC238" s="16">
        <f t="shared" si="9"/>
        <v>92.886597938144334</v>
      </c>
    </row>
    <row r="239" spans="1:29" ht="37.5" customHeight="1">
      <c r="A239" s="9">
        <v>236</v>
      </c>
      <c r="B239" s="9">
        <v>259</v>
      </c>
      <c r="C239" s="9">
        <v>15</v>
      </c>
      <c r="D239" s="9">
        <v>145</v>
      </c>
      <c r="E239" s="9">
        <v>75</v>
      </c>
      <c r="F239" s="9">
        <v>1</v>
      </c>
      <c r="G239" s="9">
        <v>0</v>
      </c>
      <c r="H239" s="9">
        <v>0</v>
      </c>
      <c r="I239" s="9">
        <v>0</v>
      </c>
      <c r="J239" s="9">
        <v>1</v>
      </c>
      <c r="K239" s="9">
        <v>0</v>
      </c>
      <c r="L239" s="9">
        <v>0</v>
      </c>
      <c r="M239" s="9">
        <v>0</v>
      </c>
      <c r="N239" s="9">
        <v>1</v>
      </c>
      <c r="O239" s="9">
        <v>2</v>
      </c>
      <c r="P239" s="9">
        <v>0</v>
      </c>
      <c r="Q239" s="9">
        <v>499</v>
      </c>
      <c r="R239" s="9">
        <f t="shared" si="0"/>
        <v>499</v>
      </c>
      <c r="S239" s="9">
        <f t="shared" si="1"/>
        <v>0</v>
      </c>
      <c r="T239" s="9">
        <v>0</v>
      </c>
      <c r="U239" s="9">
        <v>499</v>
      </c>
      <c r="V239" s="9">
        <v>0</v>
      </c>
      <c r="W239" s="15" t="s">
        <v>346</v>
      </c>
      <c r="X239" s="15" t="s">
        <v>347</v>
      </c>
      <c r="Y239" s="15">
        <v>1192</v>
      </c>
      <c r="Z239" s="10">
        <v>648</v>
      </c>
      <c r="AA239" s="10">
        <v>544</v>
      </c>
      <c r="AB239" s="10">
        <f t="shared" si="8"/>
        <v>114</v>
      </c>
      <c r="AC239" s="16">
        <f t="shared" si="9"/>
        <v>41.86241610738255</v>
      </c>
    </row>
    <row r="240" spans="1:29" ht="37.5" customHeight="1">
      <c r="A240" s="9">
        <v>237</v>
      </c>
      <c r="B240" s="9">
        <v>324</v>
      </c>
      <c r="C240" s="9">
        <v>1</v>
      </c>
      <c r="D240" s="9">
        <v>86</v>
      </c>
      <c r="E240" s="9">
        <v>445</v>
      </c>
      <c r="F240" s="9">
        <v>5</v>
      </c>
      <c r="G240" s="9">
        <v>0</v>
      </c>
      <c r="H240" s="9">
        <v>0</v>
      </c>
      <c r="I240" s="9">
        <v>2</v>
      </c>
      <c r="J240" s="9">
        <v>0</v>
      </c>
      <c r="K240" s="9">
        <v>3</v>
      </c>
      <c r="L240" s="9">
        <v>1</v>
      </c>
      <c r="M240" s="9">
        <v>0</v>
      </c>
      <c r="N240" s="9">
        <v>2</v>
      </c>
      <c r="O240" s="9">
        <v>0</v>
      </c>
      <c r="P240" s="9">
        <v>1</v>
      </c>
      <c r="Q240" s="9">
        <v>870</v>
      </c>
      <c r="R240" s="9">
        <f t="shared" si="0"/>
        <v>870</v>
      </c>
      <c r="S240" s="9">
        <f t="shared" si="1"/>
        <v>0</v>
      </c>
      <c r="T240" s="9">
        <v>4</v>
      </c>
      <c r="U240" s="9">
        <v>874</v>
      </c>
      <c r="V240" s="9">
        <v>0</v>
      </c>
      <c r="W240" s="15" t="s">
        <v>346</v>
      </c>
      <c r="X240" s="15" t="s">
        <v>348</v>
      </c>
      <c r="Y240" s="15">
        <v>950</v>
      </c>
      <c r="Z240" s="15">
        <v>468</v>
      </c>
      <c r="AA240" s="10">
        <v>430</v>
      </c>
      <c r="AB240" s="10">
        <f t="shared" si="8"/>
        <v>238</v>
      </c>
      <c r="AC240" s="16">
        <f t="shared" si="9"/>
        <v>92</v>
      </c>
    </row>
    <row r="241" spans="1:29" ht="37.5" customHeight="1">
      <c r="A241" s="11">
        <v>238</v>
      </c>
      <c r="B241" s="11">
        <v>144</v>
      </c>
      <c r="C241" s="11">
        <v>19</v>
      </c>
      <c r="D241" s="11">
        <v>461</v>
      </c>
      <c r="E241" s="11">
        <v>21</v>
      </c>
      <c r="F241" s="11">
        <v>0</v>
      </c>
      <c r="G241" s="11">
        <v>0</v>
      </c>
      <c r="H241" s="11">
        <v>0</v>
      </c>
      <c r="I241" s="11">
        <v>0</v>
      </c>
      <c r="J241" s="11">
        <v>1</v>
      </c>
      <c r="K241" s="11">
        <v>1</v>
      </c>
      <c r="L241" s="11">
        <v>1</v>
      </c>
      <c r="M241" s="11">
        <v>0</v>
      </c>
      <c r="N241" s="11">
        <v>2</v>
      </c>
      <c r="O241" s="11">
        <v>5</v>
      </c>
      <c r="P241" s="11">
        <v>0</v>
      </c>
      <c r="Q241" s="11">
        <v>655</v>
      </c>
      <c r="R241" s="11">
        <f t="shared" si="0"/>
        <v>655</v>
      </c>
      <c r="S241" s="11">
        <f t="shared" si="1"/>
        <v>0</v>
      </c>
      <c r="T241" s="11">
        <v>3</v>
      </c>
      <c r="U241" s="11">
        <v>658</v>
      </c>
      <c r="V241" s="11">
        <v>0</v>
      </c>
      <c r="W241" s="12" t="s">
        <v>349</v>
      </c>
      <c r="X241" s="12" t="s">
        <v>350</v>
      </c>
      <c r="Y241" s="12">
        <v>978</v>
      </c>
      <c r="Z241" s="13">
        <v>535</v>
      </c>
      <c r="AA241" s="13">
        <v>436</v>
      </c>
      <c r="AB241" s="13">
        <f t="shared" si="8"/>
        <v>317</v>
      </c>
      <c r="AC241" s="14">
        <f t="shared" si="9"/>
        <v>67.280163599182004</v>
      </c>
    </row>
    <row r="242" spans="1:29" ht="37.5" customHeight="1">
      <c r="A242" s="11">
        <v>239</v>
      </c>
      <c r="B242" s="11">
        <v>160</v>
      </c>
      <c r="C242" s="11">
        <v>34</v>
      </c>
      <c r="D242" s="11">
        <v>357</v>
      </c>
      <c r="E242" s="11">
        <v>161</v>
      </c>
      <c r="F242" s="11">
        <v>3</v>
      </c>
      <c r="G242" s="11">
        <v>1</v>
      </c>
      <c r="H242" s="11">
        <v>1</v>
      </c>
      <c r="I242" s="11">
        <v>0</v>
      </c>
      <c r="J242" s="11">
        <v>3</v>
      </c>
      <c r="K242" s="11">
        <v>6</v>
      </c>
      <c r="L242" s="11">
        <v>1</v>
      </c>
      <c r="M242" s="11">
        <v>1</v>
      </c>
      <c r="N242" s="11">
        <v>0</v>
      </c>
      <c r="O242" s="11">
        <v>1</v>
      </c>
      <c r="P242" s="11">
        <v>2</v>
      </c>
      <c r="Q242" s="11">
        <v>731</v>
      </c>
      <c r="R242" s="11">
        <f t="shared" si="0"/>
        <v>731</v>
      </c>
      <c r="S242" s="11">
        <f t="shared" si="1"/>
        <v>0</v>
      </c>
      <c r="T242" s="11">
        <v>1</v>
      </c>
      <c r="U242" s="11">
        <v>732</v>
      </c>
      <c r="V242" s="11">
        <v>0</v>
      </c>
      <c r="W242" s="12" t="s">
        <v>351</v>
      </c>
      <c r="X242" s="12" t="s">
        <v>352</v>
      </c>
      <c r="Y242" s="12">
        <v>800</v>
      </c>
      <c r="Z242" s="12">
        <v>373</v>
      </c>
      <c r="AA242" s="13">
        <v>334</v>
      </c>
      <c r="AB242" s="13">
        <f t="shared" si="8"/>
        <v>197</v>
      </c>
      <c r="AC242" s="14">
        <f t="shared" si="9"/>
        <v>91.5</v>
      </c>
    </row>
    <row r="243" spans="1:29" ht="37.5" customHeight="1">
      <c r="A243" s="9">
        <v>240</v>
      </c>
      <c r="B243" s="9">
        <v>259</v>
      </c>
      <c r="C243" s="9">
        <v>3</v>
      </c>
      <c r="D243" s="9">
        <v>174</v>
      </c>
      <c r="E243" s="9">
        <v>85</v>
      </c>
      <c r="F243" s="9">
        <v>2</v>
      </c>
      <c r="G243" s="9">
        <v>0</v>
      </c>
      <c r="H243" s="9">
        <v>0</v>
      </c>
      <c r="I243" s="9">
        <v>1</v>
      </c>
      <c r="J243" s="9">
        <v>0</v>
      </c>
      <c r="K243" s="9">
        <v>1</v>
      </c>
      <c r="L243" s="9">
        <v>0</v>
      </c>
      <c r="M243" s="9">
        <v>0</v>
      </c>
      <c r="N243" s="9">
        <v>2</v>
      </c>
      <c r="O243" s="9">
        <v>4</v>
      </c>
      <c r="P243" s="9">
        <v>1</v>
      </c>
      <c r="Q243" s="9">
        <v>532</v>
      </c>
      <c r="R243" s="9">
        <f t="shared" si="0"/>
        <v>532</v>
      </c>
      <c r="S243" s="9">
        <f t="shared" si="1"/>
        <v>0</v>
      </c>
      <c r="T243" s="9">
        <v>1</v>
      </c>
      <c r="U243" s="9">
        <v>533</v>
      </c>
      <c r="V243" s="9">
        <v>0</v>
      </c>
      <c r="W243" s="15" t="s">
        <v>353</v>
      </c>
      <c r="X243" s="15" t="s">
        <v>354</v>
      </c>
      <c r="Y243" s="15">
        <v>624</v>
      </c>
      <c r="Z243" s="10">
        <v>317</v>
      </c>
      <c r="AA243" s="10">
        <v>299</v>
      </c>
      <c r="AB243" s="10">
        <f t="shared" si="8"/>
        <v>85</v>
      </c>
      <c r="AC243" s="16">
        <f t="shared" si="9"/>
        <v>85.416666666666657</v>
      </c>
    </row>
    <row r="244" spans="1:29" ht="37.5" customHeight="1">
      <c r="A244" s="11">
        <v>241</v>
      </c>
      <c r="B244" s="11">
        <v>68</v>
      </c>
      <c r="C244" s="11">
        <v>27</v>
      </c>
      <c r="D244" s="11">
        <v>339</v>
      </c>
      <c r="E244" s="11">
        <v>8</v>
      </c>
      <c r="F244" s="11">
        <v>2</v>
      </c>
      <c r="G244" s="11">
        <v>1</v>
      </c>
      <c r="H244" s="11">
        <v>0</v>
      </c>
      <c r="I244" s="11">
        <v>0</v>
      </c>
      <c r="J244" s="11">
        <v>1</v>
      </c>
      <c r="K244" s="11">
        <v>5</v>
      </c>
      <c r="L244" s="11">
        <v>0</v>
      </c>
      <c r="M244" s="11">
        <v>1</v>
      </c>
      <c r="N244" s="11">
        <v>0</v>
      </c>
      <c r="O244" s="11">
        <v>3</v>
      </c>
      <c r="P244" s="11">
        <v>1</v>
      </c>
      <c r="Q244" s="11">
        <v>456</v>
      </c>
      <c r="R244" s="11">
        <f t="shared" si="0"/>
        <v>456</v>
      </c>
      <c r="S244" s="11">
        <f t="shared" si="1"/>
        <v>0</v>
      </c>
      <c r="T244" s="11">
        <v>0</v>
      </c>
      <c r="U244" s="11">
        <v>456</v>
      </c>
      <c r="V244" s="11">
        <v>0</v>
      </c>
      <c r="W244" s="12" t="s">
        <v>353</v>
      </c>
      <c r="X244" s="12" t="s">
        <v>355</v>
      </c>
      <c r="Y244" s="12">
        <v>799</v>
      </c>
      <c r="Z244" s="12">
        <v>419</v>
      </c>
      <c r="AA244" s="13">
        <v>377</v>
      </c>
      <c r="AB244" s="13">
        <f t="shared" si="8"/>
        <v>271</v>
      </c>
      <c r="AC244" s="14">
        <f t="shared" si="9"/>
        <v>57.071339173967459</v>
      </c>
    </row>
    <row r="245" spans="1:29" ht="37.5" customHeight="1">
      <c r="A245" s="11">
        <v>242</v>
      </c>
      <c r="B245" s="11">
        <v>175</v>
      </c>
      <c r="C245" s="11">
        <v>21</v>
      </c>
      <c r="D245" s="11">
        <v>313</v>
      </c>
      <c r="E245" s="11">
        <v>23</v>
      </c>
      <c r="F245" s="11">
        <v>0</v>
      </c>
      <c r="G245" s="11">
        <v>0</v>
      </c>
      <c r="H245" s="11">
        <v>2</v>
      </c>
      <c r="I245" s="11">
        <v>12</v>
      </c>
      <c r="J245" s="11">
        <v>2</v>
      </c>
      <c r="K245" s="11">
        <v>0</v>
      </c>
      <c r="L245" s="11">
        <v>0</v>
      </c>
      <c r="M245" s="11">
        <v>0</v>
      </c>
      <c r="N245" s="11">
        <v>1</v>
      </c>
      <c r="O245" s="11">
        <v>3</v>
      </c>
      <c r="P245" s="11">
        <v>1</v>
      </c>
      <c r="Q245" s="11">
        <v>553</v>
      </c>
      <c r="R245" s="11">
        <f t="shared" si="0"/>
        <v>553</v>
      </c>
      <c r="S245" s="11">
        <f t="shared" si="1"/>
        <v>0</v>
      </c>
      <c r="T245" s="11">
        <v>7</v>
      </c>
      <c r="U245" s="11">
        <v>560</v>
      </c>
      <c r="V245" s="11">
        <v>0</v>
      </c>
      <c r="W245" s="12" t="s">
        <v>356</v>
      </c>
      <c r="X245" s="12" t="s">
        <v>357</v>
      </c>
      <c r="Y245" s="12">
        <v>1032</v>
      </c>
      <c r="Z245" s="13">
        <v>556</v>
      </c>
      <c r="AA245" s="13">
        <v>471</v>
      </c>
      <c r="AB245" s="13">
        <f t="shared" si="8"/>
        <v>138</v>
      </c>
      <c r="AC245" s="14">
        <f t="shared" si="9"/>
        <v>54.263565891472865</v>
      </c>
    </row>
    <row r="246" spans="1:29" ht="37.5" customHeight="1">
      <c r="A246" s="11">
        <v>243</v>
      </c>
      <c r="B246" s="11">
        <v>290</v>
      </c>
      <c r="C246" s="11">
        <v>23</v>
      </c>
      <c r="D246" s="11">
        <v>397</v>
      </c>
      <c r="E246" s="11">
        <v>48</v>
      </c>
      <c r="F246" s="11">
        <v>2</v>
      </c>
      <c r="G246" s="11">
        <v>2</v>
      </c>
      <c r="H246" s="11">
        <v>0</v>
      </c>
      <c r="I246" s="11">
        <v>1</v>
      </c>
      <c r="J246" s="11">
        <v>1</v>
      </c>
      <c r="K246" s="11">
        <v>0</v>
      </c>
      <c r="L246" s="11">
        <v>2</v>
      </c>
      <c r="M246" s="11">
        <v>2</v>
      </c>
      <c r="N246" s="11">
        <v>2</v>
      </c>
      <c r="O246" s="11">
        <v>2</v>
      </c>
      <c r="P246" s="11">
        <v>2</v>
      </c>
      <c r="Q246" s="11">
        <v>774</v>
      </c>
      <c r="R246" s="11">
        <f t="shared" si="0"/>
        <v>774</v>
      </c>
      <c r="S246" s="11">
        <f t="shared" si="1"/>
        <v>0</v>
      </c>
      <c r="T246" s="11">
        <v>3</v>
      </c>
      <c r="U246" s="11">
        <v>777</v>
      </c>
      <c r="V246" s="11">
        <v>0</v>
      </c>
      <c r="W246" s="12" t="s">
        <v>358</v>
      </c>
      <c r="X246" s="12" t="s">
        <v>359</v>
      </c>
      <c r="Y246" s="12">
        <v>800</v>
      </c>
      <c r="Z246" s="12">
        <v>284</v>
      </c>
      <c r="AA246" s="13">
        <v>269</v>
      </c>
      <c r="AB246" s="13">
        <f t="shared" si="8"/>
        <v>107</v>
      </c>
      <c r="AC246" s="14">
        <f t="shared" si="9"/>
        <v>97.125</v>
      </c>
    </row>
    <row r="247" spans="1:29" ht="37.5" customHeight="1">
      <c r="A247" s="11">
        <v>244</v>
      </c>
      <c r="B247" s="11">
        <v>184</v>
      </c>
      <c r="C247" s="11">
        <v>28</v>
      </c>
      <c r="D247" s="11">
        <v>214</v>
      </c>
      <c r="E247" s="11">
        <v>3</v>
      </c>
      <c r="F247" s="11">
        <v>0</v>
      </c>
      <c r="G247" s="11">
        <v>1</v>
      </c>
      <c r="H247" s="11">
        <v>0</v>
      </c>
      <c r="I247" s="11">
        <v>0</v>
      </c>
      <c r="J247" s="11">
        <v>5</v>
      </c>
      <c r="K247" s="11">
        <v>2</v>
      </c>
      <c r="L247" s="11">
        <v>0</v>
      </c>
      <c r="M247" s="11">
        <v>2</v>
      </c>
      <c r="N247" s="11">
        <v>0</v>
      </c>
      <c r="O247" s="11">
        <v>0</v>
      </c>
      <c r="P247" s="11">
        <v>0</v>
      </c>
      <c r="Q247" s="11">
        <v>439</v>
      </c>
      <c r="R247" s="11">
        <f t="shared" si="0"/>
        <v>439</v>
      </c>
      <c r="S247" s="11">
        <f t="shared" si="1"/>
        <v>0</v>
      </c>
      <c r="T247" s="11">
        <v>3</v>
      </c>
      <c r="U247" s="11">
        <v>442</v>
      </c>
      <c r="V247" s="11">
        <v>0</v>
      </c>
      <c r="W247" s="12" t="s">
        <v>360</v>
      </c>
      <c r="X247" s="12" t="s">
        <v>361</v>
      </c>
      <c r="Y247" s="12">
        <v>655</v>
      </c>
      <c r="Z247" s="13">
        <v>353</v>
      </c>
      <c r="AA247" s="13">
        <v>302</v>
      </c>
      <c r="AB247" s="13">
        <f t="shared" si="8"/>
        <v>30</v>
      </c>
      <c r="AC247" s="14">
        <f t="shared" si="9"/>
        <v>67.48091603053436</v>
      </c>
    </row>
    <row r="248" spans="1:29" ht="37.5" customHeight="1">
      <c r="A248" s="9">
        <v>245</v>
      </c>
      <c r="B248" s="9">
        <v>403</v>
      </c>
      <c r="C248" s="9">
        <v>3</v>
      </c>
      <c r="D248" s="9">
        <v>93</v>
      </c>
      <c r="E248" s="9">
        <v>4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503</v>
      </c>
      <c r="R248" s="9">
        <f t="shared" si="0"/>
        <v>503</v>
      </c>
      <c r="S248" s="9">
        <f t="shared" si="1"/>
        <v>0</v>
      </c>
      <c r="T248" s="9">
        <v>1</v>
      </c>
      <c r="U248" s="9">
        <v>504</v>
      </c>
      <c r="V248" s="9">
        <v>0</v>
      </c>
      <c r="W248" s="15" t="s">
        <v>360</v>
      </c>
      <c r="X248" s="15" t="s">
        <v>362</v>
      </c>
      <c r="Y248" s="15">
        <v>1025</v>
      </c>
      <c r="Z248" s="15">
        <v>555</v>
      </c>
      <c r="AA248" s="10">
        <v>468</v>
      </c>
      <c r="AB248" s="10">
        <f t="shared" si="8"/>
        <v>310</v>
      </c>
      <c r="AC248" s="16">
        <f t="shared" si="9"/>
        <v>49.170731707317074</v>
      </c>
    </row>
    <row r="249" spans="1:29" ht="37.5" customHeight="1">
      <c r="A249" s="11">
        <v>246</v>
      </c>
      <c r="B249" s="11">
        <v>268</v>
      </c>
      <c r="C249" s="11">
        <v>8</v>
      </c>
      <c r="D249" s="11">
        <v>324</v>
      </c>
      <c r="E249" s="11">
        <v>115</v>
      </c>
      <c r="F249" s="11">
        <v>5</v>
      </c>
      <c r="G249" s="11">
        <v>0</v>
      </c>
      <c r="H249" s="11">
        <v>0</v>
      </c>
      <c r="I249" s="11">
        <v>0</v>
      </c>
      <c r="J249" s="11">
        <v>5</v>
      </c>
      <c r="K249" s="11">
        <v>1</v>
      </c>
      <c r="L249" s="11">
        <v>0</v>
      </c>
      <c r="M249" s="11">
        <v>1</v>
      </c>
      <c r="N249" s="11">
        <v>1</v>
      </c>
      <c r="O249" s="11">
        <v>1</v>
      </c>
      <c r="P249" s="11">
        <v>1</v>
      </c>
      <c r="Q249" s="11">
        <v>730</v>
      </c>
      <c r="R249" s="11">
        <f t="shared" si="0"/>
        <v>730</v>
      </c>
      <c r="S249" s="11">
        <f t="shared" si="1"/>
        <v>0</v>
      </c>
      <c r="T249" s="11">
        <v>4</v>
      </c>
      <c r="U249" s="11">
        <v>734</v>
      </c>
      <c r="V249" s="11">
        <v>0</v>
      </c>
      <c r="W249" s="12" t="s">
        <v>363</v>
      </c>
      <c r="X249" s="12" t="s">
        <v>364</v>
      </c>
      <c r="Y249" s="12">
        <v>1293</v>
      </c>
      <c r="Z249" s="13">
        <v>694</v>
      </c>
      <c r="AA249" s="13">
        <v>598</v>
      </c>
      <c r="AB249" s="13">
        <f t="shared" si="8"/>
        <v>56</v>
      </c>
      <c r="AC249" s="14">
        <f t="shared" si="9"/>
        <v>56.767208043310134</v>
      </c>
    </row>
    <row r="250" spans="1:29" ht="37.5" customHeight="1">
      <c r="A250" s="11">
        <v>247</v>
      </c>
      <c r="B250" s="11">
        <v>333</v>
      </c>
      <c r="C250" s="11">
        <v>53</v>
      </c>
      <c r="D250" s="11">
        <v>480</v>
      </c>
      <c r="E250" s="11">
        <v>36</v>
      </c>
      <c r="F250" s="11">
        <v>0</v>
      </c>
      <c r="G250" s="11">
        <v>9</v>
      </c>
      <c r="H250" s="11">
        <v>0</v>
      </c>
      <c r="I250" s="11">
        <v>1</v>
      </c>
      <c r="J250" s="11">
        <v>21</v>
      </c>
      <c r="K250" s="11">
        <v>1</v>
      </c>
      <c r="L250" s="11">
        <v>0</v>
      </c>
      <c r="M250" s="11">
        <v>1</v>
      </c>
      <c r="N250" s="11">
        <v>2</v>
      </c>
      <c r="O250" s="11">
        <v>6</v>
      </c>
      <c r="P250" s="11">
        <v>0</v>
      </c>
      <c r="Q250" s="11">
        <v>943</v>
      </c>
      <c r="R250" s="11">
        <f t="shared" si="0"/>
        <v>943</v>
      </c>
      <c r="S250" s="11">
        <f t="shared" si="1"/>
        <v>0</v>
      </c>
      <c r="T250" s="11">
        <v>4</v>
      </c>
      <c r="U250" s="11">
        <v>947</v>
      </c>
      <c r="V250" s="11">
        <v>0</v>
      </c>
      <c r="W250" s="12" t="s">
        <v>365</v>
      </c>
      <c r="X250" s="12" t="s">
        <v>366</v>
      </c>
      <c r="Y250" s="12">
        <v>1000</v>
      </c>
      <c r="Z250" s="12">
        <v>261</v>
      </c>
      <c r="AA250" s="13">
        <v>255</v>
      </c>
      <c r="AB250" s="13">
        <f t="shared" si="8"/>
        <v>147</v>
      </c>
      <c r="AC250" s="14">
        <f t="shared" si="9"/>
        <v>94.699999999999989</v>
      </c>
    </row>
    <row r="251" spans="1:29" ht="37.5" customHeight="1">
      <c r="A251" s="11">
        <v>248</v>
      </c>
      <c r="B251" s="11">
        <v>124</v>
      </c>
      <c r="C251" s="11">
        <v>9</v>
      </c>
      <c r="D251" s="11">
        <v>216</v>
      </c>
      <c r="E251" s="11">
        <v>25</v>
      </c>
      <c r="F251" s="11">
        <v>1</v>
      </c>
      <c r="G251" s="11">
        <v>1</v>
      </c>
      <c r="H251" s="11">
        <v>0</v>
      </c>
      <c r="I251" s="11">
        <v>0</v>
      </c>
      <c r="J251" s="11">
        <v>4</v>
      </c>
      <c r="K251" s="11">
        <v>1</v>
      </c>
      <c r="L251" s="11">
        <v>0</v>
      </c>
      <c r="M251" s="11">
        <v>1</v>
      </c>
      <c r="N251" s="11" t="s">
        <v>18</v>
      </c>
      <c r="O251" s="11">
        <v>2</v>
      </c>
      <c r="P251" s="11">
        <v>0</v>
      </c>
      <c r="Q251" s="11">
        <v>384</v>
      </c>
      <c r="R251" s="11">
        <f t="shared" si="0"/>
        <v>384</v>
      </c>
      <c r="S251" s="11">
        <f t="shared" si="1"/>
        <v>0</v>
      </c>
      <c r="T251" s="11">
        <v>0</v>
      </c>
      <c r="U251" s="11">
        <v>384</v>
      </c>
      <c r="V251" s="11">
        <v>0</v>
      </c>
      <c r="W251" s="12" t="s">
        <v>367</v>
      </c>
      <c r="X251" s="12" t="s">
        <v>368</v>
      </c>
      <c r="Y251" s="12">
        <v>962</v>
      </c>
      <c r="Z251" s="13">
        <v>479</v>
      </c>
      <c r="AA251" s="13">
        <v>481</v>
      </c>
      <c r="AB251" s="13">
        <f t="shared" si="8"/>
        <v>92</v>
      </c>
      <c r="AC251" s="14">
        <f t="shared" si="9"/>
        <v>39.916839916839919</v>
      </c>
    </row>
    <row r="252" spans="1:29" ht="37.5" customHeight="1">
      <c r="A252" s="9">
        <v>249</v>
      </c>
      <c r="B252" s="9">
        <v>305</v>
      </c>
      <c r="C252" s="9">
        <v>1</v>
      </c>
      <c r="D252" s="9">
        <v>135</v>
      </c>
      <c r="E252" s="9">
        <v>96</v>
      </c>
      <c r="F252" s="9">
        <v>2</v>
      </c>
      <c r="G252" s="9">
        <v>1</v>
      </c>
      <c r="H252" s="9">
        <v>0</v>
      </c>
      <c r="I252" s="9">
        <v>1</v>
      </c>
      <c r="J252" s="9">
        <v>1</v>
      </c>
      <c r="K252" s="9">
        <v>0</v>
      </c>
      <c r="L252" s="9">
        <v>3</v>
      </c>
      <c r="M252" s="9">
        <v>1</v>
      </c>
      <c r="N252" s="9">
        <v>0</v>
      </c>
      <c r="O252" s="9">
        <v>1</v>
      </c>
      <c r="P252" s="9">
        <v>0</v>
      </c>
      <c r="Q252" s="9">
        <v>547</v>
      </c>
      <c r="R252" s="9">
        <f t="shared" si="0"/>
        <v>547</v>
      </c>
      <c r="S252" s="9">
        <f t="shared" si="1"/>
        <v>0</v>
      </c>
      <c r="T252" s="9">
        <v>2</v>
      </c>
      <c r="U252" s="9">
        <v>549</v>
      </c>
      <c r="V252" s="9">
        <v>0</v>
      </c>
      <c r="W252" s="15" t="s">
        <v>367</v>
      </c>
      <c r="X252" s="15" t="s">
        <v>369</v>
      </c>
      <c r="Y252" s="15">
        <v>640</v>
      </c>
      <c r="Z252" s="15">
        <v>344</v>
      </c>
      <c r="AA252" s="10">
        <v>296</v>
      </c>
      <c r="AB252" s="10">
        <f t="shared" si="8"/>
        <v>170</v>
      </c>
      <c r="AC252" s="16">
        <f t="shared" si="9"/>
        <v>85.78125</v>
      </c>
    </row>
    <row r="253" spans="1:29" ht="37.5" customHeight="1">
      <c r="A253" s="9">
        <v>250</v>
      </c>
      <c r="B253" s="9">
        <v>244</v>
      </c>
      <c r="C253" s="9">
        <v>10</v>
      </c>
      <c r="D253" s="9">
        <v>97</v>
      </c>
      <c r="E253" s="9">
        <v>70</v>
      </c>
      <c r="F253" s="9">
        <v>1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1</v>
      </c>
      <c r="P253" s="9">
        <v>0</v>
      </c>
      <c r="Q253" s="9">
        <v>423</v>
      </c>
      <c r="R253" s="9">
        <f t="shared" si="0"/>
        <v>423</v>
      </c>
      <c r="S253" s="9">
        <f t="shared" si="1"/>
        <v>0</v>
      </c>
      <c r="T253" s="9">
        <v>7</v>
      </c>
      <c r="U253" s="9">
        <v>430</v>
      </c>
      <c r="V253" s="9">
        <v>0</v>
      </c>
      <c r="W253" s="15" t="s">
        <v>367</v>
      </c>
      <c r="X253" s="15" t="s">
        <v>370</v>
      </c>
      <c r="Y253" s="15">
        <v>992</v>
      </c>
      <c r="Z253" s="10">
        <v>524</v>
      </c>
      <c r="AA253" s="10">
        <v>460</v>
      </c>
      <c r="AB253" s="10">
        <f t="shared" si="8"/>
        <v>147</v>
      </c>
      <c r="AC253" s="16">
        <f t="shared" si="9"/>
        <v>43.346774193548384</v>
      </c>
    </row>
    <row r="254" spans="1:29" ht="37.5" customHeight="1">
      <c r="A254" s="9">
        <v>251</v>
      </c>
      <c r="B254" s="9">
        <v>433</v>
      </c>
      <c r="C254" s="9">
        <v>4</v>
      </c>
      <c r="D254" s="9">
        <v>222</v>
      </c>
      <c r="E254" s="9">
        <v>8</v>
      </c>
      <c r="F254" s="9">
        <v>1</v>
      </c>
      <c r="G254" s="9">
        <v>0</v>
      </c>
      <c r="H254" s="9">
        <v>0</v>
      </c>
      <c r="I254" s="9">
        <v>1</v>
      </c>
      <c r="J254" s="9">
        <v>0</v>
      </c>
      <c r="K254" s="9">
        <v>0</v>
      </c>
      <c r="L254" s="9">
        <v>0</v>
      </c>
      <c r="M254" s="9">
        <v>1</v>
      </c>
      <c r="N254" s="9">
        <v>0</v>
      </c>
      <c r="O254" s="9">
        <v>3</v>
      </c>
      <c r="P254" s="9">
        <v>2</v>
      </c>
      <c r="Q254" s="9">
        <v>675</v>
      </c>
      <c r="R254" s="9">
        <f t="shared" si="0"/>
        <v>675</v>
      </c>
      <c r="S254" s="9">
        <f t="shared" si="1"/>
        <v>0</v>
      </c>
      <c r="T254" s="9">
        <v>1</v>
      </c>
      <c r="U254" s="9">
        <v>676</v>
      </c>
      <c r="V254" s="9">
        <v>0</v>
      </c>
      <c r="W254" s="15" t="s">
        <v>367</v>
      </c>
      <c r="X254" s="15" t="s">
        <v>370</v>
      </c>
      <c r="Y254" s="15">
        <v>850</v>
      </c>
      <c r="Z254" s="15">
        <v>375</v>
      </c>
      <c r="AA254" s="10">
        <v>341</v>
      </c>
      <c r="AB254" s="10">
        <f t="shared" si="8"/>
        <v>211</v>
      </c>
      <c r="AC254" s="16">
        <f t="shared" si="9"/>
        <v>79.529411764705884</v>
      </c>
    </row>
    <row r="255" spans="1:29" ht="37.5" customHeight="1">
      <c r="A255" s="9">
        <v>252</v>
      </c>
      <c r="B255" s="9">
        <v>307</v>
      </c>
      <c r="C255" s="9">
        <v>10</v>
      </c>
      <c r="D255" s="9">
        <v>139</v>
      </c>
      <c r="E255" s="9">
        <v>16</v>
      </c>
      <c r="F255" s="9">
        <v>0</v>
      </c>
      <c r="G255" s="9">
        <v>1</v>
      </c>
      <c r="H255" s="9">
        <v>0</v>
      </c>
      <c r="I255" s="9">
        <v>2</v>
      </c>
      <c r="J255" s="9">
        <v>1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476</v>
      </c>
      <c r="R255" s="9">
        <f t="shared" si="0"/>
        <v>476</v>
      </c>
      <c r="S255" s="9">
        <f t="shared" si="1"/>
        <v>0</v>
      </c>
      <c r="T255" s="9">
        <v>3</v>
      </c>
      <c r="U255" s="9">
        <v>479</v>
      </c>
      <c r="V255" s="9">
        <v>0</v>
      </c>
      <c r="W255" s="15" t="s">
        <v>371</v>
      </c>
      <c r="X255" s="15" t="s">
        <v>372</v>
      </c>
      <c r="Y255" s="15">
        <v>720</v>
      </c>
      <c r="Z255" s="10">
        <v>375</v>
      </c>
      <c r="AA255" s="10">
        <v>341</v>
      </c>
      <c r="AB255" s="10">
        <f t="shared" si="8"/>
        <v>168</v>
      </c>
      <c r="AC255" s="16">
        <f t="shared" si="9"/>
        <v>66.527777777777771</v>
      </c>
    </row>
    <row r="256" spans="1:29" ht="37.5" customHeight="1">
      <c r="A256" s="9">
        <v>253</v>
      </c>
      <c r="B256" s="9">
        <v>395</v>
      </c>
      <c r="C256" s="9">
        <v>5</v>
      </c>
      <c r="D256" s="9">
        <v>47</v>
      </c>
      <c r="E256" s="9">
        <v>45</v>
      </c>
      <c r="F256" s="9">
        <v>1</v>
      </c>
      <c r="G256" s="9">
        <v>0</v>
      </c>
      <c r="H256" s="9">
        <v>0</v>
      </c>
      <c r="I256" s="9">
        <v>1</v>
      </c>
      <c r="J256" s="9">
        <v>0</v>
      </c>
      <c r="K256" s="9">
        <v>1</v>
      </c>
      <c r="L256" s="9">
        <v>0</v>
      </c>
      <c r="M256" s="9">
        <v>0</v>
      </c>
      <c r="N256" s="9">
        <v>0</v>
      </c>
      <c r="O256" s="9">
        <v>1</v>
      </c>
      <c r="P256" s="9">
        <v>0</v>
      </c>
      <c r="Q256" s="9">
        <v>496</v>
      </c>
      <c r="R256" s="9">
        <f t="shared" si="0"/>
        <v>496</v>
      </c>
      <c r="S256" s="9">
        <f t="shared" si="1"/>
        <v>0</v>
      </c>
      <c r="T256" s="9">
        <v>7</v>
      </c>
      <c r="U256" s="9">
        <v>503</v>
      </c>
      <c r="V256" s="9">
        <v>0</v>
      </c>
      <c r="W256" s="15" t="s">
        <v>371</v>
      </c>
      <c r="X256" s="15" t="s">
        <v>373</v>
      </c>
      <c r="Y256" s="15">
        <v>710</v>
      </c>
      <c r="Z256" s="15">
        <v>373</v>
      </c>
      <c r="AA256" s="10">
        <v>336</v>
      </c>
      <c r="AB256" s="10">
        <f t="shared" si="8"/>
        <v>348</v>
      </c>
      <c r="AC256" s="16">
        <f t="shared" si="9"/>
        <v>70.845070422535215</v>
      </c>
    </row>
    <row r="257" spans="1:29" ht="37.5" customHeight="1">
      <c r="A257" s="9">
        <v>254</v>
      </c>
      <c r="B257" s="9">
        <v>247</v>
      </c>
      <c r="C257" s="9">
        <v>1</v>
      </c>
      <c r="D257" s="9">
        <v>36</v>
      </c>
      <c r="E257" s="9">
        <v>178</v>
      </c>
      <c r="F257" s="9">
        <v>1</v>
      </c>
      <c r="G257" s="9">
        <v>0</v>
      </c>
      <c r="H257" s="9">
        <v>0</v>
      </c>
      <c r="I257" s="9">
        <v>0</v>
      </c>
      <c r="J257" s="9">
        <v>0</v>
      </c>
      <c r="K257" s="9">
        <v>1</v>
      </c>
      <c r="L257" s="9">
        <v>0</v>
      </c>
      <c r="M257" s="9">
        <v>0</v>
      </c>
      <c r="N257" s="9">
        <v>1</v>
      </c>
      <c r="O257" s="9">
        <v>1</v>
      </c>
      <c r="P257" s="9">
        <v>1</v>
      </c>
      <c r="Q257" s="9">
        <v>467</v>
      </c>
      <c r="R257" s="9">
        <f t="shared" si="0"/>
        <v>467</v>
      </c>
      <c r="S257" s="9">
        <f t="shared" si="1"/>
        <v>0</v>
      </c>
      <c r="T257" s="9">
        <v>1</v>
      </c>
      <c r="U257" s="9">
        <v>468</v>
      </c>
      <c r="V257" s="9">
        <v>0</v>
      </c>
      <c r="W257" s="15" t="s">
        <v>374</v>
      </c>
      <c r="X257" s="15" t="s">
        <v>375</v>
      </c>
      <c r="Y257" s="15">
        <v>591</v>
      </c>
      <c r="Z257" s="10">
        <v>328</v>
      </c>
      <c r="AA257" s="10">
        <v>263</v>
      </c>
      <c r="AB257" s="10">
        <f t="shared" si="8"/>
        <v>211</v>
      </c>
      <c r="AC257" s="16">
        <f t="shared" si="9"/>
        <v>79.187817258883257</v>
      </c>
    </row>
    <row r="258" spans="1:29" ht="37.5" customHeight="1">
      <c r="A258" s="9">
        <v>255</v>
      </c>
      <c r="B258" s="9">
        <v>331</v>
      </c>
      <c r="C258" s="9">
        <v>6</v>
      </c>
      <c r="D258" s="9">
        <v>69</v>
      </c>
      <c r="E258" s="9">
        <v>222</v>
      </c>
      <c r="F258" s="9">
        <v>1</v>
      </c>
      <c r="G258" s="9">
        <v>0</v>
      </c>
      <c r="H258" s="9">
        <v>2</v>
      </c>
      <c r="I258" s="9">
        <v>0</v>
      </c>
      <c r="J258" s="9">
        <v>0</v>
      </c>
      <c r="K258" s="9">
        <v>7</v>
      </c>
      <c r="L258" s="9">
        <v>0</v>
      </c>
      <c r="M258" s="9">
        <v>0</v>
      </c>
      <c r="N258" s="9">
        <v>1</v>
      </c>
      <c r="O258" s="9">
        <v>2</v>
      </c>
      <c r="P258" s="9">
        <v>3</v>
      </c>
      <c r="Q258" s="9">
        <v>644</v>
      </c>
      <c r="R258" s="9">
        <f t="shared" ref="R258:R298" si="10">SUM(B258:P258)</f>
        <v>644</v>
      </c>
      <c r="S258" s="9">
        <f t="shared" ref="S258:S298" si="11">Q258-R258</f>
        <v>0</v>
      </c>
      <c r="T258" s="9">
        <v>5</v>
      </c>
      <c r="U258" s="9">
        <v>649</v>
      </c>
      <c r="V258" s="9">
        <v>0</v>
      </c>
      <c r="W258" s="15" t="s">
        <v>374</v>
      </c>
      <c r="X258" s="15" t="s">
        <v>376</v>
      </c>
      <c r="Y258" s="15">
        <v>887</v>
      </c>
      <c r="Z258" s="15">
        <v>487</v>
      </c>
      <c r="AA258" s="10">
        <v>394</v>
      </c>
      <c r="AB258" s="10">
        <f t="shared" si="8"/>
        <v>262</v>
      </c>
      <c r="AC258" s="16">
        <f t="shared" si="9"/>
        <v>73.167981961668545</v>
      </c>
    </row>
    <row r="259" spans="1:29" ht="37.5" customHeight="1">
      <c r="A259" s="9">
        <v>256</v>
      </c>
      <c r="B259" s="9">
        <v>287</v>
      </c>
      <c r="C259" s="9">
        <v>0</v>
      </c>
      <c r="D259" s="9">
        <v>19</v>
      </c>
      <c r="E259" s="9">
        <v>27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</v>
      </c>
      <c r="N259" s="9">
        <v>0</v>
      </c>
      <c r="O259" s="9">
        <v>0</v>
      </c>
      <c r="P259" s="9">
        <v>2</v>
      </c>
      <c r="Q259" s="9">
        <v>336</v>
      </c>
      <c r="R259" s="9">
        <f t="shared" si="10"/>
        <v>336</v>
      </c>
      <c r="S259" s="9">
        <f t="shared" si="11"/>
        <v>0</v>
      </c>
      <c r="T259" s="9">
        <v>4</v>
      </c>
      <c r="U259" s="9">
        <v>340</v>
      </c>
      <c r="V259" s="9">
        <v>0</v>
      </c>
      <c r="W259" s="15" t="s">
        <v>374</v>
      </c>
      <c r="X259" s="15" t="s">
        <v>377</v>
      </c>
      <c r="Y259" s="15">
        <v>493</v>
      </c>
      <c r="Z259" s="10">
        <v>270</v>
      </c>
      <c r="AA259" s="10">
        <v>212</v>
      </c>
      <c r="AB259" s="10">
        <f t="shared" si="8"/>
        <v>268</v>
      </c>
      <c r="AC259" s="16">
        <f t="shared" si="9"/>
        <v>68.965517241379317</v>
      </c>
    </row>
    <row r="260" spans="1:29" ht="37.5" customHeight="1">
      <c r="A260" s="9">
        <v>257</v>
      </c>
      <c r="B260" s="9">
        <v>296</v>
      </c>
      <c r="C260" s="9">
        <v>1</v>
      </c>
      <c r="D260" s="9">
        <v>65</v>
      </c>
      <c r="E260" s="9">
        <v>3</v>
      </c>
      <c r="F260" s="9">
        <v>1</v>
      </c>
      <c r="G260" s="9">
        <v>0</v>
      </c>
      <c r="H260" s="9">
        <v>0</v>
      </c>
      <c r="I260" s="9">
        <v>0</v>
      </c>
      <c r="J260" s="9">
        <v>2</v>
      </c>
      <c r="K260" s="9">
        <v>1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369</v>
      </c>
      <c r="R260" s="9">
        <f t="shared" si="10"/>
        <v>369</v>
      </c>
      <c r="S260" s="9">
        <f t="shared" si="11"/>
        <v>0</v>
      </c>
      <c r="T260" s="9">
        <v>2</v>
      </c>
      <c r="U260" s="9">
        <v>371</v>
      </c>
      <c r="V260" s="9">
        <v>0</v>
      </c>
      <c r="W260" s="15" t="s">
        <v>447</v>
      </c>
      <c r="X260" s="15" t="s">
        <v>379</v>
      </c>
      <c r="Y260" s="15">
        <v>482</v>
      </c>
      <c r="Z260" s="15">
        <v>289</v>
      </c>
      <c r="AA260" s="10">
        <v>193</v>
      </c>
      <c r="AB260" s="10">
        <f t="shared" ref="AB260:AB301" si="12">MAX(B260,D260)-MIN(B260,D260)</f>
        <v>231</v>
      </c>
      <c r="AC260" s="16">
        <f t="shared" ref="AC260:AC301" si="13">(U260/Y260)*100</f>
        <v>76.970954356846477</v>
      </c>
    </row>
    <row r="261" spans="1:29" ht="37.5" customHeight="1">
      <c r="A261" s="9">
        <v>258</v>
      </c>
      <c r="B261" s="9">
        <v>418</v>
      </c>
      <c r="C261" s="9">
        <v>5</v>
      </c>
      <c r="D261" s="9">
        <v>103</v>
      </c>
      <c r="E261" s="9">
        <v>0</v>
      </c>
      <c r="F261" s="9">
        <v>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1</v>
      </c>
      <c r="O261" s="9">
        <v>0</v>
      </c>
      <c r="P261" s="9">
        <v>0</v>
      </c>
      <c r="Q261" s="9">
        <v>528</v>
      </c>
      <c r="R261" s="9">
        <f t="shared" si="10"/>
        <v>528</v>
      </c>
      <c r="S261" s="9">
        <f t="shared" si="11"/>
        <v>0</v>
      </c>
      <c r="T261" s="9">
        <v>1</v>
      </c>
      <c r="U261" s="9">
        <v>529</v>
      </c>
      <c r="V261" s="9">
        <v>0</v>
      </c>
      <c r="W261" s="15" t="s">
        <v>378</v>
      </c>
      <c r="X261" s="15" t="s">
        <v>380</v>
      </c>
      <c r="Y261" s="15">
        <v>682</v>
      </c>
      <c r="Z261" s="10">
        <v>391</v>
      </c>
      <c r="AA261" s="10">
        <v>283</v>
      </c>
      <c r="AB261" s="10">
        <f t="shared" si="12"/>
        <v>315</v>
      </c>
      <c r="AC261" s="16">
        <f t="shared" si="13"/>
        <v>77.565982404692079</v>
      </c>
    </row>
    <row r="262" spans="1:29" ht="37.5" customHeight="1">
      <c r="A262" s="9">
        <v>259</v>
      </c>
      <c r="B262" s="9">
        <v>118</v>
      </c>
      <c r="C262" s="9">
        <v>0</v>
      </c>
      <c r="D262" s="9">
        <v>42</v>
      </c>
      <c r="E262" s="9">
        <v>377</v>
      </c>
      <c r="F262" s="9">
        <v>1</v>
      </c>
      <c r="G262" s="9">
        <v>0</v>
      </c>
      <c r="H262" s="9">
        <v>0</v>
      </c>
      <c r="I262" s="9">
        <v>0</v>
      </c>
      <c r="J262" s="9">
        <v>0</v>
      </c>
      <c r="K262" s="9">
        <v>1</v>
      </c>
      <c r="L262" s="9">
        <v>0</v>
      </c>
      <c r="M262" s="9">
        <v>0</v>
      </c>
      <c r="N262" s="9">
        <v>1</v>
      </c>
      <c r="O262" s="9">
        <v>0</v>
      </c>
      <c r="P262" s="9">
        <v>0</v>
      </c>
      <c r="Q262" s="9">
        <v>540</v>
      </c>
      <c r="R262" s="9">
        <f t="shared" si="10"/>
        <v>540</v>
      </c>
      <c r="S262" s="9">
        <f t="shared" si="11"/>
        <v>0</v>
      </c>
      <c r="T262" s="9">
        <v>0</v>
      </c>
      <c r="U262" s="9">
        <v>540</v>
      </c>
      <c r="V262" s="9">
        <v>0</v>
      </c>
      <c r="W262" s="15" t="s">
        <v>381</v>
      </c>
      <c r="X262" s="15" t="s">
        <v>382</v>
      </c>
      <c r="Y262" s="15">
        <v>727</v>
      </c>
      <c r="Z262" s="15">
        <v>398</v>
      </c>
      <c r="AA262" s="10">
        <v>324</v>
      </c>
      <c r="AB262" s="10">
        <f t="shared" si="12"/>
        <v>76</v>
      </c>
      <c r="AC262" s="16">
        <f t="shared" si="13"/>
        <v>74.277854195323243</v>
      </c>
    </row>
    <row r="263" spans="1:29" ht="37.5" customHeight="1">
      <c r="A263" s="11">
        <v>260</v>
      </c>
      <c r="B263" s="11">
        <v>96</v>
      </c>
      <c r="C263" s="11">
        <v>1</v>
      </c>
      <c r="D263" s="11">
        <v>111</v>
      </c>
      <c r="E263" s="11">
        <v>426</v>
      </c>
      <c r="F263" s="11">
        <v>0</v>
      </c>
      <c r="G263" s="11">
        <v>1</v>
      </c>
      <c r="H263" s="11">
        <v>2</v>
      </c>
      <c r="I263" s="11">
        <v>1</v>
      </c>
      <c r="J263" s="11">
        <v>2</v>
      </c>
      <c r="K263" s="11">
        <v>6</v>
      </c>
      <c r="L263" s="11">
        <v>1</v>
      </c>
      <c r="M263" s="11">
        <v>1</v>
      </c>
      <c r="N263" s="11">
        <v>1</v>
      </c>
      <c r="O263" s="11">
        <v>2</v>
      </c>
      <c r="P263" s="11">
        <v>1</v>
      </c>
      <c r="Q263" s="11">
        <v>652</v>
      </c>
      <c r="R263" s="11">
        <f t="shared" si="10"/>
        <v>652</v>
      </c>
      <c r="S263" s="11">
        <f t="shared" si="11"/>
        <v>0</v>
      </c>
      <c r="T263" s="11">
        <v>5</v>
      </c>
      <c r="U263" s="11">
        <v>657</v>
      </c>
      <c r="V263" s="11">
        <v>0</v>
      </c>
      <c r="W263" s="12" t="s">
        <v>381</v>
      </c>
      <c r="X263" s="12" t="s">
        <v>383</v>
      </c>
      <c r="Y263" s="12">
        <v>750</v>
      </c>
      <c r="Z263" s="13">
        <v>398</v>
      </c>
      <c r="AA263" s="13">
        <v>324</v>
      </c>
      <c r="AB263" s="13">
        <f t="shared" si="12"/>
        <v>15</v>
      </c>
      <c r="AC263" s="14">
        <f t="shared" si="13"/>
        <v>87.6</v>
      </c>
    </row>
    <row r="264" spans="1:29" ht="37.5" customHeight="1">
      <c r="A264" s="9">
        <v>261</v>
      </c>
      <c r="B264" s="9">
        <v>93</v>
      </c>
      <c r="C264" s="9">
        <v>1</v>
      </c>
      <c r="D264" s="9">
        <v>34</v>
      </c>
      <c r="E264" s="9">
        <v>213</v>
      </c>
      <c r="F264" s="9">
        <v>1</v>
      </c>
      <c r="G264" s="9">
        <v>0</v>
      </c>
      <c r="H264" s="9">
        <v>0</v>
      </c>
      <c r="I264" s="9">
        <v>0</v>
      </c>
      <c r="J264" s="9">
        <v>0</v>
      </c>
      <c r="K264" s="9">
        <v>1</v>
      </c>
      <c r="L264" s="9">
        <v>0</v>
      </c>
      <c r="M264" s="9">
        <v>0</v>
      </c>
      <c r="N264" s="9">
        <v>0</v>
      </c>
      <c r="O264" s="9">
        <v>1</v>
      </c>
      <c r="P264" s="9">
        <v>0</v>
      </c>
      <c r="Q264" s="9">
        <v>344</v>
      </c>
      <c r="R264" s="9">
        <f t="shared" si="10"/>
        <v>344</v>
      </c>
      <c r="S264" s="9">
        <f t="shared" si="11"/>
        <v>0</v>
      </c>
      <c r="T264" s="9">
        <v>2</v>
      </c>
      <c r="U264" s="9">
        <v>346</v>
      </c>
      <c r="V264" s="9">
        <v>0</v>
      </c>
      <c r="W264" s="15" t="s">
        <v>384</v>
      </c>
      <c r="X264" s="15" t="s">
        <v>385</v>
      </c>
      <c r="Y264" s="15">
        <v>948</v>
      </c>
      <c r="Z264" s="15">
        <v>510</v>
      </c>
      <c r="AA264" s="10">
        <v>437</v>
      </c>
      <c r="AB264" s="10">
        <f t="shared" si="12"/>
        <v>59</v>
      </c>
      <c r="AC264" s="16">
        <f t="shared" si="13"/>
        <v>36.497890295358651</v>
      </c>
    </row>
    <row r="265" spans="1:29" ht="37.5" customHeight="1">
      <c r="A265" s="9">
        <v>262</v>
      </c>
      <c r="B265" s="9">
        <v>79</v>
      </c>
      <c r="C265" s="9">
        <v>0</v>
      </c>
      <c r="D265" s="9">
        <v>15</v>
      </c>
      <c r="E265" s="9">
        <v>393</v>
      </c>
      <c r="F265" s="9">
        <v>0</v>
      </c>
      <c r="G265" s="9">
        <v>0</v>
      </c>
      <c r="H265" s="9">
        <v>0</v>
      </c>
      <c r="I265" s="9">
        <v>1</v>
      </c>
      <c r="J265" s="9">
        <v>0</v>
      </c>
      <c r="K265" s="9">
        <v>2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490</v>
      </c>
      <c r="R265" s="9">
        <f t="shared" si="10"/>
        <v>490</v>
      </c>
      <c r="S265" s="9">
        <f t="shared" si="11"/>
        <v>0</v>
      </c>
      <c r="T265" s="9">
        <v>2</v>
      </c>
      <c r="U265" s="9">
        <v>492</v>
      </c>
      <c r="V265" s="9">
        <v>0</v>
      </c>
      <c r="W265" s="15" t="s">
        <v>381</v>
      </c>
      <c r="X265" s="15" t="s">
        <v>386</v>
      </c>
      <c r="Y265" s="15">
        <v>598</v>
      </c>
      <c r="Z265" s="10">
        <v>331</v>
      </c>
      <c r="AA265" s="10">
        <v>267</v>
      </c>
      <c r="AB265" s="10">
        <f t="shared" si="12"/>
        <v>64</v>
      </c>
      <c r="AC265" s="16">
        <f t="shared" si="13"/>
        <v>82.274247491638803</v>
      </c>
    </row>
    <row r="266" spans="1:29" ht="37.5" customHeight="1">
      <c r="A266" s="9">
        <v>263</v>
      </c>
      <c r="B266" s="9">
        <v>219</v>
      </c>
      <c r="C266" s="9">
        <v>2</v>
      </c>
      <c r="D266" s="9">
        <v>187</v>
      </c>
      <c r="E266" s="9">
        <v>83</v>
      </c>
      <c r="F266" s="9">
        <v>1</v>
      </c>
      <c r="G266" s="9">
        <v>0</v>
      </c>
      <c r="H266" s="9">
        <v>0</v>
      </c>
      <c r="I266" s="9">
        <v>1</v>
      </c>
      <c r="J266" s="9">
        <v>98</v>
      </c>
      <c r="K266" s="9">
        <v>2</v>
      </c>
      <c r="L266" s="9">
        <v>0</v>
      </c>
      <c r="M266" s="9">
        <v>0</v>
      </c>
      <c r="N266" s="9">
        <v>0</v>
      </c>
      <c r="O266" s="9">
        <v>0</v>
      </c>
      <c r="P266" s="9">
        <v>1</v>
      </c>
      <c r="Q266" s="9">
        <v>594</v>
      </c>
      <c r="R266" s="9">
        <f t="shared" si="10"/>
        <v>594</v>
      </c>
      <c r="S266" s="9">
        <f t="shared" si="11"/>
        <v>0</v>
      </c>
      <c r="T266" s="9">
        <v>4</v>
      </c>
      <c r="U266" s="9">
        <v>598</v>
      </c>
      <c r="V266" s="9">
        <v>0</v>
      </c>
      <c r="W266" s="15" t="s">
        <v>387</v>
      </c>
      <c r="X266" s="15" t="s">
        <v>388</v>
      </c>
      <c r="Y266" s="15">
        <v>952</v>
      </c>
      <c r="Z266" s="15">
        <v>523</v>
      </c>
      <c r="AA266" s="10">
        <v>429</v>
      </c>
      <c r="AB266" s="10">
        <f t="shared" si="12"/>
        <v>32</v>
      </c>
      <c r="AC266" s="16">
        <f t="shared" si="13"/>
        <v>62.815126050420169</v>
      </c>
    </row>
    <row r="267" spans="1:29" ht="37.5" customHeight="1">
      <c r="A267" s="9">
        <v>264</v>
      </c>
      <c r="B267" s="9">
        <v>220</v>
      </c>
      <c r="C267" s="9">
        <v>5</v>
      </c>
      <c r="D267" s="9">
        <v>209</v>
      </c>
      <c r="E267" s="9">
        <v>204</v>
      </c>
      <c r="F267" s="9">
        <v>1</v>
      </c>
      <c r="G267" s="9">
        <v>0</v>
      </c>
      <c r="H267" s="9">
        <v>2</v>
      </c>
      <c r="I267" s="9">
        <v>0</v>
      </c>
      <c r="J267" s="9">
        <v>100</v>
      </c>
      <c r="K267" s="9">
        <v>1</v>
      </c>
      <c r="L267" s="9">
        <v>1</v>
      </c>
      <c r="M267" s="9">
        <v>2</v>
      </c>
      <c r="N267" s="9">
        <v>3</v>
      </c>
      <c r="O267" s="9">
        <v>3</v>
      </c>
      <c r="P267" s="9">
        <v>2</v>
      </c>
      <c r="Q267" s="9">
        <v>753</v>
      </c>
      <c r="R267" s="9">
        <f t="shared" si="10"/>
        <v>753</v>
      </c>
      <c r="S267" s="9">
        <f t="shared" si="11"/>
        <v>0</v>
      </c>
      <c r="T267" s="9">
        <v>3</v>
      </c>
      <c r="U267" s="9">
        <v>756</v>
      </c>
      <c r="V267" s="9">
        <v>0</v>
      </c>
      <c r="W267" s="15" t="s">
        <v>387</v>
      </c>
      <c r="X267" s="15" t="s">
        <v>389</v>
      </c>
      <c r="Y267" s="15">
        <v>952</v>
      </c>
      <c r="Z267" s="10">
        <v>523</v>
      </c>
      <c r="AA267" s="10">
        <v>429</v>
      </c>
      <c r="AB267" s="10">
        <f t="shared" si="12"/>
        <v>11</v>
      </c>
      <c r="AC267" s="16">
        <f t="shared" si="13"/>
        <v>79.411764705882348</v>
      </c>
    </row>
    <row r="268" spans="1:29" ht="37.5" customHeight="1">
      <c r="A268" s="9">
        <v>265</v>
      </c>
      <c r="B268" s="9">
        <v>243</v>
      </c>
      <c r="C268" s="9">
        <v>0</v>
      </c>
      <c r="D268" s="9">
        <v>28</v>
      </c>
      <c r="E268" s="9">
        <v>660</v>
      </c>
      <c r="F268" s="9">
        <v>2</v>
      </c>
      <c r="G268" s="9">
        <v>2</v>
      </c>
      <c r="H268" s="9">
        <v>0</v>
      </c>
      <c r="I268" s="9">
        <v>1</v>
      </c>
      <c r="J268" s="9">
        <v>3</v>
      </c>
      <c r="K268" s="9">
        <v>1</v>
      </c>
      <c r="L268" s="9">
        <v>0</v>
      </c>
      <c r="M268" s="9">
        <v>0</v>
      </c>
      <c r="N268" s="9">
        <v>4</v>
      </c>
      <c r="O268" s="9">
        <v>0</v>
      </c>
      <c r="P268" s="9">
        <v>2</v>
      </c>
      <c r="Q268" s="9">
        <v>946</v>
      </c>
      <c r="R268" s="9">
        <f t="shared" si="10"/>
        <v>946</v>
      </c>
      <c r="S268" s="9">
        <f t="shared" si="11"/>
        <v>0</v>
      </c>
      <c r="T268" s="9">
        <v>1</v>
      </c>
      <c r="U268" s="9">
        <v>947</v>
      </c>
      <c r="V268" s="9">
        <v>0</v>
      </c>
      <c r="W268" s="15" t="s">
        <v>387</v>
      </c>
      <c r="X268" s="15" t="s">
        <v>390</v>
      </c>
      <c r="Y268" s="15">
        <v>1187</v>
      </c>
      <c r="Z268" s="15">
        <v>629</v>
      </c>
      <c r="AA268" s="10">
        <v>556</v>
      </c>
      <c r="AB268" s="10">
        <f t="shared" si="12"/>
        <v>215</v>
      </c>
      <c r="AC268" s="16">
        <f t="shared" si="13"/>
        <v>79.780960404380792</v>
      </c>
    </row>
    <row r="269" spans="1:29" ht="37.5" customHeight="1">
      <c r="A269" s="11">
        <v>266</v>
      </c>
      <c r="B269" s="11">
        <v>18</v>
      </c>
      <c r="C269" s="11">
        <v>1</v>
      </c>
      <c r="D269" s="11">
        <v>21</v>
      </c>
      <c r="E269" s="11">
        <v>492</v>
      </c>
      <c r="F269" s="11">
        <v>1</v>
      </c>
      <c r="G269" s="11">
        <v>0</v>
      </c>
      <c r="H269" s="11">
        <v>0</v>
      </c>
      <c r="I269" s="11">
        <v>1</v>
      </c>
      <c r="J269" s="11">
        <v>1</v>
      </c>
      <c r="K269" s="11">
        <v>0</v>
      </c>
      <c r="L269" s="11">
        <v>0</v>
      </c>
      <c r="M269" s="11">
        <v>0</v>
      </c>
      <c r="N269" s="11">
        <v>1</v>
      </c>
      <c r="O269" s="11">
        <v>1</v>
      </c>
      <c r="P269" s="11">
        <v>1</v>
      </c>
      <c r="Q269" s="11">
        <v>538</v>
      </c>
      <c r="R269" s="11">
        <f t="shared" si="10"/>
        <v>538</v>
      </c>
      <c r="S269" s="11">
        <f t="shared" si="11"/>
        <v>0</v>
      </c>
      <c r="T269" s="11">
        <v>0</v>
      </c>
      <c r="U269" s="11">
        <v>538</v>
      </c>
      <c r="V269" s="11">
        <v>0</v>
      </c>
      <c r="W269" s="12" t="s">
        <v>391</v>
      </c>
      <c r="X269" s="12" t="s">
        <v>392</v>
      </c>
      <c r="Y269" s="12">
        <v>683</v>
      </c>
      <c r="Z269" s="13">
        <v>362</v>
      </c>
      <c r="AA269" s="13">
        <v>321</v>
      </c>
      <c r="AB269" s="13">
        <f t="shared" si="12"/>
        <v>3</v>
      </c>
      <c r="AC269" s="14">
        <f t="shared" si="13"/>
        <v>78.770131771595899</v>
      </c>
    </row>
    <row r="270" spans="1:29" ht="37.5" customHeight="1">
      <c r="A270" s="9">
        <v>267</v>
      </c>
      <c r="B270" s="9">
        <v>159</v>
      </c>
      <c r="C270" s="9">
        <v>0</v>
      </c>
      <c r="D270" s="9">
        <v>106</v>
      </c>
      <c r="E270" s="9">
        <v>232</v>
      </c>
      <c r="F270" s="9">
        <v>1</v>
      </c>
      <c r="G270" s="9">
        <v>1</v>
      </c>
      <c r="H270" s="9">
        <v>2</v>
      </c>
      <c r="I270" s="9">
        <v>4</v>
      </c>
      <c r="J270" s="9">
        <v>0</v>
      </c>
      <c r="K270" s="9">
        <v>1</v>
      </c>
      <c r="L270" s="9">
        <v>0</v>
      </c>
      <c r="M270" s="9">
        <v>0</v>
      </c>
      <c r="N270" s="9">
        <v>1</v>
      </c>
      <c r="O270" s="9">
        <v>0</v>
      </c>
      <c r="P270" s="9">
        <v>0</v>
      </c>
      <c r="Q270" s="9">
        <v>507</v>
      </c>
      <c r="R270" s="9">
        <f t="shared" si="10"/>
        <v>507</v>
      </c>
      <c r="S270" s="9">
        <f t="shared" si="11"/>
        <v>0</v>
      </c>
      <c r="T270" s="9">
        <v>1</v>
      </c>
      <c r="U270" s="9">
        <v>508</v>
      </c>
      <c r="V270" s="9">
        <v>0</v>
      </c>
      <c r="W270" s="15" t="s">
        <v>391</v>
      </c>
      <c r="X270" s="15" t="s">
        <v>393</v>
      </c>
      <c r="Y270" s="15">
        <v>650</v>
      </c>
      <c r="Z270" s="15">
        <v>366</v>
      </c>
      <c r="AA270" s="10">
        <v>284</v>
      </c>
      <c r="AB270" s="10">
        <f t="shared" si="12"/>
        <v>53</v>
      </c>
      <c r="AC270" s="16">
        <f t="shared" si="13"/>
        <v>78.153846153846146</v>
      </c>
    </row>
    <row r="271" spans="1:29" ht="37.5" customHeight="1">
      <c r="A271" s="9">
        <v>268</v>
      </c>
      <c r="B271" s="9">
        <v>202</v>
      </c>
      <c r="C271" s="9">
        <v>3</v>
      </c>
      <c r="D271" s="9">
        <v>121</v>
      </c>
      <c r="E271" s="9">
        <v>386</v>
      </c>
      <c r="F271" s="9">
        <v>3</v>
      </c>
      <c r="G271" s="9">
        <v>1</v>
      </c>
      <c r="H271" s="9">
        <v>9</v>
      </c>
      <c r="I271" s="9">
        <v>165</v>
      </c>
      <c r="J271" s="9">
        <v>2</v>
      </c>
      <c r="K271" s="9">
        <v>1</v>
      </c>
      <c r="L271" s="9">
        <v>3</v>
      </c>
      <c r="M271" s="9">
        <v>0</v>
      </c>
      <c r="N271" s="9">
        <v>2</v>
      </c>
      <c r="O271" s="9">
        <v>1</v>
      </c>
      <c r="P271" s="9">
        <v>2</v>
      </c>
      <c r="Q271" s="9">
        <v>901</v>
      </c>
      <c r="R271" s="9">
        <f t="shared" si="10"/>
        <v>901</v>
      </c>
      <c r="S271" s="9">
        <f t="shared" si="11"/>
        <v>0</v>
      </c>
      <c r="T271" s="9">
        <v>5</v>
      </c>
      <c r="U271" s="9">
        <v>906</v>
      </c>
      <c r="V271" s="9">
        <v>0</v>
      </c>
      <c r="W271" s="15" t="s">
        <v>394</v>
      </c>
      <c r="X271" s="15" t="s">
        <v>395</v>
      </c>
      <c r="Y271" s="15">
        <v>1121</v>
      </c>
      <c r="Z271" s="15">
        <v>595</v>
      </c>
      <c r="AA271" s="10">
        <v>517</v>
      </c>
      <c r="AB271" s="10">
        <f t="shared" si="12"/>
        <v>81</v>
      </c>
      <c r="AC271" s="16">
        <f t="shared" si="13"/>
        <v>80.820695807314905</v>
      </c>
    </row>
    <row r="272" spans="1:29" ht="37.5" customHeight="1">
      <c r="A272" s="9">
        <v>269</v>
      </c>
      <c r="B272" s="9">
        <v>514</v>
      </c>
      <c r="C272" s="9">
        <v>6</v>
      </c>
      <c r="D272" s="9">
        <v>194</v>
      </c>
      <c r="E272" s="9">
        <v>61</v>
      </c>
      <c r="F272" s="9">
        <v>1</v>
      </c>
      <c r="G272" s="9">
        <v>0</v>
      </c>
      <c r="H272" s="9">
        <v>1</v>
      </c>
      <c r="I272" s="9">
        <v>1</v>
      </c>
      <c r="J272" s="9">
        <v>2</v>
      </c>
      <c r="K272" s="9">
        <v>1</v>
      </c>
      <c r="L272" s="9">
        <v>1</v>
      </c>
      <c r="M272" s="9">
        <v>0</v>
      </c>
      <c r="N272" s="9">
        <v>2</v>
      </c>
      <c r="O272" s="9">
        <v>0</v>
      </c>
      <c r="P272" s="9">
        <v>1</v>
      </c>
      <c r="Q272" s="9">
        <v>785</v>
      </c>
      <c r="R272" s="9">
        <f t="shared" si="10"/>
        <v>785</v>
      </c>
      <c r="S272" s="9">
        <f t="shared" si="11"/>
        <v>0</v>
      </c>
      <c r="T272" s="9">
        <v>12</v>
      </c>
      <c r="U272" s="9">
        <v>797</v>
      </c>
      <c r="V272" s="9">
        <v>0</v>
      </c>
      <c r="W272" s="15" t="s">
        <v>396</v>
      </c>
      <c r="X272" s="15" t="s">
        <v>397</v>
      </c>
      <c r="Y272" s="15">
        <v>1106</v>
      </c>
      <c r="Z272" s="15">
        <v>604</v>
      </c>
      <c r="AA272" s="10">
        <v>498</v>
      </c>
      <c r="AB272" s="10">
        <f t="shared" si="12"/>
        <v>320</v>
      </c>
      <c r="AC272" s="16">
        <f t="shared" si="13"/>
        <v>72.061482820976494</v>
      </c>
    </row>
    <row r="273" spans="1:29" ht="37.5" customHeight="1">
      <c r="A273" s="9">
        <v>270</v>
      </c>
      <c r="B273" s="9">
        <v>182</v>
      </c>
      <c r="C273" s="9">
        <v>4</v>
      </c>
      <c r="D273" s="9">
        <v>20</v>
      </c>
      <c r="E273" s="9">
        <v>434</v>
      </c>
      <c r="F273" s="9">
        <v>0</v>
      </c>
      <c r="G273" s="9">
        <v>1</v>
      </c>
      <c r="H273" s="9">
        <v>0</v>
      </c>
      <c r="I273" s="9">
        <v>0</v>
      </c>
      <c r="J273" s="9">
        <v>1</v>
      </c>
      <c r="K273" s="9">
        <v>2</v>
      </c>
      <c r="L273" s="9">
        <v>2</v>
      </c>
      <c r="M273" s="9">
        <v>0</v>
      </c>
      <c r="N273" s="9">
        <v>2</v>
      </c>
      <c r="O273" s="9">
        <v>0</v>
      </c>
      <c r="P273" s="9">
        <v>0</v>
      </c>
      <c r="Q273" s="9">
        <v>648</v>
      </c>
      <c r="R273" s="9">
        <f t="shared" si="10"/>
        <v>648</v>
      </c>
      <c r="S273" s="9">
        <f t="shared" si="11"/>
        <v>0</v>
      </c>
      <c r="T273" s="9">
        <v>2</v>
      </c>
      <c r="U273" s="9">
        <v>650</v>
      </c>
      <c r="V273" s="9">
        <v>0</v>
      </c>
      <c r="W273" s="15" t="s">
        <v>398</v>
      </c>
      <c r="X273" s="15" t="s">
        <v>399</v>
      </c>
      <c r="Y273" s="15">
        <v>804</v>
      </c>
      <c r="Z273" s="15">
        <v>440</v>
      </c>
      <c r="AA273" s="10">
        <v>364</v>
      </c>
      <c r="AB273" s="10">
        <f t="shared" si="12"/>
        <v>162</v>
      </c>
      <c r="AC273" s="16">
        <f t="shared" si="13"/>
        <v>80.845771144278615</v>
      </c>
    </row>
    <row r="274" spans="1:29" ht="37.5" customHeight="1">
      <c r="A274" s="9">
        <v>271</v>
      </c>
      <c r="B274" s="9">
        <v>515</v>
      </c>
      <c r="C274" s="9">
        <v>3</v>
      </c>
      <c r="D274" s="9">
        <v>243</v>
      </c>
      <c r="E274" s="9">
        <v>19</v>
      </c>
      <c r="F274" s="9">
        <v>0</v>
      </c>
      <c r="G274" s="9">
        <v>2</v>
      </c>
      <c r="H274" s="9">
        <v>0</v>
      </c>
      <c r="I274" s="9">
        <v>3</v>
      </c>
      <c r="J274" s="9">
        <v>1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786</v>
      </c>
      <c r="R274" s="9">
        <f t="shared" si="10"/>
        <v>786</v>
      </c>
      <c r="S274" s="9">
        <f t="shared" si="11"/>
        <v>0</v>
      </c>
      <c r="T274" s="9">
        <v>4</v>
      </c>
      <c r="U274" s="9">
        <v>790</v>
      </c>
      <c r="V274" s="9">
        <v>0</v>
      </c>
      <c r="W274" s="15" t="s">
        <v>400</v>
      </c>
      <c r="X274" s="15" t="s">
        <v>401</v>
      </c>
      <c r="Y274" s="15">
        <v>1026</v>
      </c>
      <c r="Z274" s="15">
        <v>605</v>
      </c>
      <c r="AA274" s="10">
        <v>421</v>
      </c>
      <c r="AB274" s="10">
        <f t="shared" si="12"/>
        <v>272</v>
      </c>
      <c r="AC274" s="16">
        <f t="shared" si="13"/>
        <v>76.998050682261209</v>
      </c>
    </row>
    <row r="275" spans="1:29" ht="37.5" customHeight="1">
      <c r="A275" s="11">
        <v>272</v>
      </c>
      <c r="B275" s="11">
        <v>269</v>
      </c>
      <c r="C275" s="11">
        <v>2</v>
      </c>
      <c r="D275" s="11">
        <v>347</v>
      </c>
      <c r="E275" s="11">
        <v>245</v>
      </c>
      <c r="F275" s="11">
        <v>0</v>
      </c>
      <c r="G275" s="11">
        <v>0</v>
      </c>
      <c r="H275" s="11">
        <v>0</v>
      </c>
      <c r="I275" s="11">
        <v>1</v>
      </c>
      <c r="J275" s="11">
        <v>0</v>
      </c>
      <c r="K275" s="11">
        <v>1</v>
      </c>
      <c r="L275" s="11">
        <v>0</v>
      </c>
      <c r="M275" s="11">
        <v>1</v>
      </c>
      <c r="N275" s="11">
        <v>1</v>
      </c>
      <c r="O275" s="11">
        <v>0</v>
      </c>
      <c r="P275" s="11">
        <v>0</v>
      </c>
      <c r="Q275" s="11">
        <v>867</v>
      </c>
      <c r="R275" s="11">
        <f t="shared" si="10"/>
        <v>867</v>
      </c>
      <c r="S275" s="11">
        <f t="shared" si="11"/>
        <v>0</v>
      </c>
      <c r="T275" s="11">
        <v>0</v>
      </c>
      <c r="U275" s="11">
        <v>867</v>
      </c>
      <c r="V275" s="11">
        <v>0</v>
      </c>
      <c r="W275" s="12" t="s">
        <v>402</v>
      </c>
      <c r="X275" s="12" t="s">
        <v>403</v>
      </c>
      <c r="Y275" s="12">
        <v>1108</v>
      </c>
      <c r="Z275" s="12">
        <v>589</v>
      </c>
      <c r="AA275" s="13">
        <v>513</v>
      </c>
      <c r="AB275" s="13">
        <f t="shared" si="12"/>
        <v>78</v>
      </c>
      <c r="AC275" s="14">
        <f t="shared" si="13"/>
        <v>78.249097472924191</v>
      </c>
    </row>
    <row r="276" spans="1:29" ht="37.5" customHeight="1">
      <c r="A276" s="9">
        <v>273</v>
      </c>
      <c r="B276" s="9">
        <v>325</v>
      </c>
      <c r="C276" s="9">
        <v>2</v>
      </c>
      <c r="D276" s="9">
        <v>238</v>
      </c>
      <c r="E276" s="9">
        <v>106</v>
      </c>
      <c r="F276" s="9">
        <v>2</v>
      </c>
      <c r="G276" s="9">
        <v>1</v>
      </c>
      <c r="H276" s="9">
        <v>1</v>
      </c>
      <c r="I276" s="9">
        <v>2</v>
      </c>
      <c r="J276" s="9">
        <v>1</v>
      </c>
      <c r="K276" s="9">
        <v>0</v>
      </c>
      <c r="L276" s="9">
        <v>0</v>
      </c>
      <c r="M276" s="9">
        <v>0</v>
      </c>
      <c r="N276" s="9">
        <v>1</v>
      </c>
      <c r="O276" s="9">
        <v>2</v>
      </c>
      <c r="P276" s="9">
        <v>2</v>
      </c>
      <c r="Q276" s="9">
        <v>683</v>
      </c>
      <c r="R276" s="9">
        <f t="shared" si="10"/>
        <v>683</v>
      </c>
      <c r="S276" s="9">
        <f t="shared" si="11"/>
        <v>0</v>
      </c>
      <c r="T276" s="9">
        <v>7</v>
      </c>
      <c r="U276" s="9">
        <v>690</v>
      </c>
      <c r="V276" s="9">
        <v>0</v>
      </c>
      <c r="W276" s="15" t="s">
        <v>404</v>
      </c>
      <c r="X276" s="15" t="s">
        <v>405</v>
      </c>
      <c r="Y276" s="15">
        <v>922</v>
      </c>
      <c r="Z276" s="15">
        <v>486</v>
      </c>
      <c r="AA276" s="10">
        <v>425</v>
      </c>
      <c r="AB276" s="10">
        <f t="shared" si="12"/>
        <v>87</v>
      </c>
      <c r="AC276" s="16">
        <f t="shared" si="13"/>
        <v>74.837310195227772</v>
      </c>
    </row>
    <row r="277" spans="1:29" ht="37.5" customHeight="1">
      <c r="A277" s="9">
        <v>274</v>
      </c>
      <c r="B277" s="9">
        <v>182</v>
      </c>
      <c r="C277" s="9">
        <v>4</v>
      </c>
      <c r="D277" s="9">
        <v>52</v>
      </c>
      <c r="E277" s="9">
        <v>716</v>
      </c>
      <c r="F277" s="9">
        <v>0</v>
      </c>
      <c r="G277" s="9">
        <v>2</v>
      </c>
      <c r="H277" s="9">
        <v>0</v>
      </c>
      <c r="I277" s="9">
        <v>2</v>
      </c>
      <c r="J277" s="9">
        <v>0</v>
      </c>
      <c r="K277" s="9">
        <v>3</v>
      </c>
      <c r="L277" s="9">
        <v>0</v>
      </c>
      <c r="M277" s="9">
        <v>0</v>
      </c>
      <c r="N277" s="9">
        <v>2</v>
      </c>
      <c r="O277" s="9">
        <v>1</v>
      </c>
      <c r="P277" s="9">
        <v>0</v>
      </c>
      <c r="Q277" s="9">
        <v>964</v>
      </c>
      <c r="R277" s="9">
        <f t="shared" si="10"/>
        <v>964</v>
      </c>
      <c r="S277" s="9">
        <f t="shared" si="11"/>
        <v>0</v>
      </c>
      <c r="T277" s="9">
        <v>8</v>
      </c>
      <c r="U277" s="9">
        <v>972</v>
      </c>
      <c r="V277" s="9">
        <v>0</v>
      </c>
      <c r="W277" s="15" t="s">
        <v>404</v>
      </c>
      <c r="X277" s="15" t="s">
        <v>406</v>
      </c>
      <c r="Y277" s="15">
        <v>1325</v>
      </c>
      <c r="Z277" s="15">
        <v>718</v>
      </c>
      <c r="AA277" s="10">
        <v>600</v>
      </c>
      <c r="AB277" s="10">
        <f t="shared" si="12"/>
        <v>130</v>
      </c>
      <c r="AC277" s="16">
        <f t="shared" si="13"/>
        <v>73.358490566037744</v>
      </c>
    </row>
    <row r="278" spans="1:29" ht="37.5" customHeight="1">
      <c r="A278" s="9">
        <v>275</v>
      </c>
      <c r="B278" s="9">
        <v>143</v>
      </c>
      <c r="C278" s="9">
        <v>1</v>
      </c>
      <c r="D278" s="9">
        <v>64</v>
      </c>
      <c r="E278" s="9">
        <v>426</v>
      </c>
      <c r="F278" s="9">
        <v>0</v>
      </c>
      <c r="G278" s="9">
        <v>1</v>
      </c>
      <c r="H278" s="9">
        <v>1</v>
      </c>
      <c r="I278" s="9">
        <v>1</v>
      </c>
      <c r="J278" s="9">
        <v>0</v>
      </c>
      <c r="K278" s="9">
        <v>4</v>
      </c>
      <c r="L278" s="9">
        <v>2</v>
      </c>
      <c r="M278" s="9">
        <v>3</v>
      </c>
      <c r="N278" s="9">
        <v>0</v>
      </c>
      <c r="O278" s="9">
        <v>2</v>
      </c>
      <c r="P278" s="9">
        <v>1</v>
      </c>
      <c r="Q278" s="9">
        <v>649</v>
      </c>
      <c r="R278" s="9">
        <f t="shared" si="10"/>
        <v>649</v>
      </c>
      <c r="S278" s="9">
        <f t="shared" si="11"/>
        <v>0</v>
      </c>
      <c r="T278" s="9">
        <v>0</v>
      </c>
      <c r="U278" s="9">
        <v>649</v>
      </c>
      <c r="V278" s="9">
        <v>0</v>
      </c>
      <c r="W278" s="15" t="s">
        <v>407</v>
      </c>
      <c r="X278" s="15" t="s">
        <v>408</v>
      </c>
      <c r="Y278" s="15">
        <v>913</v>
      </c>
      <c r="Z278" s="15">
        <v>484</v>
      </c>
      <c r="AA278" s="10">
        <v>429</v>
      </c>
      <c r="AB278" s="10">
        <f t="shared" si="12"/>
        <v>79</v>
      </c>
      <c r="AC278" s="16">
        <f t="shared" si="13"/>
        <v>71.084337349397586</v>
      </c>
    </row>
    <row r="279" spans="1:29" ht="37.5" customHeight="1">
      <c r="A279" s="9">
        <v>276</v>
      </c>
      <c r="B279" s="9">
        <v>286</v>
      </c>
      <c r="C279" s="9">
        <v>0</v>
      </c>
      <c r="D279" s="9">
        <v>86</v>
      </c>
      <c r="E279" s="9">
        <v>449</v>
      </c>
      <c r="F279" s="9">
        <v>1</v>
      </c>
      <c r="G279" s="9">
        <v>0</v>
      </c>
      <c r="H279" s="9">
        <v>0</v>
      </c>
      <c r="I279" s="9">
        <v>2</v>
      </c>
      <c r="J279" s="9">
        <v>0</v>
      </c>
      <c r="K279" s="9">
        <v>0</v>
      </c>
      <c r="L279" s="9">
        <v>0</v>
      </c>
      <c r="M279" s="9">
        <v>0</v>
      </c>
      <c r="N279" s="9">
        <v>3</v>
      </c>
      <c r="O279" s="9">
        <v>0</v>
      </c>
      <c r="P279" s="9">
        <v>0</v>
      </c>
      <c r="Q279" s="9">
        <v>827</v>
      </c>
      <c r="R279" s="9">
        <f t="shared" si="10"/>
        <v>827</v>
      </c>
      <c r="S279" s="9">
        <f t="shared" si="11"/>
        <v>0</v>
      </c>
      <c r="T279" s="9">
        <v>1</v>
      </c>
      <c r="U279" s="9">
        <v>828</v>
      </c>
      <c r="V279" s="9">
        <v>0</v>
      </c>
      <c r="W279" s="15" t="s">
        <v>407</v>
      </c>
      <c r="X279" s="15" t="s">
        <v>409</v>
      </c>
      <c r="Y279" s="15">
        <v>1045</v>
      </c>
      <c r="Z279" s="15">
        <v>557</v>
      </c>
      <c r="AA279" s="10">
        <v>480</v>
      </c>
      <c r="AB279" s="10">
        <f t="shared" si="12"/>
        <v>200</v>
      </c>
      <c r="AC279" s="16">
        <f t="shared" si="13"/>
        <v>79.234449760765543</v>
      </c>
    </row>
    <row r="280" spans="1:29" ht="37.5" customHeight="1">
      <c r="A280" s="9">
        <v>277</v>
      </c>
      <c r="B280" s="9">
        <v>478</v>
      </c>
      <c r="C280" s="9">
        <v>5</v>
      </c>
      <c r="D280" s="9">
        <v>222</v>
      </c>
      <c r="E280" s="9">
        <v>271</v>
      </c>
      <c r="F280" s="9">
        <v>3</v>
      </c>
      <c r="G280" s="9">
        <v>0</v>
      </c>
      <c r="H280" s="9">
        <v>0</v>
      </c>
      <c r="I280" s="9">
        <v>3</v>
      </c>
      <c r="J280" s="9">
        <v>0</v>
      </c>
      <c r="K280" s="9">
        <v>2</v>
      </c>
      <c r="L280" s="9">
        <v>1</v>
      </c>
      <c r="M280" s="9">
        <v>0</v>
      </c>
      <c r="N280" s="9">
        <v>1</v>
      </c>
      <c r="O280" s="9">
        <v>0</v>
      </c>
      <c r="P280" s="9">
        <v>1</v>
      </c>
      <c r="Q280" s="9">
        <v>987</v>
      </c>
      <c r="R280" s="9">
        <f t="shared" si="10"/>
        <v>987</v>
      </c>
      <c r="S280" s="9">
        <f t="shared" si="11"/>
        <v>0</v>
      </c>
      <c r="T280" s="9">
        <v>4</v>
      </c>
      <c r="U280" s="9">
        <v>991</v>
      </c>
      <c r="V280" s="9">
        <v>0</v>
      </c>
      <c r="W280" s="15" t="s">
        <v>410</v>
      </c>
      <c r="X280" s="15" t="s">
        <v>411</v>
      </c>
      <c r="Y280" s="15">
        <v>1363</v>
      </c>
      <c r="Z280" s="15">
        <v>753</v>
      </c>
      <c r="AA280" s="10">
        <v>605</v>
      </c>
      <c r="AB280" s="10">
        <f t="shared" si="12"/>
        <v>256</v>
      </c>
      <c r="AC280" s="16">
        <f t="shared" si="13"/>
        <v>72.707263389581797</v>
      </c>
    </row>
    <row r="281" spans="1:29" ht="37.5" customHeight="1">
      <c r="A281" s="9">
        <v>278</v>
      </c>
      <c r="B281" s="9">
        <v>286</v>
      </c>
      <c r="C281" s="9">
        <v>5</v>
      </c>
      <c r="D281" s="9">
        <v>83</v>
      </c>
      <c r="E281" s="9">
        <v>6</v>
      </c>
      <c r="F281" s="9">
        <v>0</v>
      </c>
      <c r="G281" s="9">
        <v>0</v>
      </c>
      <c r="H281" s="9">
        <v>2</v>
      </c>
      <c r="I281" s="9">
        <v>0</v>
      </c>
      <c r="J281" s="9">
        <v>0</v>
      </c>
      <c r="K281" s="9">
        <v>3</v>
      </c>
      <c r="L281" s="9">
        <v>0</v>
      </c>
      <c r="M281" s="9">
        <v>0</v>
      </c>
      <c r="N281" s="9">
        <v>1</v>
      </c>
      <c r="O281" s="9">
        <v>0</v>
      </c>
      <c r="P281" s="9">
        <v>1</v>
      </c>
      <c r="Q281" s="9">
        <v>387</v>
      </c>
      <c r="R281" s="9">
        <f t="shared" si="10"/>
        <v>387</v>
      </c>
      <c r="S281" s="9">
        <f t="shared" si="11"/>
        <v>0</v>
      </c>
      <c r="T281" s="9">
        <v>10</v>
      </c>
      <c r="U281" s="9">
        <v>397</v>
      </c>
      <c r="V281" s="9">
        <v>0</v>
      </c>
      <c r="W281" s="15" t="s">
        <v>412</v>
      </c>
      <c r="X281" s="15" t="s">
        <v>413</v>
      </c>
      <c r="Y281" s="15">
        <v>664</v>
      </c>
      <c r="Z281" s="15">
        <v>397</v>
      </c>
      <c r="AA281" s="10">
        <v>266</v>
      </c>
      <c r="AB281" s="10">
        <f t="shared" si="12"/>
        <v>203</v>
      </c>
      <c r="AC281" s="16">
        <f t="shared" si="13"/>
        <v>59.789156626506021</v>
      </c>
    </row>
    <row r="282" spans="1:29" ht="37.5" customHeight="1">
      <c r="A282" s="9">
        <v>279</v>
      </c>
      <c r="B282" s="9">
        <v>289</v>
      </c>
      <c r="C282" s="9">
        <v>0</v>
      </c>
      <c r="D282" s="9">
        <v>117</v>
      </c>
      <c r="E282" s="9">
        <v>172</v>
      </c>
      <c r="F282" s="9">
        <v>2</v>
      </c>
      <c r="G282" s="9">
        <v>0</v>
      </c>
      <c r="H282" s="9">
        <v>0</v>
      </c>
      <c r="I282" s="9">
        <v>0</v>
      </c>
      <c r="J282" s="9">
        <v>2</v>
      </c>
      <c r="K282" s="9">
        <v>1</v>
      </c>
      <c r="L282" s="9">
        <v>1</v>
      </c>
      <c r="M282" s="9">
        <v>1</v>
      </c>
      <c r="N282" s="9">
        <v>2</v>
      </c>
      <c r="O282" s="9">
        <v>0</v>
      </c>
      <c r="P282" s="9">
        <v>0</v>
      </c>
      <c r="Q282" s="9">
        <v>587</v>
      </c>
      <c r="R282" s="9">
        <f t="shared" si="10"/>
        <v>587</v>
      </c>
      <c r="S282" s="9">
        <f t="shared" si="11"/>
        <v>0</v>
      </c>
      <c r="T282" s="9">
        <v>3</v>
      </c>
      <c r="U282" s="9">
        <v>590</v>
      </c>
      <c r="V282" s="9">
        <v>0</v>
      </c>
      <c r="W282" s="15" t="s">
        <v>414</v>
      </c>
      <c r="X282" s="15" t="s">
        <v>415</v>
      </c>
      <c r="Y282" s="15">
        <v>782</v>
      </c>
      <c r="Z282" s="15">
        <v>439</v>
      </c>
      <c r="AA282" s="10">
        <v>339</v>
      </c>
      <c r="AB282" s="10">
        <f t="shared" si="12"/>
        <v>172</v>
      </c>
      <c r="AC282" s="16">
        <f t="shared" si="13"/>
        <v>75.447570332480822</v>
      </c>
    </row>
    <row r="283" spans="1:29" ht="37.5" customHeight="1">
      <c r="A283" s="9">
        <v>280</v>
      </c>
      <c r="B283" s="9">
        <v>414</v>
      </c>
      <c r="C283" s="9">
        <v>5</v>
      </c>
      <c r="D283" s="9">
        <v>125</v>
      </c>
      <c r="E283" s="9">
        <v>11</v>
      </c>
      <c r="F283" s="9">
        <v>2</v>
      </c>
      <c r="G283" s="9">
        <v>1</v>
      </c>
      <c r="H283" s="9">
        <v>0</v>
      </c>
      <c r="I283" s="9">
        <v>0</v>
      </c>
      <c r="J283" s="9">
        <v>1</v>
      </c>
      <c r="K283" s="9">
        <v>0</v>
      </c>
      <c r="L283" s="9">
        <v>2</v>
      </c>
      <c r="M283" s="9">
        <v>0</v>
      </c>
      <c r="N283" s="9">
        <v>0</v>
      </c>
      <c r="O283" s="9">
        <v>3</v>
      </c>
      <c r="P283" s="9">
        <v>1</v>
      </c>
      <c r="Q283" s="9">
        <v>565</v>
      </c>
      <c r="R283" s="9">
        <f t="shared" si="10"/>
        <v>565</v>
      </c>
      <c r="S283" s="9">
        <f t="shared" si="11"/>
        <v>0</v>
      </c>
      <c r="T283" s="9">
        <v>6</v>
      </c>
      <c r="U283" s="9">
        <v>571</v>
      </c>
      <c r="V283" s="9">
        <v>0</v>
      </c>
      <c r="W283" s="15" t="s">
        <v>416</v>
      </c>
      <c r="X283" s="15" t="s">
        <v>417</v>
      </c>
      <c r="Y283" s="15">
        <v>840</v>
      </c>
      <c r="Z283" s="15">
        <v>501</v>
      </c>
      <c r="AA283" s="10">
        <v>337</v>
      </c>
      <c r="AB283" s="10">
        <f t="shared" si="12"/>
        <v>289</v>
      </c>
      <c r="AC283" s="16">
        <f t="shared" si="13"/>
        <v>67.976190476190482</v>
      </c>
    </row>
    <row r="284" spans="1:29" ht="37.5" customHeight="1">
      <c r="A284" s="9">
        <v>281</v>
      </c>
      <c r="B284" s="9">
        <v>338</v>
      </c>
      <c r="C284" s="9">
        <v>3</v>
      </c>
      <c r="D284" s="9">
        <v>104</v>
      </c>
      <c r="E284" s="9">
        <v>6</v>
      </c>
      <c r="F284" s="9">
        <v>1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1</v>
      </c>
      <c r="M284" s="9">
        <v>1</v>
      </c>
      <c r="N284" s="9">
        <v>0</v>
      </c>
      <c r="O284" s="9">
        <v>1</v>
      </c>
      <c r="P284" s="9">
        <v>0</v>
      </c>
      <c r="Q284" s="9">
        <v>455</v>
      </c>
      <c r="R284" s="9">
        <f t="shared" si="10"/>
        <v>455</v>
      </c>
      <c r="S284" s="9">
        <f t="shared" si="11"/>
        <v>0</v>
      </c>
      <c r="T284" s="9">
        <v>2</v>
      </c>
      <c r="U284" s="9">
        <v>457</v>
      </c>
      <c r="V284" s="9">
        <v>0</v>
      </c>
      <c r="W284" s="15" t="s">
        <v>416</v>
      </c>
      <c r="X284" s="15" t="s">
        <v>418</v>
      </c>
      <c r="Y284" s="15">
        <v>714</v>
      </c>
      <c r="Z284" s="15">
        <v>442</v>
      </c>
      <c r="AA284" s="10">
        <v>270</v>
      </c>
      <c r="AB284" s="10">
        <f t="shared" si="12"/>
        <v>234</v>
      </c>
      <c r="AC284" s="16">
        <f t="shared" si="13"/>
        <v>64.005602240896351</v>
      </c>
    </row>
    <row r="285" spans="1:29" ht="37.5" customHeight="1">
      <c r="A285" s="9">
        <v>282</v>
      </c>
      <c r="B285" s="9">
        <v>233</v>
      </c>
      <c r="C285" s="9">
        <v>2</v>
      </c>
      <c r="D285" s="9">
        <v>86</v>
      </c>
      <c r="E285" s="9">
        <v>2</v>
      </c>
      <c r="F285" s="9">
        <v>0</v>
      </c>
      <c r="G285" s="9">
        <v>1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2</v>
      </c>
      <c r="P285" s="9">
        <v>0</v>
      </c>
      <c r="Q285" s="9">
        <v>326</v>
      </c>
      <c r="R285" s="9">
        <f t="shared" si="10"/>
        <v>326</v>
      </c>
      <c r="S285" s="9">
        <f t="shared" si="11"/>
        <v>0</v>
      </c>
      <c r="T285" s="9">
        <v>4</v>
      </c>
      <c r="U285" s="9">
        <v>330</v>
      </c>
      <c r="V285" s="9">
        <v>0</v>
      </c>
      <c r="W285" s="15" t="s">
        <v>419</v>
      </c>
      <c r="X285" s="15" t="s">
        <v>420</v>
      </c>
      <c r="Y285" s="15">
        <v>528</v>
      </c>
      <c r="Z285" s="15">
        <v>295</v>
      </c>
      <c r="AA285" s="10">
        <v>230</v>
      </c>
      <c r="AB285" s="10">
        <f t="shared" si="12"/>
        <v>147</v>
      </c>
      <c r="AC285" s="16">
        <f t="shared" si="13"/>
        <v>62.5</v>
      </c>
    </row>
    <row r="286" spans="1:29" ht="37.5" customHeight="1">
      <c r="A286" s="9">
        <v>283</v>
      </c>
      <c r="B286" s="9">
        <v>617</v>
      </c>
      <c r="C286" s="9">
        <v>6</v>
      </c>
      <c r="D286" s="9">
        <v>103</v>
      </c>
      <c r="E286" s="9">
        <v>94</v>
      </c>
      <c r="F286" s="9">
        <v>0</v>
      </c>
      <c r="G286" s="9">
        <v>1</v>
      </c>
      <c r="H286" s="9">
        <v>0</v>
      </c>
      <c r="I286" s="9">
        <v>0</v>
      </c>
      <c r="J286" s="9">
        <v>2</v>
      </c>
      <c r="K286" s="9">
        <v>13</v>
      </c>
      <c r="L286" s="9">
        <v>1</v>
      </c>
      <c r="M286" s="9">
        <v>2</v>
      </c>
      <c r="N286" s="9">
        <v>0</v>
      </c>
      <c r="O286" s="9">
        <v>2</v>
      </c>
      <c r="P286" s="9">
        <v>1</v>
      </c>
      <c r="Q286" s="9">
        <v>842</v>
      </c>
      <c r="R286" s="9">
        <f t="shared" si="10"/>
        <v>842</v>
      </c>
      <c r="S286" s="9">
        <f t="shared" si="11"/>
        <v>0</v>
      </c>
      <c r="T286" s="9">
        <v>3</v>
      </c>
      <c r="U286" s="9">
        <v>845</v>
      </c>
      <c r="V286" s="9">
        <v>0</v>
      </c>
      <c r="W286" s="15" t="s">
        <v>421</v>
      </c>
      <c r="X286" s="15" t="s">
        <v>422</v>
      </c>
      <c r="Y286" s="15">
        <v>1206</v>
      </c>
      <c r="Z286" s="15">
        <v>674</v>
      </c>
      <c r="AA286" s="10">
        <v>529</v>
      </c>
      <c r="AB286" s="10">
        <f t="shared" si="12"/>
        <v>514</v>
      </c>
      <c r="AC286" s="16">
        <f t="shared" si="13"/>
        <v>70.066334991708118</v>
      </c>
    </row>
    <row r="287" spans="1:29" ht="37.5" customHeight="1">
      <c r="A287" s="9">
        <v>284</v>
      </c>
      <c r="B287" s="9">
        <v>259</v>
      </c>
      <c r="C287" s="9">
        <v>5</v>
      </c>
      <c r="D287" s="9">
        <v>32</v>
      </c>
      <c r="E287" s="9">
        <v>15</v>
      </c>
      <c r="F287" s="9">
        <v>1</v>
      </c>
      <c r="G287" s="9">
        <v>1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313</v>
      </c>
      <c r="R287" s="9">
        <f t="shared" si="10"/>
        <v>313</v>
      </c>
      <c r="S287" s="9">
        <f t="shared" si="11"/>
        <v>0</v>
      </c>
      <c r="T287" s="9">
        <v>7</v>
      </c>
      <c r="U287" s="9">
        <v>320</v>
      </c>
      <c r="V287" s="9">
        <v>0</v>
      </c>
      <c r="W287" s="15" t="s">
        <v>423</v>
      </c>
      <c r="X287" s="15" t="s">
        <v>424</v>
      </c>
      <c r="Y287" s="15">
        <v>471</v>
      </c>
      <c r="Z287" s="15">
        <v>272</v>
      </c>
      <c r="AA287" s="10">
        <v>199</v>
      </c>
      <c r="AB287" s="10">
        <f t="shared" si="12"/>
        <v>227</v>
      </c>
      <c r="AC287" s="16">
        <f t="shared" si="13"/>
        <v>67.940552016985137</v>
      </c>
    </row>
    <row r="288" spans="1:29" ht="37.5" customHeight="1">
      <c r="A288" s="9">
        <v>285</v>
      </c>
      <c r="B288" s="9">
        <v>323</v>
      </c>
      <c r="C288" s="9">
        <v>5</v>
      </c>
      <c r="D288" s="9">
        <v>52</v>
      </c>
      <c r="E288" s="9">
        <v>6</v>
      </c>
      <c r="F288" s="9">
        <v>1</v>
      </c>
      <c r="G288" s="9">
        <v>0</v>
      </c>
      <c r="H288" s="9">
        <v>0</v>
      </c>
      <c r="I288" s="9">
        <v>1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388</v>
      </c>
      <c r="R288" s="9">
        <f t="shared" si="10"/>
        <v>388</v>
      </c>
      <c r="S288" s="9">
        <f t="shared" si="11"/>
        <v>0</v>
      </c>
      <c r="T288" s="9">
        <v>2</v>
      </c>
      <c r="U288" s="9">
        <v>390</v>
      </c>
      <c r="V288" s="9">
        <v>0</v>
      </c>
      <c r="W288" s="15" t="s">
        <v>423</v>
      </c>
      <c r="X288" s="15" t="s">
        <v>425</v>
      </c>
      <c r="Y288" s="15">
        <v>547</v>
      </c>
      <c r="Z288" s="15">
        <v>311</v>
      </c>
      <c r="AA288" s="10">
        <v>236</v>
      </c>
      <c r="AB288" s="10">
        <f t="shared" si="12"/>
        <v>271</v>
      </c>
      <c r="AC288" s="16">
        <f t="shared" si="13"/>
        <v>71.297989031078615</v>
      </c>
    </row>
    <row r="289" spans="1:29" ht="37.5" customHeight="1">
      <c r="A289" s="9">
        <v>286</v>
      </c>
      <c r="B289" s="9">
        <v>386</v>
      </c>
      <c r="C289" s="9">
        <v>6</v>
      </c>
      <c r="D289" s="9">
        <v>348</v>
      </c>
      <c r="E289" s="9">
        <v>66</v>
      </c>
      <c r="F289" s="9">
        <v>1</v>
      </c>
      <c r="G289" s="9">
        <v>2</v>
      </c>
      <c r="H289" s="9">
        <v>0</v>
      </c>
      <c r="I289" s="9">
        <v>2</v>
      </c>
      <c r="J289" s="9">
        <v>0</v>
      </c>
      <c r="K289" s="9">
        <v>0</v>
      </c>
      <c r="L289" s="9">
        <v>0</v>
      </c>
      <c r="M289" s="9">
        <v>0</v>
      </c>
      <c r="N289" s="9">
        <v>1</v>
      </c>
      <c r="O289" s="9">
        <v>4</v>
      </c>
      <c r="P289" s="9">
        <v>1</v>
      </c>
      <c r="Q289" s="9">
        <v>817</v>
      </c>
      <c r="R289" s="9">
        <f t="shared" si="10"/>
        <v>817</v>
      </c>
      <c r="S289" s="9">
        <f t="shared" si="11"/>
        <v>0</v>
      </c>
      <c r="T289" s="9">
        <v>5</v>
      </c>
      <c r="U289" s="9">
        <v>822</v>
      </c>
      <c r="V289" s="9">
        <v>0</v>
      </c>
      <c r="W289" s="15" t="s">
        <v>426</v>
      </c>
      <c r="X289" s="15" t="s">
        <v>427</v>
      </c>
      <c r="Y289" s="15">
        <v>1205</v>
      </c>
      <c r="Z289" s="15">
        <v>648</v>
      </c>
      <c r="AA289" s="10">
        <v>551</v>
      </c>
      <c r="AB289" s="10">
        <f t="shared" si="12"/>
        <v>38</v>
      </c>
      <c r="AC289" s="16">
        <f t="shared" si="13"/>
        <v>68.215767634854771</v>
      </c>
    </row>
    <row r="290" spans="1:29" ht="37.5" customHeight="1">
      <c r="A290" s="9">
        <v>287</v>
      </c>
      <c r="B290" s="9">
        <v>558</v>
      </c>
      <c r="C290" s="9">
        <v>6</v>
      </c>
      <c r="D290" s="9">
        <v>195</v>
      </c>
      <c r="E290" s="9">
        <v>38</v>
      </c>
      <c r="F290" s="9">
        <v>4</v>
      </c>
      <c r="G290" s="9">
        <v>2</v>
      </c>
      <c r="H290" s="9">
        <v>0</v>
      </c>
      <c r="I290" s="9">
        <v>1</v>
      </c>
      <c r="J290" s="9">
        <v>0</v>
      </c>
      <c r="K290" s="9">
        <v>0</v>
      </c>
      <c r="L290" s="9">
        <v>0</v>
      </c>
      <c r="M290" s="9">
        <v>0</v>
      </c>
      <c r="N290" s="9">
        <v>3</v>
      </c>
      <c r="O290" s="9">
        <v>0</v>
      </c>
      <c r="P290" s="9">
        <v>2</v>
      </c>
      <c r="Q290" s="9">
        <v>809</v>
      </c>
      <c r="R290" s="9">
        <f t="shared" si="10"/>
        <v>809</v>
      </c>
      <c r="S290" s="9">
        <f t="shared" si="11"/>
        <v>0</v>
      </c>
      <c r="T290" s="9">
        <v>8</v>
      </c>
      <c r="U290" s="9">
        <v>817</v>
      </c>
      <c r="V290" s="9">
        <v>0</v>
      </c>
      <c r="W290" s="15" t="s">
        <v>426</v>
      </c>
      <c r="X290" s="15" t="s">
        <v>428</v>
      </c>
      <c r="Y290" s="15">
        <v>1185</v>
      </c>
      <c r="Z290" s="15">
        <v>635</v>
      </c>
      <c r="AA290" s="10">
        <v>542</v>
      </c>
      <c r="AB290" s="10">
        <f t="shared" si="12"/>
        <v>363</v>
      </c>
      <c r="AC290" s="16">
        <f t="shared" si="13"/>
        <v>68.94514767932489</v>
      </c>
    </row>
    <row r="291" spans="1:29" ht="37.5" customHeight="1">
      <c r="A291" s="9">
        <v>288</v>
      </c>
      <c r="B291" s="9">
        <v>274</v>
      </c>
      <c r="C291" s="9">
        <v>5</v>
      </c>
      <c r="D291" s="9">
        <v>87</v>
      </c>
      <c r="E291" s="9">
        <v>10</v>
      </c>
      <c r="F291" s="9">
        <v>0</v>
      </c>
      <c r="G291" s="9">
        <v>0</v>
      </c>
      <c r="H291" s="9">
        <v>1</v>
      </c>
      <c r="I291" s="9">
        <v>0</v>
      </c>
      <c r="J291" s="9">
        <v>0</v>
      </c>
      <c r="K291" s="9">
        <v>0</v>
      </c>
      <c r="L291" s="9">
        <v>0</v>
      </c>
      <c r="M291" s="9">
        <v>1</v>
      </c>
      <c r="N291" s="9">
        <v>0</v>
      </c>
      <c r="O291" s="9">
        <v>1</v>
      </c>
      <c r="P291" s="9">
        <v>1</v>
      </c>
      <c r="Q291" s="9">
        <v>380</v>
      </c>
      <c r="R291" s="9">
        <f t="shared" si="10"/>
        <v>380</v>
      </c>
      <c r="S291" s="9">
        <f t="shared" si="11"/>
        <v>0</v>
      </c>
      <c r="T291" s="9">
        <v>4</v>
      </c>
      <c r="U291" s="9">
        <v>384</v>
      </c>
      <c r="V291" s="9">
        <v>0</v>
      </c>
      <c r="W291" s="15" t="s">
        <v>429</v>
      </c>
      <c r="X291" s="15" t="s">
        <v>430</v>
      </c>
      <c r="Y291" s="15">
        <v>956</v>
      </c>
      <c r="Z291" s="15">
        <v>561</v>
      </c>
      <c r="AA291" s="10">
        <v>394</v>
      </c>
      <c r="AB291" s="10">
        <f t="shared" si="12"/>
        <v>187</v>
      </c>
      <c r="AC291" s="16">
        <f t="shared" si="13"/>
        <v>40.1673640167364</v>
      </c>
    </row>
    <row r="292" spans="1:29" ht="37.5" customHeight="1">
      <c r="A292" s="9">
        <v>289</v>
      </c>
      <c r="B292" s="9">
        <v>344</v>
      </c>
      <c r="C292" s="9">
        <v>7</v>
      </c>
      <c r="D292" s="9">
        <v>170</v>
      </c>
      <c r="E292" s="9">
        <v>84</v>
      </c>
      <c r="F292" s="9">
        <v>3</v>
      </c>
      <c r="G292" s="9">
        <v>0</v>
      </c>
      <c r="H292" s="9">
        <v>0</v>
      </c>
      <c r="I292" s="9">
        <v>2</v>
      </c>
      <c r="J292" s="9">
        <v>8</v>
      </c>
      <c r="K292" s="9">
        <v>0</v>
      </c>
      <c r="L292" s="9">
        <v>0</v>
      </c>
      <c r="M292" s="9">
        <v>1</v>
      </c>
      <c r="N292" s="9">
        <v>1</v>
      </c>
      <c r="O292" s="9">
        <v>2</v>
      </c>
      <c r="P292" s="9">
        <v>1</v>
      </c>
      <c r="Q292" s="9">
        <v>623</v>
      </c>
      <c r="R292" s="9">
        <f t="shared" si="10"/>
        <v>623</v>
      </c>
      <c r="S292" s="9">
        <f t="shared" si="11"/>
        <v>0</v>
      </c>
      <c r="T292" s="9">
        <v>3</v>
      </c>
      <c r="U292" s="9">
        <v>626</v>
      </c>
      <c r="V292" s="9">
        <v>0</v>
      </c>
      <c r="W292" s="15" t="s">
        <v>431</v>
      </c>
      <c r="X292" s="15" t="s">
        <v>432</v>
      </c>
      <c r="Y292" s="15">
        <v>924</v>
      </c>
      <c r="Z292" s="15">
        <v>506</v>
      </c>
      <c r="AA292" s="10">
        <v>418</v>
      </c>
      <c r="AB292" s="10">
        <f t="shared" si="12"/>
        <v>174</v>
      </c>
      <c r="AC292" s="16">
        <f t="shared" si="13"/>
        <v>67.748917748917748</v>
      </c>
    </row>
    <row r="293" spans="1:29" ht="37.5" customHeight="1">
      <c r="A293" s="9">
        <v>290</v>
      </c>
      <c r="B293" s="9">
        <v>269</v>
      </c>
      <c r="C293" s="9">
        <v>4</v>
      </c>
      <c r="D293" s="9">
        <v>73</v>
      </c>
      <c r="E293" s="9">
        <v>7</v>
      </c>
      <c r="F293" s="9">
        <v>0</v>
      </c>
      <c r="G293" s="9">
        <v>1</v>
      </c>
      <c r="H293" s="9">
        <v>0</v>
      </c>
      <c r="I293" s="9">
        <v>0</v>
      </c>
      <c r="J293" s="9">
        <v>2</v>
      </c>
      <c r="K293" s="9">
        <v>0</v>
      </c>
      <c r="L293" s="9">
        <v>0</v>
      </c>
      <c r="M293" s="9">
        <v>0</v>
      </c>
      <c r="N293" s="9">
        <v>0</v>
      </c>
      <c r="O293" s="9">
        <v>2</v>
      </c>
      <c r="P293" s="9">
        <v>0</v>
      </c>
      <c r="Q293" s="9">
        <v>358</v>
      </c>
      <c r="R293" s="9">
        <f t="shared" si="10"/>
        <v>358</v>
      </c>
      <c r="S293" s="9">
        <f t="shared" si="11"/>
        <v>0</v>
      </c>
      <c r="T293" s="9">
        <v>3</v>
      </c>
      <c r="U293" s="9">
        <v>361</v>
      </c>
      <c r="V293" s="9">
        <v>0</v>
      </c>
      <c r="W293" s="15" t="s">
        <v>433</v>
      </c>
      <c r="X293" s="15" t="s">
        <v>434</v>
      </c>
      <c r="Y293" s="15">
        <v>924</v>
      </c>
      <c r="Z293" s="15">
        <v>506</v>
      </c>
      <c r="AA293" s="10">
        <v>418</v>
      </c>
      <c r="AB293" s="10">
        <f t="shared" si="12"/>
        <v>196</v>
      </c>
      <c r="AC293" s="16">
        <f t="shared" si="13"/>
        <v>39.069264069264072</v>
      </c>
    </row>
    <row r="294" spans="1:29" ht="37.5" customHeight="1">
      <c r="A294" s="11">
        <v>291</v>
      </c>
      <c r="B294" s="11">
        <v>178</v>
      </c>
      <c r="C294" s="11">
        <v>3</v>
      </c>
      <c r="D294" s="11">
        <v>267</v>
      </c>
      <c r="E294" s="11">
        <v>60</v>
      </c>
      <c r="F294" s="11">
        <v>0</v>
      </c>
      <c r="G294" s="11">
        <v>1</v>
      </c>
      <c r="H294" s="11">
        <v>0</v>
      </c>
      <c r="I294" s="11"/>
      <c r="J294" s="11">
        <v>1</v>
      </c>
      <c r="K294" s="11">
        <v>0</v>
      </c>
      <c r="L294" s="11">
        <v>0</v>
      </c>
      <c r="M294" s="11">
        <v>0</v>
      </c>
      <c r="N294" s="11">
        <v>0</v>
      </c>
      <c r="O294" s="11">
        <v>1</v>
      </c>
      <c r="P294" s="11">
        <v>0</v>
      </c>
      <c r="Q294" s="11">
        <v>511</v>
      </c>
      <c r="R294" s="11">
        <f t="shared" si="10"/>
        <v>511</v>
      </c>
      <c r="S294" s="11">
        <f t="shared" si="11"/>
        <v>0</v>
      </c>
      <c r="T294" s="11">
        <v>1</v>
      </c>
      <c r="U294" s="11">
        <v>512</v>
      </c>
      <c r="V294" s="11">
        <v>0</v>
      </c>
      <c r="W294" s="12" t="s">
        <v>435</v>
      </c>
      <c r="X294" s="12" t="s">
        <v>436</v>
      </c>
      <c r="Y294" s="12">
        <v>708</v>
      </c>
      <c r="Z294" s="12">
        <v>384</v>
      </c>
      <c r="AA294" s="13">
        <v>324</v>
      </c>
      <c r="AB294" s="13">
        <f t="shared" si="12"/>
        <v>89</v>
      </c>
      <c r="AC294" s="14">
        <f t="shared" si="13"/>
        <v>72.316384180790962</v>
      </c>
    </row>
    <row r="295" spans="1:29" ht="37.5" customHeight="1">
      <c r="A295" s="9">
        <v>292</v>
      </c>
      <c r="B295" s="9">
        <v>234</v>
      </c>
      <c r="C295" s="9">
        <v>1</v>
      </c>
      <c r="D295" s="9">
        <v>91</v>
      </c>
      <c r="E295" s="9">
        <v>100</v>
      </c>
      <c r="F295" s="9">
        <v>2</v>
      </c>
      <c r="G295" s="9">
        <v>0</v>
      </c>
      <c r="H295" s="9">
        <v>0</v>
      </c>
      <c r="I295" s="9">
        <v>1</v>
      </c>
      <c r="J295" s="9">
        <v>0</v>
      </c>
      <c r="K295" s="9">
        <v>3</v>
      </c>
      <c r="L295" s="9">
        <v>0</v>
      </c>
      <c r="M295" s="9">
        <v>0</v>
      </c>
      <c r="N295" s="9">
        <v>1</v>
      </c>
      <c r="O295" s="9">
        <v>0</v>
      </c>
      <c r="P295" s="9">
        <v>1</v>
      </c>
      <c r="Q295" s="9">
        <v>434</v>
      </c>
      <c r="R295" s="9">
        <f t="shared" si="10"/>
        <v>434</v>
      </c>
      <c r="S295" s="9">
        <f t="shared" si="11"/>
        <v>0</v>
      </c>
      <c r="T295" s="9">
        <v>4</v>
      </c>
      <c r="U295" s="9">
        <v>438</v>
      </c>
      <c r="V295" s="9">
        <v>0</v>
      </c>
      <c r="W295" s="15" t="s">
        <v>437</v>
      </c>
      <c r="X295" s="15" t="s">
        <v>438</v>
      </c>
      <c r="Y295" s="15">
        <v>658</v>
      </c>
      <c r="Z295" s="15">
        <v>353</v>
      </c>
      <c r="AA295" s="10">
        <v>299</v>
      </c>
      <c r="AB295" s="10">
        <f t="shared" si="12"/>
        <v>143</v>
      </c>
      <c r="AC295" s="16">
        <f t="shared" si="13"/>
        <v>66.565349544072944</v>
      </c>
    </row>
    <row r="296" spans="1:29" ht="37.5" customHeight="1">
      <c r="A296" s="9">
        <v>293</v>
      </c>
      <c r="B296" s="9">
        <v>465</v>
      </c>
      <c r="C296" s="9">
        <v>6</v>
      </c>
      <c r="D296" s="9">
        <v>199</v>
      </c>
      <c r="E296" s="9">
        <v>9</v>
      </c>
      <c r="F296" s="9">
        <v>0</v>
      </c>
      <c r="G296" s="9">
        <v>1</v>
      </c>
      <c r="H296" s="9">
        <v>2</v>
      </c>
      <c r="I296" s="9">
        <v>0</v>
      </c>
      <c r="J296" s="9">
        <v>1</v>
      </c>
      <c r="K296" s="9">
        <v>0</v>
      </c>
      <c r="L296" s="9">
        <v>3</v>
      </c>
      <c r="M296" s="9">
        <v>0</v>
      </c>
      <c r="N296" s="9">
        <v>2</v>
      </c>
      <c r="O296" s="9">
        <v>0</v>
      </c>
      <c r="P296" s="9">
        <v>1</v>
      </c>
      <c r="Q296" s="9">
        <v>689</v>
      </c>
      <c r="R296" s="9">
        <f t="shared" si="10"/>
        <v>689</v>
      </c>
      <c r="S296" s="9">
        <f t="shared" si="11"/>
        <v>0</v>
      </c>
      <c r="T296" s="9">
        <v>5</v>
      </c>
      <c r="U296" s="9">
        <v>694</v>
      </c>
      <c r="V296" s="9">
        <v>0</v>
      </c>
      <c r="W296" s="15" t="s">
        <v>437</v>
      </c>
      <c r="X296" s="15" t="s">
        <v>439</v>
      </c>
      <c r="Y296" s="15">
        <v>1095</v>
      </c>
      <c r="Z296" s="15">
        <v>587</v>
      </c>
      <c r="AA296" s="10">
        <v>499</v>
      </c>
      <c r="AB296" s="10">
        <f t="shared" si="12"/>
        <v>266</v>
      </c>
      <c r="AC296" s="16">
        <f t="shared" si="13"/>
        <v>63.378995433789953</v>
      </c>
    </row>
    <row r="297" spans="1:29" ht="37.5" customHeight="1">
      <c r="A297" s="9">
        <v>294</v>
      </c>
      <c r="B297" s="9">
        <v>323</v>
      </c>
      <c r="C297" s="9">
        <v>5</v>
      </c>
      <c r="D297" s="9">
        <v>291</v>
      </c>
      <c r="E297" s="9">
        <v>55</v>
      </c>
      <c r="F297" s="9">
        <v>1</v>
      </c>
      <c r="G297" s="9">
        <v>0</v>
      </c>
      <c r="H297" s="9">
        <v>0</v>
      </c>
      <c r="I297" s="9">
        <v>4</v>
      </c>
      <c r="J297" s="9">
        <v>6</v>
      </c>
      <c r="K297" s="9">
        <v>0</v>
      </c>
      <c r="L297" s="9">
        <v>0</v>
      </c>
      <c r="M297" s="9">
        <v>0</v>
      </c>
      <c r="N297" s="9">
        <v>1</v>
      </c>
      <c r="O297" s="9">
        <v>1</v>
      </c>
      <c r="P297" s="9">
        <v>0</v>
      </c>
      <c r="Q297" s="9">
        <v>687</v>
      </c>
      <c r="R297" s="9">
        <f t="shared" si="10"/>
        <v>687</v>
      </c>
      <c r="S297" s="9">
        <f t="shared" si="11"/>
        <v>0</v>
      </c>
      <c r="T297" s="9">
        <v>2</v>
      </c>
      <c r="U297" s="9">
        <v>689</v>
      </c>
      <c r="V297" s="9">
        <v>0</v>
      </c>
      <c r="W297" s="15" t="s">
        <v>440</v>
      </c>
      <c r="X297" s="15" t="s">
        <v>441</v>
      </c>
      <c r="Y297" s="15">
        <v>942</v>
      </c>
      <c r="Z297" s="15">
        <v>495</v>
      </c>
      <c r="AA297" s="10">
        <v>442</v>
      </c>
      <c r="AB297" s="10">
        <f t="shared" si="12"/>
        <v>32</v>
      </c>
      <c r="AC297" s="16">
        <f t="shared" si="13"/>
        <v>73.14225053078556</v>
      </c>
    </row>
    <row r="298" spans="1:29" ht="37.5" customHeight="1">
      <c r="A298" s="9">
        <v>295</v>
      </c>
      <c r="B298" s="9">
        <v>185</v>
      </c>
      <c r="C298" s="9">
        <v>5</v>
      </c>
      <c r="D298" s="9">
        <v>144</v>
      </c>
      <c r="E298" s="9">
        <v>34</v>
      </c>
      <c r="F298" s="9">
        <v>0</v>
      </c>
      <c r="G298" s="9">
        <v>0</v>
      </c>
      <c r="H298" s="9">
        <v>0</v>
      </c>
      <c r="I298" s="9">
        <v>1</v>
      </c>
      <c r="J298" s="9">
        <v>14</v>
      </c>
      <c r="K298" s="9">
        <v>1</v>
      </c>
      <c r="L298" s="9">
        <v>0</v>
      </c>
      <c r="M298" s="9">
        <v>0</v>
      </c>
      <c r="N298" s="9">
        <v>0</v>
      </c>
      <c r="O298" s="9">
        <v>1</v>
      </c>
      <c r="P298" s="9">
        <v>0</v>
      </c>
      <c r="Q298" s="9">
        <v>385</v>
      </c>
      <c r="R298" s="9">
        <f t="shared" si="10"/>
        <v>385</v>
      </c>
      <c r="S298" s="9">
        <f t="shared" si="11"/>
        <v>0</v>
      </c>
      <c r="T298" s="9">
        <v>1</v>
      </c>
      <c r="U298" s="9">
        <v>386</v>
      </c>
      <c r="V298" s="9">
        <v>0</v>
      </c>
      <c r="W298" s="15" t="s">
        <v>442</v>
      </c>
      <c r="X298" s="15" t="s">
        <v>443</v>
      </c>
      <c r="Y298" s="15">
        <v>500</v>
      </c>
      <c r="Z298" s="15">
        <v>266</v>
      </c>
      <c r="AA298" s="10">
        <v>232</v>
      </c>
      <c r="AB298" s="10">
        <f t="shared" si="12"/>
        <v>41</v>
      </c>
      <c r="AC298" s="16">
        <f t="shared" si="13"/>
        <v>77.2</v>
      </c>
    </row>
    <row r="299" spans="1:29" ht="37.5" customHeight="1">
      <c r="A299" s="17" t="s">
        <v>20</v>
      </c>
      <c r="B299" s="18">
        <v>88109</v>
      </c>
      <c r="C299" s="18">
        <v>1950</v>
      </c>
      <c r="D299" s="18">
        <v>58625</v>
      </c>
      <c r="E299" s="18">
        <v>36793</v>
      </c>
      <c r="F299" s="18">
        <v>248</v>
      </c>
      <c r="G299" s="18">
        <v>143</v>
      </c>
      <c r="H299" s="18">
        <v>94</v>
      </c>
      <c r="I299" s="18">
        <v>463</v>
      </c>
      <c r="J299" s="18">
        <v>897</v>
      </c>
      <c r="K299" s="18">
        <v>243</v>
      </c>
      <c r="L299" s="18">
        <v>99</v>
      </c>
      <c r="M299" s="18">
        <v>124</v>
      </c>
      <c r="N299" s="18">
        <v>220</v>
      </c>
      <c r="O299" s="18">
        <v>276</v>
      </c>
      <c r="P299" s="18">
        <v>178</v>
      </c>
      <c r="Q299" s="19">
        <v>188462</v>
      </c>
      <c r="R299" s="18"/>
      <c r="S299" s="18">
        <v>0</v>
      </c>
      <c r="T299" s="18">
        <v>847</v>
      </c>
      <c r="U299" s="18">
        <v>189409</v>
      </c>
      <c r="V299" s="18"/>
      <c r="W299" s="5"/>
      <c r="X299" s="5"/>
      <c r="Y299" s="3"/>
      <c r="Z299" s="3"/>
      <c r="AA299" s="3"/>
      <c r="AB299" s="3">
        <f t="shared" si="12"/>
        <v>29484</v>
      </c>
      <c r="AC299" s="20"/>
    </row>
    <row r="300" spans="1:29" ht="37.5" customHeight="1">
      <c r="A300" s="17" t="s">
        <v>21</v>
      </c>
      <c r="B300" s="18">
        <v>1144</v>
      </c>
      <c r="C300" s="18">
        <v>16</v>
      </c>
      <c r="D300" s="18">
        <v>347</v>
      </c>
      <c r="E300" s="18">
        <v>145</v>
      </c>
      <c r="F300" s="18">
        <v>0</v>
      </c>
      <c r="G300" s="18">
        <v>3</v>
      </c>
      <c r="H300" s="18">
        <v>0</v>
      </c>
      <c r="I300" s="18">
        <v>0</v>
      </c>
      <c r="J300" s="18">
        <v>8</v>
      </c>
      <c r="K300" s="18">
        <v>1</v>
      </c>
      <c r="L300" s="18">
        <v>0</v>
      </c>
      <c r="M300" s="18">
        <v>0</v>
      </c>
      <c r="N300" s="18">
        <v>0</v>
      </c>
      <c r="O300" s="18">
        <v>1</v>
      </c>
      <c r="P300" s="18">
        <v>0</v>
      </c>
      <c r="Q300" s="19">
        <v>1665</v>
      </c>
      <c r="R300" s="18"/>
      <c r="S300" s="18">
        <v>197</v>
      </c>
      <c r="T300" s="18">
        <v>6</v>
      </c>
      <c r="U300" s="18">
        <v>1868</v>
      </c>
      <c r="V300" s="18"/>
      <c r="W300" s="5"/>
      <c r="X300" s="5"/>
      <c r="Y300" s="3"/>
      <c r="Z300" s="3"/>
      <c r="AA300" s="3"/>
      <c r="AB300" s="3">
        <f t="shared" si="12"/>
        <v>797</v>
      </c>
      <c r="AC300" s="20"/>
    </row>
    <row r="301" spans="1:29" ht="37.5" customHeight="1">
      <c r="A301" s="21" t="s">
        <v>22</v>
      </c>
      <c r="B301" s="18">
        <v>89253</v>
      </c>
      <c r="C301" s="18">
        <v>1966</v>
      </c>
      <c r="D301" s="18">
        <v>58972</v>
      </c>
      <c r="E301" s="18">
        <v>37038</v>
      </c>
      <c r="F301" s="18">
        <v>248</v>
      </c>
      <c r="G301" s="18">
        <v>146</v>
      </c>
      <c r="H301" s="18">
        <v>94</v>
      </c>
      <c r="I301" s="18">
        <v>463</v>
      </c>
      <c r="J301" s="18">
        <v>913</v>
      </c>
      <c r="K301" s="18">
        <v>236</v>
      </c>
      <c r="L301" s="18">
        <v>100</v>
      </c>
      <c r="M301" s="18">
        <v>123</v>
      </c>
      <c r="N301" s="18">
        <v>220</v>
      </c>
      <c r="O301" s="18">
        <v>277</v>
      </c>
      <c r="P301" s="18">
        <v>178</v>
      </c>
      <c r="Q301" s="19">
        <v>190227</v>
      </c>
      <c r="R301" s="18"/>
      <c r="S301" s="18">
        <v>197</v>
      </c>
      <c r="T301" s="18">
        <v>853</v>
      </c>
      <c r="U301" s="18">
        <v>191277</v>
      </c>
      <c r="V301" s="18"/>
      <c r="W301" s="5"/>
      <c r="X301" s="5"/>
      <c r="Y301" s="3"/>
      <c r="Z301" s="3"/>
      <c r="AA301" s="3"/>
      <c r="AB301" s="3">
        <f t="shared" si="12"/>
        <v>30281</v>
      </c>
      <c r="AC301" s="20"/>
    </row>
  </sheetData>
  <autoFilter ref="A1:AC301" xr:uid="{00000000-0001-0000-0000-000000000000}"/>
  <conditionalFormatting sqref="B3:B298">
    <cfRule type="expression" dxfId="23" priority="6">
      <formula>B3&gt;D3</formula>
    </cfRule>
  </conditionalFormatting>
  <conditionalFormatting sqref="D3:D298">
    <cfRule type="expression" dxfId="22" priority="5">
      <formula>D3&gt;B3</formula>
    </cfRule>
  </conditionalFormatting>
  <conditionalFormatting sqref="AB3:AB298">
    <cfRule type="cellIs" dxfId="21" priority="3" operator="lessThan">
      <formula>40</formula>
    </cfRule>
    <cfRule type="cellIs" dxfId="20" priority="4" operator="greaterThan">
      <formula>400</formula>
    </cfRule>
  </conditionalFormatting>
  <conditionalFormatting sqref="AC3:AC298">
    <cfRule type="cellIs" dxfId="19" priority="1" operator="lessThan">
      <formula>40</formula>
    </cfRule>
    <cfRule type="cellIs" dxfId="18" priority="2" operator="greaterThan">
      <formula>90</formula>
    </cfRule>
  </conditionalFormatting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AD68-65C4-4E04-9C4D-450FD86BCA90}">
  <dimension ref="A1:AE6"/>
  <sheetViews>
    <sheetView tabSelected="1" topLeftCell="V1" workbookViewId="0">
      <selection activeCell="AH6" sqref="AH6"/>
    </sheetView>
  </sheetViews>
  <sheetFormatPr defaultRowHeight="15"/>
  <cols>
    <col min="30" max="31" width="9.140625" style="6"/>
  </cols>
  <sheetData>
    <row r="1" spans="1:31" ht="9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/>
      <c r="S1" s="2" t="s">
        <v>16</v>
      </c>
      <c r="T1" s="2" t="s">
        <v>17</v>
      </c>
      <c r="U1" s="2" t="s">
        <v>450</v>
      </c>
      <c r="V1" s="2" t="s">
        <v>451</v>
      </c>
      <c r="W1" s="2" t="s">
        <v>448</v>
      </c>
      <c r="X1" s="2" t="s">
        <v>449</v>
      </c>
      <c r="Y1" s="2" t="s">
        <v>444</v>
      </c>
      <c r="Z1" s="2" t="s">
        <v>445</v>
      </c>
      <c r="AA1" s="2" t="s">
        <v>446</v>
      </c>
      <c r="AB1" s="2" t="s">
        <v>464</v>
      </c>
      <c r="AC1" s="2" t="s">
        <v>465</v>
      </c>
      <c r="AD1" s="22" t="s">
        <v>452</v>
      </c>
      <c r="AE1" s="22" t="s">
        <v>454</v>
      </c>
    </row>
    <row r="2" spans="1:31" ht="30">
      <c r="B2" s="7" t="s">
        <v>452</v>
      </c>
      <c r="C2" s="7" t="s">
        <v>453</v>
      </c>
      <c r="D2" s="7" t="s">
        <v>454</v>
      </c>
      <c r="E2" s="7" t="s">
        <v>455</v>
      </c>
      <c r="F2" s="7" t="s">
        <v>456</v>
      </c>
      <c r="G2" s="7" t="s">
        <v>457</v>
      </c>
      <c r="H2" s="7" t="s">
        <v>458</v>
      </c>
      <c r="I2" s="7" t="s">
        <v>459</v>
      </c>
      <c r="J2" s="7" t="s">
        <v>460</v>
      </c>
      <c r="K2" s="7" t="s">
        <v>461</v>
      </c>
      <c r="L2" s="7" t="s">
        <v>462</v>
      </c>
      <c r="M2" s="8" t="s">
        <v>463</v>
      </c>
      <c r="N2" s="8" t="s">
        <v>463</v>
      </c>
      <c r="O2" s="8" t="s">
        <v>463</v>
      </c>
      <c r="P2" s="8" t="s">
        <v>463</v>
      </c>
      <c r="AD2"/>
      <c r="AE2"/>
    </row>
    <row r="3" spans="1:31" ht="45">
      <c r="A3" s="11">
        <v>180</v>
      </c>
      <c r="B3" s="11">
        <v>16</v>
      </c>
      <c r="C3" s="11">
        <v>0</v>
      </c>
      <c r="D3" s="11">
        <v>34</v>
      </c>
      <c r="E3" s="11">
        <v>307</v>
      </c>
      <c r="F3" s="11">
        <v>2</v>
      </c>
      <c r="G3" s="11">
        <v>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1</v>
      </c>
      <c r="P3" s="11">
        <v>0</v>
      </c>
      <c r="Q3" s="11">
        <v>361</v>
      </c>
      <c r="R3" s="11">
        <v>361</v>
      </c>
      <c r="S3" s="11">
        <v>0</v>
      </c>
      <c r="T3" s="11">
        <v>2</v>
      </c>
      <c r="U3" s="11">
        <v>363</v>
      </c>
      <c r="V3" s="11">
        <v>0</v>
      </c>
      <c r="W3" s="12" t="s">
        <v>271</v>
      </c>
      <c r="X3" s="12" t="s">
        <v>272</v>
      </c>
      <c r="Y3" s="12">
        <v>1256</v>
      </c>
      <c r="Z3" s="12">
        <v>662</v>
      </c>
      <c r="AA3" s="13">
        <v>594</v>
      </c>
      <c r="AB3" s="13">
        <v>18</v>
      </c>
      <c r="AC3" s="14">
        <v>28.901273885350321</v>
      </c>
      <c r="AD3" s="1" t="e">
        <f>IF(B3&gt;D3,AB3,NA())</f>
        <v>#N/A</v>
      </c>
      <c r="AE3" s="1">
        <f>IF(D3&gt;B3,AB3,NA())</f>
        <v>18</v>
      </c>
    </row>
    <row r="4" spans="1:31" ht="75">
      <c r="A4" s="9">
        <v>210</v>
      </c>
      <c r="B4" s="9">
        <v>532</v>
      </c>
      <c r="C4" s="9">
        <v>5</v>
      </c>
      <c r="D4" s="9">
        <v>115</v>
      </c>
      <c r="E4" s="9">
        <v>71</v>
      </c>
      <c r="F4" s="9">
        <v>0</v>
      </c>
      <c r="G4" s="9">
        <v>0</v>
      </c>
      <c r="H4" s="9">
        <v>0</v>
      </c>
      <c r="I4" s="9">
        <v>1</v>
      </c>
      <c r="J4" s="9">
        <v>0</v>
      </c>
      <c r="K4" s="9">
        <v>1</v>
      </c>
      <c r="L4" s="9">
        <v>1</v>
      </c>
      <c r="M4" s="9">
        <v>0</v>
      </c>
      <c r="N4" s="9">
        <v>0</v>
      </c>
      <c r="O4" s="9">
        <v>0</v>
      </c>
      <c r="P4" s="9">
        <v>0</v>
      </c>
      <c r="Q4" s="9">
        <v>726</v>
      </c>
      <c r="R4" s="9">
        <f t="shared" ref="R4" si="0">SUM(B4:P4)</f>
        <v>726</v>
      </c>
      <c r="S4" s="9">
        <f t="shared" ref="S4" si="1">Q4-R4</f>
        <v>0</v>
      </c>
      <c r="T4" s="9">
        <v>2</v>
      </c>
      <c r="U4" s="9">
        <v>728</v>
      </c>
      <c r="V4" s="9">
        <v>0</v>
      </c>
      <c r="W4" s="15" t="s">
        <v>291</v>
      </c>
      <c r="X4" s="15" t="s">
        <v>311</v>
      </c>
      <c r="Y4" s="15">
        <v>800</v>
      </c>
      <c r="Z4" s="15">
        <v>413</v>
      </c>
      <c r="AA4" s="10">
        <v>380</v>
      </c>
      <c r="AB4" s="10">
        <f t="shared" ref="AB4" si="2">MAX(B4,D4)-MIN(B4,D4)</f>
        <v>417</v>
      </c>
      <c r="AC4" s="16">
        <f t="shared" ref="AC4" si="3">(U4/Y4)*100</f>
        <v>91</v>
      </c>
      <c r="AD4" s="1">
        <f t="shared" ref="AD4:AD6" si="4">IF(B4&gt;D4,AB4,NA())</f>
        <v>417</v>
      </c>
      <c r="AE4" s="1" t="e">
        <f t="shared" ref="AE4:AE6" si="5">IF(D4&gt;B4,AB4,NA())</f>
        <v>#N/A</v>
      </c>
    </row>
    <row r="5" spans="1:31" ht="60">
      <c r="A5" s="9">
        <v>75</v>
      </c>
      <c r="B5" s="9">
        <v>18</v>
      </c>
      <c r="C5" s="9">
        <v>0</v>
      </c>
      <c r="D5" s="9">
        <v>10</v>
      </c>
      <c r="E5" s="9">
        <v>682</v>
      </c>
      <c r="F5" s="9">
        <v>1</v>
      </c>
      <c r="G5" s="9">
        <v>0</v>
      </c>
      <c r="H5" s="9">
        <v>2</v>
      </c>
      <c r="I5" s="9">
        <v>0</v>
      </c>
      <c r="J5" s="9">
        <v>2</v>
      </c>
      <c r="K5" s="9">
        <v>1</v>
      </c>
      <c r="L5" s="9">
        <v>0</v>
      </c>
      <c r="M5" s="9">
        <v>1</v>
      </c>
      <c r="N5" s="9">
        <v>0</v>
      </c>
      <c r="O5" s="9">
        <v>0</v>
      </c>
      <c r="P5" s="9">
        <v>0</v>
      </c>
      <c r="Q5" s="9">
        <v>717</v>
      </c>
      <c r="R5" s="9">
        <v>717</v>
      </c>
      <c r="S5" s="9">
        <v>0</v>
      </c>
      <c r="T5" s="9">
        <v>0</v>
      </c>
      <c r="U5" s="9">
        <v>717</v>
      </c>
      <c r="V5" s="9">
        <v>0</v>
      </c>
      <c r="W5" s="15" t="s">
        <v>120</v>
      </c>
      <c r="X5" s="15" t="s">
        <v>125</v>
      </c>
      <c r="Y5" s="15">
        <v>790</v>
      </c>
      <c r="Z5" s="15">
        <v>377</v>
      </c>
      <c r="AA5" s="10">
        <v>312</v>
      </c>
      <c r="AB5" s="10">
        <v>8</v>
      </c>
      <c r="AC5" s="16">
        <v>90.759493670886073</v>
      </c>
      <c r="AD5" s="1">
        <f t="shared" si="4"/>
        <v>8</v>
      </c>
      <c r="AE5" s="1" t="e">
        <f t="shared" si="5"/>
        <v>#N/A</v>
      </c>
    </row>
    <row r="6" spans="1:31" ht="30">
      <c r="A6" s="9">
        <v>215</v>
      </c>
      <c r="B6" s="9">
        <v>400</v>
      </c>
      <c r="C6" s="9">
        <v>26</v>
      </c>
      <c r="D6" s="9">
        <v>384</v>
      </c>
      <c r="E6" s="9">
        <v>33</v>
      </c>
      <c r="F6" s="9">
        <v>6</v>
      </c>
      <c r="G6" s="9">
        <v>0</v>
      </c>
      <c r="H6" s="9">
        <v>0</v>
      </c>
      <c r="I6" s="9">
        <v>1</v>
      </c>
      <c r="J6" s="9">
        <v>3</v>
      </c>
      <c r="K6" s="9">
        <v>1</v>
      </c>
      <c r="L6" s="9">
        <v>0</v>
      </c>
      <c r="M6" s="9">
        <v>0</v>
      </c>
      <c r="N6" s="9">
        <v>0</v>
      </c>
      <c r="O6" s="9">
        <v>0</v>
      </c>
      <c r="P6" s="9">
        <v>5</v>
      </c>
      <c r="Q6" s="9">
        <v>859</v>
      </c>
      <c r="R6" s="9">
        <v>859</v>
      </c>
      <c r="S6" s="9">
        <v>0</v>
      </c>
      <c r="T6" s="9">
        <v>0</v>
      </c>
      <c r="U6" s="9">
        <v>859</v>
      </c>
      <c r="V6" s="9">
        <v>0</v>
      </c>
      <c r="W6" s="15" t="s">
        <v>291</v>
      </c>
      <c r="X6" s="15" t="s">
        <v>315</v>
      </c>
      <c r="Y6" s="10">
        <v>880</v>
      </c>
      <c r="Z6" s="10"/>
      <c r="AA6" s="10"/>
      <c r="AB6" s="10">
        <v>16</v>
      </c>
      <c r="AC6" s="16">
        <v>97.613636363636374</v>
      </c>
      <c r="AD6" s="1">
        <f t="shared" si="4"/>
        <v>16</v>
      </c>
      <c r="AE6" s="1" t="e">
        <f t="shared" si="5"/>
        <v>#N/A</v>
      </c>
    </row>
  </sheetData>
  <conditionalFormatting sqref="B3">
    <cfRule type="expression" dxfId="17" priority="18">
      <formula>B3&gt;D3</formula>
    </cfRule>
  </conditionalFormatting>
  <conditionalFormatting sqref="D3">
    <cfRule type="expression" dxfId="16" priority="17">
      <formula>D3&gt;B3</formula>
    </cfRule>
  </conditionalFormatting>
  <conditionalFormatting sqref="AB3">
    <cfRule type="cellIs" dxfId="15" priority="15" operator="lessThan">
      <formula>40</formula>
    </cfRule>
    <cfRule type="cellIs" dxfId="14" priority="16" operator="greaterThan">
      <formula>400</formula>
    </cfRule>
  </conditionalFormatting>
  <conditionalFormatting sqref="AC3">
    <cfRule type="cellIs" dxfId="13" priority="13" operator="lessThan">
      <formula>40</formula>
    </cfRule>
    <cfRule type="cellIs" dxfId="12" priority="14" operator="greaterThan">
      <formula>90</formula>
    </cfRule>
  </conditionalFormatting>
  <conditionalFormatting sqref="B4">
    <cfRule type="expression" dxfId="11" priority="12">
      <formula>B4&gt;D4</formula>
    </cfRule>
  </conditionalFormatting>
  <conditionalFormatting sqref="D4">
    <cfRule type="expression" dxfId="10" priority="11">
      <formula>D4&gt;B4</formula>
    </cfRule>
  </conditionalFormatting>
  <conditionalFormatting sqref="AB4">
    <cfRule type="cellIs" dxfId="9" priority="9" operator="lessThan">
      <formula>40</formula>
    </cfRule>
    <cfRule type="cellIs" dxfId="8" priority="10" operator="greaterThan">
      <formula>400</formula>
    </cfRule>
  </conditionalFormatting>
  <conditionalFormatting sqref="AC4">
    <cfRule type="cellIs" dxfId="7" priority="7" operator="lessThan">
      <formula>40</formula>
    </cfRule>
    <cfRule type="cellIs" dxfId="6" priority="8" operator="greaterThan">
      <formula>90</formula>
    </cfRule>
  </conditionalFormatting>
  <conditionalFormatting sqref="B5:B6">
    <cfRule type="expression" dxfId="5" priority="6">
      <formula>B5&gt;D5</formula>
    </cfRule>
  </conditionalFormatting>
  <conditionalFormatting sqref="D5:D6">
    <cfRule type="expression" dxfId="4" priority="5">
      <formula>D5&gt;B5</formula>
    </cfRule>
  </conditionalFormatting>
  <conditionalFormatting sqref="AB5:AB6">
    <cfRule type="cellIs" dxfId="3" priority="3" operator="lessThan">
      <formula>40</formula>
    </cfRule>
    <cfRule type="cellIs" dxfId="2" priority="4" operator="greaterThan">
      <formula>400</formula>
    </cfRule>
  </conditionalFormatting>
  <conditionalFormatting sqref="AC5:AC6">
    <cfRule type="cellIs" dxfId="1" priority="1" operator="lessThan">
      <formula>40</formula>
    </cfRule>
    <cfRule type="cellIs" dxfId="0" priority="2" operator="greaterThan">
      <formula>90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2025-06-07T13:04:27Z</dcterms:created>
  <dcterms:modified xsi:type="dcterms:W3CDTF">2025-07-17T07:53:29Z</dcterms:modified>
</cp:coreProperties>
</file>